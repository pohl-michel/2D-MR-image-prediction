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cbc5ad9d39131685/Research in Uesaka Lab/3.28. Resubmission CMIG paper - 2025/"/>
    </mc:Choice>
  </mc:AlternateContent>
  <xr:revisionPtr revIDLastSave="3705" documentId="13_ncr:1_{EF34BEA2-62EB-45BA-A8D5-8758808E38BC}" xr6:coauthVersionLast="47" xr6:coauthVersionMax="47" xr10:uidLastSave="{6C1EE0F5-40F3-44A4-9288-75D217E23CA0}"/>
  <bookViews>
    <workbookView xWindow="57480" yWindow="-120" windowWidth="51840" windowHeight="21120" tabRatio="782" firstSheet="1" activeTab="3" xr2:uid="{00000000-000D-0000-FFFF-FFFF00000000}"/>
  </bookViews>
  <sheets>
    <sheet name="_xltb_storage_" sheetId="2" state="veryHidden" r:id="rId1"/>
    <sheet name="qmax=110 eta in 0.002, 0.02 ROI" sheetId="23" r:id="rId2"/>
    <sheet name="q_max=110 eta (0.002, 0.2) ETH" sheetId="21" r:id="rId3"/>
    <sheet name="Magdeburg dataset full image" sheetId="25" r:id="rId4"/>
    <sheet name="Magdeburg dataset ROI" sheetId="3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39" i="32" l="1"/>
  <c r="L1239" i="32"/>
  <c r="M1238" i="32"/>
  <c r="L1238" i="32"/>
  <c r="M1237" i="32"/>
  <c r="L1237" i="32"/>
  <c r="K1235" i="32"/>
  <c r="J1235" i="32"/>
  <c r="I1235" i="32"/>
  <c r="H1235" i="32"/>
  <c r="G1235" i="32"/>
  <c r="F1235" i="32"/>
  <c r="E1235" i="32"/>
  <c r="D1235" i="32"/>
  <c r="K1234" i="32"/>
  <c r="J1234" i="32"/>
  <c r="I1234" i="32"/>
  <c r="H1234" i="32"/>
  <c r="G1234" i="32"/>
  <c r="F1234" i="32"/>
  <c r="E1234" i="32"/>
  <c r="D1234" i="32"/>
  <c r="K1233" i="32"/>
  <c r="J1233" i="32"/>
  <c r="I1233" i="32"/>
  <c r="H1233" i="32"/>
  <c r="G1233" i="32"/>
  <c r="F1233" i="32"/>
  <c r="E1233" i="32"/>
  <c r="D1233" i="32"/>
  <c r="K1232" i="32"/>
  <c r="J1232" i="32"/>
  <c r="I1232" i="32"/>
  <c r="H1232" i="32"/>
  <c r="G1232" i="32"/>
  <c r="F1232" i="32"/>
  <c r="E1232" i="32"/>
  <c r="D1232" i="32"/>
  <c r="K1231" i="32"/>
  <c r="J1231" i="32"/>
  <c r="I1231" i="32"/>
  <c r="H1231" i="32"/>
  <c r="G1231" i="32"/>
  <c r="F1231" i="32"/>
  <c r="E1231" i="32"/>
  <c r="D1231" i="32"/>
  <c r="K1230" i="32"/>
  <c r="J1230" i="32"/>
  <c r="I1230" i="32"/>
  <c r="H1230" i="32"/>
  <c r="G1230" i="32"/>
  <c r="F1230" i="32"/>
  <c r="E1230" i="32"/>
  <c r="D1230" i="32"/>
  <c r="K1229" i="32"/>
  <c r="J1229" i="32"/>
  <c r="I1229" i="32"/>
  <c r="H1229" i="32"/>
  <c r="G1229" i="32"/>
  <c r="F1229" i="32"/>
  <c r="E1229" i="32"/>
  <c r="D1229" i="32"/>
  <c r="K1228" i="32"/>
  <c r="J1228" i="32"/>
  <c r="I1228" i="32"/>
  <c r="H1228" i="32"/>
  <c r="G1228" i="32"/>
  <c r="F1228" i="32"/>
  <c r="E1228" i="32"/>
  <c r="D1228" i="32"/>
  <c r="K1227" i="32"/>
  <c r="J1227" i="32"/>
  <c r="I1227" i="32"/>
  <c r="H1227" i="32"/>
  <c r="G1227" i="32"/>
  <c r="F1227" i="32"/>
  <c r="E1227" i="32"/>
  <c r="D1227" i="32"/>
  <c r="K1226" i="32"/>
  <c r="J1226" i="32"/>
  <c r="I1226" i="32"/>
  <c r="H1226" i="32"/>
  <c r="G1226" i="32"/>
  <c r="F1226" i="32"/>
  <c r="E1226" i="32"/>
  <c r="D1226" i="32"/>
  <c r="K1225" i="32"/>
  <c r="J1225" i="32"/>
  <c r="I1225" i="32"/>
  <c r="H1225" i="32"/>
  <c r="G1225" i="32"/>
  <c r="F1225" i="32"/>
  <c r="E1225" i="32"/>
  <c r="D1225" i="32"/>
  <c r="K1224" i="32"/>
  <c r="J1224" i="32"/>
  <c r="I1224" i="32"/>
  <c r="H1224" i="32"/>
  <c r="G1224" i="32"/>
  <c r="F1224" i="32"/>
  <c r="E1224" i="32"/>
  <c r="D1224" i="32"/>
  <c r="K1223" i="32"/>
  <c r="J1223" i="32"/>
  <c r="I1223" i="32"/>
  <c r="H1223" i="32"/>
  <c r="G1223" i="32"/>
  <c r="F1223" i="32"/>
  <c r="E1223" i="32"/>
  <c r="D1223" i="32"/>
  <c r="K1222" i="32"/>
  <c r="J1222" i="32"/>
  <c r="I1222" i="32"/>
  <c r="H1222" i="32"/>
  <c r="G1222" i="32"/>
  <c r="F1222" i="32"/>
  <c r="E1222" i="32"/>
  <c r="D1222" i="32"/>
  <c r="K1221" i="32"/>
  <c r="J1221" i="32"/>
  <c r="I1221" i="32"/>
  <c r="H1221" i="32"/>
  <c r="G1221" i="32"/>
  <c r="F1221" i="32"/>
  <c r="E1221" i="32"/>
  <c r="D1221" i="32"/>
  <c r="K1220" i="32"/>
  <c r="J1220" i="32"/>
  <c r="I1220" i="32"/>
  <c r="H1220" i="32"/>
  <c r="G1220" i="32"/>
  <c r="F1220" i="32"/>
  <c r="E1220" i="32"/>
  <c r="D1220" i="32"/>
  <c r="K1219" i="32"/>
  <c r="J1219" i="32"/>
  <c r="I1219" i="32"/>
  <c r="H1219" i="32"/>
  <c r="G1219" i="32"/>
  <c r="F1219" i="32"/>
  <c r="E1219" i="32"/>
  <c r="D1219" i="32"/>
  <c r="K1218" i="32"/>
  <c r="J1218" i="32"/>
  <c r="I1218" i="32"/>
  <c r="H1218" i="32"/>
  <c r="G1218" i="32"/>
  <c r="F1218" i="32"/>
  <c r="E1218" i="32"/>
  <c r="D1218" i="32"/>
  <c r="K1217" i="32"/>
  <c r="J1217" i="32"/>
  <c r="I1217" i="32"/>
  <c r="H1217" i="32"/>
  <c r="G1217" i="32"/>
  <c r="F1217" i="32"/>
  <c r="E1217" i="32"/>
  <c r="D1217" i="32"/>
  <c r="K1216" i="32"/>
  <c r="J1216" i="32"/>
  <c r="I1216" i="32"/>
  <c r="H1216" i="32"/>
  <c r="G1216" i="32"/>
  <c r="F1216" i="32"/>
  <c r="E1216" i="32"/>
  <c r="D1216" i="32"/>
  <c r="K1215" i="32"/>
  <c r="J1215" i="32"/>
  <c r="I1215" i="32"/>
  <c r="H1215" i="32"/>
  <c r="G1215" i="32"/>
  <c r="F1215" i="32"/>
  <c r="E1215" i="32"/>
  <c r="D1215" i="32"/>
  <c r="K1214" i="32"/>
  <c r="J1214" i="32"/>
  <c r="I1214" i="32"/>
  <c r="H1214" i="32"/>
  <c r="G1214" i="32"/>
  <c r="F1214" i="32"/>
  <c r="E1214" i="32"/>
  <c r="D1214" i="32"/>
  <c r="K1213" i="32"/>
  <c r="J1213" i="32"/>
  <c r="I1213" i="32"/>
  <c r="H1213" i="32"/>
  <c r="G1213" i="32"/>
  <c r="F1213" i="32"/>
  <c r="E1213" i="32"/>
  <c r="D1213" i="32"/>
  <c r="K1212" i="32"/>
  <c r="J1212" i="32"/>
  <c r="I1212" i="32"/>
  <c r="H1212" i="32"/>
  <c r="G1212" i="32"/>
  <c r="F1212" i="32"/>
  <c r="E1212" i="32"/>
  <c r="D1212" i="32"/>
  <c r="K1211" i="32"/>
  <c r="J1211" i="32"/>
  <c r="I1211" i="32"/>
  <c r="H1211" i="32"/>
  <c r="G1211" i="32"/>
  <c r="F1211" i="32"/>
  <c r="E1211" i="32"/>
  <c r="D1211" i="32"/>
  <c r="K1210" i="32"/>
  <c r="J1210" i="32"/>
  <c r="I1210" i="32"/>
  <c r="H1210" i="32"/>
  <c r="G1210" i="32"/>
  <c r="F1210" i="32"/>
  <c r="E1210" i="32"/>
  <c r="D1210" i="32"/>
  <c r="K1209" i="32"/>
  <c r="J1209" i="32"/>
  <c r="I1209" i="32"/>
  <c r="H1209" i="32"/>
  <c r="G1209" i="32"/>
  <c r="F1209" i="32"/>
  <c r="E1209" i="32"/>
  <c r="D1209" i="32"/>
  <c r="K1208" i="32"/>
  <c r="J1208" i="32"/>
  <c r="I1208" i="32"/>
  <c r="H1208" i="32"/>
  <c r="G1208" i="32"/>
  <c r="F1208" i="32"/>
  <c r="E1208" i="32"/>
  <c r="D1208" i="32"/>
  <c r="K1207" i="32"/>
  <c r="J1207" i="32"/>
  <c r="I1207" i="32"/>
  <c r="H1207" i="32"/>
  <c r="G1207" i="32"/>
  <c r="F1207" i="32"/>
  <c r="E1207" i="32"/>
  <c r="D1207" i="32"/>
  <c r="K1206" i="32"/>
  <c r="J1206" i="32"/>
  <c r="I1206" i="32"/>
  <c r="H1206" i="32"/>
  <c r="G1206" i="32"/>
  <c r="F1206" i="32"/>
  <c r="E1206" i="32"/>
  <c r="D1206" i="32"/>
  <c r="K1205" i="32"/>
  <c r="J1205" i="32"/>
  <c r="I1205" i="32"/>
  <c r="H1205" i="32"/>
  <c r="G1205" i="32"/>
  <c r="F1205" i="32"/>
  <c r="E1205" i="32"/>
  <c r="D1205" i="32"/>
  <c r="K1204" i="32"/>
  <c r="J1204" i="32"/>
  <c r="I1204" i="32"/>
  <c r="H1204" i="32"/>
  <c r="G1204" i="32"/>
  <c r="F1204" i="32"/>
  <c r="E1204" i="32"/>
  <c r="D1204" i="32"/>
  <c r="K1203" i="32"/>
  <c r="J1203" i="32"/>
  <c r="I1203" i="32"/>
  <c r="H1203" i="32"/>
  <c r="G1203" i="32"/>
  <c r="F1203" i="32"/>
  <c r="E1203" i="32"/>
  <c r="D1203" i="32"/>
  <c r="K1202" i="32"/>
  <c r="J1202" i="32"/>
  <c r="I1202" i="32"/>
  <c r="H1202" i="32"/>
  <c r="G1202" i="32"/>
  <c r="F1202" i="32"/>
  <c r="E1202" i="32"/>
  <c r="D1202" i="32"/>
  <c r="K1201" i="32"/>
  <c r="J1201" i="32"/>
  <c r="I1201" i="32"/>
  <c r="H1201" i="32"/>
  <c r="G1201" i="32"/>
  <c r="F1201" i="32"/>
  <c r="E1201" i="32"/>
  <c r="D1201" i="32"/>
  <c r="K1200" i="32"/>
  <c r="J1200" i="32"/>
  <c r="I1200" i="32"/>
  <c r="H1200" i="32"/>
  <c r="G1200" i="32"/>
  <c r="F1200" i="32"/>
  <c r="E1200" i="32"/>
  <c r="D1200" i="32"/>
  <c r="K1199" i="32"/>
  <c r="J1199" i="32"/>
  <c r="I1199" i="32"/>
  <c r="H1199" i="32"/>
  <c r="G1199" i="32"/>
  <c r="F1199" i="32"/>
  <c r="E1199" i="32"/>
  <c r="D1199" i="32"/>
  <c r="K1198" i="32"/>
  <c r="J1198" i="32"/>
  <c r="I1198" i="32"/>
  <c r="H1198" i="32"/>
  <c r="G1198" i="32"/>
  <c r="F1198" i="32"/>
  <c r="E1198" i="32"/>
  <c r="D1198" i="32"/>
  <c r="K1197" i="32"/>
  <c r="J1197" i="32"/>
  <c r="I1197" i="32"/>
  <c r="H1197" i="32"/>
  <c r="G1197" i="32"/>
  <c r="F1197" i="32"/>
  <c r="E1197" i="32"/>
  <c r="D1197" i="32"/>
  <c r="K1196" i="32"/>
  <c r="J1196" i="32"/>
  <c r="I1196" i="32"/>
  <c r="H1196" i="32"/>
  <c r="G1196" i="32"/>
  <c r="F1196" i="32"/>
  <c r="E1196" i="32"/>
  <c r="D1196" i="32"/>
  <c r="K1195" i="32"/>
  <c r="J1195" i="32"/>
  <c r="I1195" i="32"/>
  <c r="H1195" i="32"/>
  <c r="G1195" i="32"/>
  <c r="F1195" i="32"/>
  <c r="E1195" i="32"/>
  <c r="D1195" i="32"/>
  <c r="K1194" i="32"/>
  <c r="J1194" i="32"/>
  <c r="I1194" i="32"/>
  <c r="H1194" i="32"/>
  <c r="G1194" i="32"/>
  <c r="F1194" i="32"/>
  <c r="E1194" i="32"/>
  <c r="D1194" i="32"/>
  <c r="K1193" i="32"/>
  <c r="J1193" i="32"/>
  <c r="I1193" i="32"/>
  <c r="H1193" i="32"/>
  <c r="G1193" i="32"/>
  <c r="F1193" i="32"/>
  <c r="E1193" i="32"/>
  <c r="D1193" i="32"/>
  <c r="K1192" i="32"/>
  <c r="J1192" i="32"/>
  <c r="I1192" i="32"/>
  <c r="H1192" i="32"/>
  <c r="G1192" i="32"/>
  <c r="F1192" i="32"/>
  <c r="E1192" i="32"/>
  <c r="D1192" i="32"/>
  <c r="K1191" i="32"/>
  <c r="J1191" i="32"/>
  <c r="I1191" i="32"/>
  <c r="H1191" i="32"/>
  <c r="G1191" i="32"/>
  <c r="F1191" i="32"/>
  <c r="E1191" i="32"/>
  <c r="D1191" i="32"/>
  <c r="K1190" i="32"/>
  <c r="J1190" i="32"/>
  <c r="I1190" i="32"/>
  <c r="H1190" i="32"/>
  <c r="G1190" i="32"/>
  <c r="F1190" i="32"/>
  <c r="E1190" i="32"/>
  <c r="D1190" i="32"/>
  <c r="K1189" i="32"/>
  <c r="J1189" i="32"/>
  <c r="I1189" i="32"/>
  <c r="H1189" i="32"/>
  <c r="G1189" i="32"/>
  <c r="F1189" i="32"/>
  <c r="E1189" i="32"/>
  <c r="D1189" i="32"/>
  <c r="K1188" i="32"/>
  <c r="J1188" i="32"/>
  <c r="I1188" i="32"/>
  <c r="H1188" i="32"/>
  <c r="G1188" i="32"/>
  <c r="F1188" i="32"/>
  <c r="E1188" i="32"/>
  <c r="D1188" i="32"/>
  <c r="K1187" i="32"/>
  <c r="J1187" i="32"/>
  <c r="I1187" i="32"/>
  <c r="H1187" i="32"/>
  <c r="G1187" i="32"/>
  <c r="F1187" i="32"/>
  <c r="E1187" i="32"/>
  <c r="D1187" i="32"/>
  <c r="K1186" i="32"/>
  <c r="J1186" i="32"/>
  <c r="I1186" i="32"/>
  <c r="H1186" i="32"/>
  <c r="G1186" i="32"/>
  <c r="F1186" i="32"/>
  <c r="E1186" i="32"/>
  <c r="D1186" i="32"/>
  <c r="K1185" i="32"/>
  <c r="J1185" i="32"/>
  <c r="I1185" i="32"/>
  <c r="H1185" i="32"/>
  <c r="G1185" i="32"/>
  <c r="F1185" i="32"/>
  <c r="E1185" i="32"/>
  <c r="D1185" i="32"/>
  <c r="K1184" i="32"/>
  <c r="J1184" i="32"/>
  <c r="I1184" i="32"/>
  <c r="H1184" i="32"/>
  <c r="G1184" i="32"/>
  <c r="F1184" i="32"/>
  <c r="E1184" i="32"/>
  <c r="D1184" i="32"/>
  <c r="K1183" i="32"/>
  <c r="J1183" i="32"/>
  <c r="I1183" i="32"/>
  <c r="H1183" i="32"/>
  <c r="G1183" i="32"/>
  <c r="F1183" i="32"/>
  <c r="E1183" i="32"/>
  <c r="D1183" i="32"/>
  <c r="K1182" i="32"/>
  <c r="J1182" i="32"/>
  <c r="I1182" i="32"/>
  <c r="H1182" i="32"/>
  <c r="G1182" i="32"/>
  <c r="F1182" i="32"/>
  <c r="E1182" i="32"/>
  <c r="D1182" i="32"/>
  <c r="K1181" i="32"/>
  <c r="J1181" i="32"/>
  <c r="I1181" i="32"/>
  <c r="H1181" i="32"/>
  <c r="G1181" i="32"/>
  <c r="F1181" i="32"/>
  <c r="E1181" i="32"/>
  <c r="D1181" i="32"/>
  <c r="K1180" i="32"/>
  <c r="J1180" i="32"/>
  <c r="I1180" i="32"/>
  <c r="H1180" i="32"/>
  <c r="G1180" i="32"/>
  <c r="F1180" i="32"/>
  <c r="E1180" i="32"/>
  <c r="D1180" i="32"/>
  <c r="K1179" i="32"/>
  <c r="J1179" i="32"/>
  <c r="I1179" i="32"/>
  <c r="H1179" i="32"/>
  <c r="G1179" i="32"/>
  <c r="F1179" i="32"/>
  <c r="E1179" i="32"/>
  <c r="D1179" i="32"/>
  <c r="K1178" i="32"/>
  <c r="J1178" i="32"/>
  <c r="I1178" i="32"/>
  <c r="H1178" i="32"/>
  <c r="G1178" i="32"/>
  <c r="F1178" i="32"/>
  <c r="E1178" i="32"/>
  <c r="D1178" i="32"/>
  <c r="K1177" i="32"/>
  <c r="J1177" i="32"/>
  <c r="I1177" i="32"/>
  <c r="H1177" i="32"/>
  <c r="G1177" i="32"/>
  <c r="F1177" i="32"/>
  <c r="E1177" i="32"/>
  <c r="D1177" i="32"/>
  <c r="K1176" i="32"/>
  <c r="J1176" i="32"/>
  <c r="I1176" i="32"/>
  <c r="H1176" i="32"/>
  <c r="G1176" i="32"/>
  <c r="F1176" i="32"/>
  <c r="E1176" i="32"/>
  <c r="D1176" i="32"/>
  <c r="K1175" i="32"/>
  <c r="J1175" i="32"/>
  <c r="I1175" i="32"/>
  <c r="H1175" i="32"/>
  <c r="G1175" i="32"/>
  <c r="F1175" i="32"/>
  <c r="E1175" i="32"/>
  <c r="D1175" i="32"/>
  <c r="K1174" i="32"/>
  <c r="J1174" i="32"/>
  <c r="I1174" i="32"/>
  <c r="H1174" i="32"/>
  <c r="G1174" i="32"/>
  <c r="F1174" i="32"/>
  <c r="E1174" i="32"/>
  <c r="D1174" i="32"/>
  <c r="K1173" i="32"/>
  <c r="J1173" i="32"/>
  <c r="I1173" i="32"/>
  <c r="H1173" i="32"/>
  <c r="G1173" i="32"/>
  <c r="F1173" i="32"/>
  <c r="E1173" i="32"/>
  <c r="D1173" i="32"/>
  <c r="K1172" i="32"/>
  <c r="J1172" i="32"/>
  <c r="I1172" i="32"/>
  <c r="H1172" i="32"/>
  <c r="G1172" i="32"/>
  <c r="F1172" i="32"/>
  <c r="E1172" i="32"/>
  <c r="D1172" i="32"/>
  <c r="K1171" i="32"/>
  <c r="J1171" i="32"/>
  <c r="I1171" i="32"/>
  <c r="H1171" i="32"/>
  <c r="G1171" i="32"/>
  <c r="F1171" i="32"/>
  <c r="E1171" i="32"/>
  <c r="D1171" i="32"/>
  <c r="K1170" i="32"/>
  <c r="J1170" i="32"/>
  <c r="I1170" i="32"/>
  <c r="H1170" i="32"/>
  <c r="G1170" i="32"/>
  <c r="F1170" i="32"/>
  <c r="E1170" i="32"/>
  <c r="D1170" i="32"/>
  <c r="K1169" i="32"/>
  <c r="J1169" i="32"/>
  <c r="I1169" i="32"/>
  <c r="H1169" i="32"/>
  <c r="G1169" i="32"/>
  <c r="F1169" i="32"/>
  <c r="E1169" i="32"/>
  <c r="D1169" i="32"/>
  <c r="K1168" i="32"/>
  <c r="J1168" i="32"/>
  <c r="I1168" i="32"/>
  <c r="H1168" i="32"/>
  <c r="G1168" i="32"/>
  <c r="F1168" i="32"/>
  <c r="E1168" i="32"/>
  <c r="D1168" i="32"/>
  <c r="K1167" i="32"/>
  <c r="J1167" i="32"/>
  <c r="I1167" i="32"/>
  <c r="H1167" i="32"/>
  <c r="G1167" i="32"/>
  <c r="F1167" i="32"/>
  <c r="E1167" i="32"/>
  <c r="D1167" i="32"/>
  <c r="K1166" i="32"/>
  <c r="J1166" i="32"/>
  <c r="I1166" i="32"/>
  <c r="H1166" i="32"/>
  <c r="G1166" i="32"/>
  <c r="F1166" i="32"/>
  <c r="E1166" i="32"/>
  <c r="D1166" i="32"/>
  <c r="K1165" i="32"/>
  <c r="J1165" i="32"/>
  <c r="I1165" i="32"/>
  <c r="H1165" i="32"/>
  <c r="G1165" i="32"/>
  <c r="F1165" i="32"/>
  <c r="E1165" i="32"/>
  <c r="D1165" i="32"/>
  <c r="K1164" i="32"/>
  <c r="J1164" i="32"/>
  <c r="I1164" i="32"/>
  <c r="H1164" i="32"/>
  <c r="G1164" i="32"/>
  <c r="F1164" i="32"/>
  <c r="E1164" i="32"/>
  <c r="D1164" i="32"/>
  <c r="K1163" i="32"/>
  <c r="J1163" i="32"/>
  <c r="I1163" i="32"/>
  <c r="H1163" i="32"/>
  <c r="G1163" i="32"/>
  <c r="F1163" i="32"/>
  <c r="E1163" i="32"/>
  <c r="D1163" i="32"/>
  <c r="K1162" i="32"/>
  <c r="J1162" i="32"/>
  <c r="I1162" i="32"/>
  <c r="H1162" i="32"/>
  <c r="G1162" i="32"/>
  <c r="F1162" i="32"/>
  <c r="E1162" i="32"/>
  <c r="D1162" i="32"/>
  <c r="K1161" i="32"/>
  <c r="J1161" i="32"/>
  <c r="I1161" i="32"/>
  <c r="H1161" i="32"/>
  <c r="G1161" i="32"/>
  <c r="F1161" i="32"/>
  <c r="E1161" i="32"/>
  <c r="D1161" i="32"/>
  <c r="K1160" i="32"/>
  <c r="J1160" i="32"/>
  <c r="I1160" i="32"/>
  <c r="H1160" i="32"/>
  <c r="G1160" i="32"/>
  <c r="F1160" i="32"/>
  <c r="E1160" i="32"/>
  <c r="D1160" i="32"/>
  <c r="K1159" i="32"/>
  <c r="J1159" i="32"/>
  <c r="I1159" i="32"/>
  <c r="H1159" i="32"/>
  <c r="G1159" i="32"/>
  <c r="F1159" i="32"/>
  <c r="E1159" i="32"/>
  <c r="D1159" i="32"/>
  <c r="K1158" i="32"/>
  <c r="J1158" i="32"/>
  <c r="I1158" i="32"/>
  <c r="H1158" i="32"/>
  <c r="G1158" i="32"/>
  <c r="F1158" i="32"/>
  <c r="E1158" i="32"/>
  <c r="D1158" i="32"/>
  <c r="K1157" i="32"/>
  <c r="J1157" i="32"/>
  <c r="I1157" i="32"/>
  <c r="H1157" i="32"/>
  <c r="G1157" i="32"/>
  <c r="F1157" i="32"/>
  <c r="E1157" i="32"/>
  <c r="D1157" i="32"/>
  <c r="K1156" i="32"/>
  <c r="J1156" i="32"/>
  <c r="I1156" i="32"/>
  <c r="H1156" i="32"/>
  <c r="G1156" i="32"/>
  <c r="F1156" i="32"/>
  <c r="E1156" i="32"/>
  <c r="D1156" i="32"/>
  <c r="K1155" i="32"/>
  <c r="J1155" i="32"/>
  <c r="I1155" i="32"/>
  <c r="H1155" i="32"/>
  <c r="G1155" i="32"/>
  <c r="F1155" i="32"/>
  <c r="E1155" i="32"/>
  <c r="D1155" i="32"/>
  <c r="K1154" i="32"/>
  <c r="J1154" i="32"/>
  <c r="I1154" i="32"/>
  <c r="H1154" i="32"/>
  <c r="G1154" i="32"/>
  <c r="F1154" i="32"/>
  <c r="E1154" i="32"/>
  <c r="D1154" i="32"/>
  <c r="K1153" i="32"/>
  <c r="J1153" i="32"/>
  <c r="I1153" i="32"/>
  <c r="H1153" i="32"/>
  <c r="G1153" i="32"/>
  <c r="F1153" i="32"/>
  <c r="E1153" i="32"/>
  <c r="D1153" i="32"/>
  <c r="K1152" i="32"/>
  <c r="J1152" i="32"/>
  <c r="I1152" i="32"/>
  <c r="H1152" i="32"/>
  <c r="G1152" i="32"/>
  <c r="F1152" i="32"/>
  <c r="E1152" i="32"/>
  <c r="D1152" i="32"/>
  <c r="K1151" i="32"/>
  <c r="J1151" i="32"/>
  <c r="I1151" i="32"/>
  <c r="H1151" i="32"/>
  <c r="G1151" i="32"/>
  <c r="F1151" i="32"/>
  <c r="E1151" i="32"/>
  <c r="D1151" i="32"/>
  <c r="K1150" i="32"/>
  <c r="J1150" i="32"/>
  <c r="I1150" i="32"/>
  <c r="H1150" i="32"/>
  <c r="G1150" i="32"/>
  <c r="F1150" i="32"/>
  <c r="E1150" i="32"/>
  <c r="D1150" i="32"/>
  <c r="K1149" i="32"/>
  <c r="J1149" i="32"/>
  <c r="I1149" i="32"/>
  <c r="H1149" i="32"/>
  <c r="G1149" i="32"/>
  <c r="F1149" i="32"/>
  <c r="E1149" i="32"/>
  <c r="D1149" i="32"/>
  <c r="K1148" i="32"/>
  <c r="J1148" i="32"/>
  <c r="I1148" i="32"/>
  <c r="H1148" i="32"/>
  <c r="G1148" i="32"/>
  <c r="F1148" i="32"/>
  <c r="E1148" i="32"/>
  <c r="D1148" i="32"/>
  <c r="M1147" i="32"/>
  <c r="L1147" i="32"/>
  <c r="M1146" i="32"/>
  <c r="L1146" i="32"/>
  <c r="M1145" i="32"/>
  <c r="L1145" i="32"/>
  <c r="M1144" i="32"/>
  <c r="L1144" i="32"/>
  <c r="M1143" i="32"/>
  <c r="L1143" i="32"/>
  <c r="M1142" i="32"/>
  <c r="L1142" i="32"/>
  <c r="M1141" i="32"/>
  <c r="L1141" i="32"/>
  <c r="M1140" i="32"/>
  <c r="L1140" i="32"/>
  <c r="M1139" i="32"/>
  <c r="L1139" i="32"/>
  <c r="M1138" i="32"/>
  <c r="L1138" i="32"/>
  <c r="M1137" i="32"/>
  <c r="L1137" i="32"/>
  <c r="M1136" i="32"/>
  <c r="L1136" i="32"/>
  <c r="M1135" i="32"/>
  <c r="L1135" i="32"/>
  <c r="M1134" i="32"/>
  <c r="L1134" i="32"/>
  <c r="M1133" i="32"/>
  <c r="L1133" i="32"/>
  <c r="M1132" i="32"/>
  <c r="L1132" i="32"/>
  <c r="M1131" i="32"/>
  <c r="L1131" i="32"/>
  <c r="M1130" i="32"/>
  <c r="L1130" i="32"/>
  <c r="L1129" i="32"/>
  <c r="M1128" i="32"/>
  <c r="L1128" i="32"/>
  <c r="L1127" i="32"/>
  <c r="M1126" i="32"/>
  <c r="L1126" i="32"/>
  <c r="L1125" i="32"/>
  <c r="M1124" i="32"/>
  <c r="L1124" i="32"/>
  <c r="L1123" i="32"/>
  <c r="M1122" i="32"/>
  <c r="L1122" i="32"/>
  <c r="L1121" i="32"/>
  <c r="M1120" i="32"/>
  <c r="L1120" i="32"/>
  <c r="L1119" i="32"/>
  <c r="M1118" i="32"/>
  <c r="L1118" i="32"/>
  <c r="L1117" i="32"/>
  <c r="M1116" i="32"/>
  <c r="L1116" i="32"/>
  <c r="L1115" i="32"/>
  <c r="M1114" i="32"/>
  <c r="L1114" i="32"/>
  <c r="L1113" i="32"/>
  <c r="M1112" i="32"/>
  <c r="L1112" i="32"/>
  <c r="L1111" i="32"/>
  <c r="M1110" i="32"/>
  <c r="L1110" i="32"/>
  <c r="L1109" i="32"/>
  <c r="M1108" i="32"/>
  <c r="L1108" i="32"/>
  <c r="L1107" i="32"/>
  <c r="M1106" i="32"/>
  <c r="L1106" i="32"/>
  <c r="L1105" i="32"/>
  <c r="M1104" i="32"/>
  <c r="L1104" i="32"/>
  <c r="L1103" i="32"/>
  <c r="M1102" i="32"/>
  <c r="L1102" i="32"/>
  <c r="L1101" i="32"/>
  <c r="M1100" i="32"/>
  <c r="L1100" i="32"/>
  <c r="L1099" i="32"/>
  <c r="M1098" i="32"/>
  <c r="L1098" i="32"/>
  <c r="L1097" i="32"/>
  <c r="M1096" i="32"/>
  <c r="L1096" i="32"/>
  <c r="L1095" i="32"/>
  <c r="M1094" i="32"/>
  <c r="L1094" i="32"/>
  <c r="L1093" i="32"/>
  <c r="M1092" i="32"/>
  <c r="L1092" i="32"/>
  <c r="L1091" i="32"/>
  <c r="M1090" i="32"/>
  <c r="L1090" i="32"/>
  <c r="L1089" i="32"/>
  <c r="M1088" i="32"/>
  <c r="L1088" i="32"/>
  <c r="L1087" i="32"/>
  <c r="M1086" i="32"/>
  <c r="L1086" i="32"/>
  <c r="L1085" i="32"/>
  <c r="M1084" i="32"/>
  <c r="L1084" i="32"/>
  <c r="L1083" i="32"/>
  <c r="M1082" i="32"/>
  <c r="L1082" i="32"/>
  <c r="L1081" i="32"/>
  <c r="M1080" i="32"/>
  <c r="L1080" i="32"/>
  <c r="L1079" i="32"/>
  <c r="M1078" i="32"/>
  <c r="L1078" i="32"/>
  <c r="L1077" i="32"/>
  <c r="M1076" i="32"/>
  <c r="L1076" i="32"/>
  <c r="L1075" i="32"/>
  <c r="M1074" i="32"/>
  <c r="L1074" i="32"/>
  <c r="L1073" i="32"/>
  <c r="M1072" i="32"/>
  <c r="L1072" i="32"/>
  <c r="L1071" i="32"/>
  <c r="M1070" i="32"/>
  <c r="L1070" i="32"/>
  <c r="L1069" i="32"/>
  <c r="M1068" i="32"/>
  <c r="L1068" i="32"/>
  <c r="L1067" i="32"/>
  <c r="M1066" i="32"/>
  <c r="L1066" i="32"/>
  <c r="L1065" i="32"/>
  <c r="M1064" i="32"/>
  <c r="L1064" i="32"/>
  <c r="L1063" i="32"/>
  <c r="M1062" i="32"/>
  <c r="L1062" i="32"/>
  <c r="L1061" i="32"/>
  <c r="M1060" i="32"/>
  <c r="L1060" i="32"/>
  <c r="M1059" i="32"/>
  <c r="L1059" i="32"/>
  <c r="M1058" i="32"/>
  <c r="L1058" i="32"/>
  <c r="M1057" i="32"/>
  <c r="L1057" i="32"/>
  <c r="M1056" i="32"/>
  <c r="L1056" i="32"/>
  <c r="M1055" i="32"/>
  <c r="L1055" i="32"/>
  <c r="M1054" i="32"/>
  <c r="L1054" i="32"/>
  <c r="M1053" i="32"/>
  <c r="L1053" i="32"/>
  <c r="M1052" i="32"/>
  <c r="L1052" i="32"/>
  <c r="M1051" i="32"/>
  <c r="L1051" i="32"/>
  <c r="M1050" i="32"/>
  <c r="L1050" i="32"/>
  <c r="M1049" i="32"/>
  <c r="L1049" i="32"/>
  <c r="M1048" i="32"/>
  <c r="L1048" i="32"/>
  <c r="M1047" i="32"/>
  <c r="L1047" i="32"/>
  <c r="M1046" i="32"/>
  <c r="L1046" i="32"/>
  <c r="M1045" i="32"/>
  <c r="L1045" i="32"/>
  <c r="M1044" i="32"/>
  <c r="L1044" i="32"/>
  <c r="M1043" i="32"/>
  <c r="L1043" i="32"/>
  <c r="M1042" i="32"/>
  <c r="L1042" i="32"/>
  <c r="L1041" i="32"/>
  <c r="M1040" i="32"/>
  <c r="L1040" i="32"/>
  <c r="L1039" i="32"/>
  <c r="M1038" i="32"/>
  <c r="L1038" i="32"/>
  <c r="L1037" i="32"/>
  <c r="M1036" i="32"/>
  <c r="L1036" i="32"/>
  <c r="L1035" i="32"/>
  <c r="M1034" i="32"/>
  <c r="L1034" i="32"/>
  <c r="L1033" i="32"/>
  <c r="M1032" i="32"/>
  <c r="L1032" i="32"/>
  <c r="L1031" i="32"/>
  <c r="M1030" i="32"/>
  <c r="L1030" i="32"/>
  <c r="L1029" i="32"/>
  <c r="M1028" i="32"/>
  <c r="L1028" i="32"/>
  <c r="L1027" i="32"/>
  <c r="M1026" i="32"/>
  <c r="L1026" i="32"/>
  <c r="L1025" i="32"/>
  <c r="M1024" i="32"/>
  <c r="L1024" i="32"/>
  <c r="L1023" i="32"/>
  <c r="M1022" i="32"/>
  <c r="L1022" i="32"/>
  <c r="L1021" i="32"/>
  <c r="M1020" i="32"/>
  <c r="L1020" i="32"/>
  <c r="L1019" i="32"/>
  <c r="M1018" i="32"/>
  <c r="L1018" i="32"/>
  <c r="L1017" i="32"/>
  <c r="M1016" i="32"/>
  <c r="L1016" i="32"/>
  <c r="L1015" i="32"/>
  <c r="M1014" i="32"/>
  <c r="L1014" i="32"/>
  <c r="L1013" i="32"/>
  <c r="M1012" i="32"/>
  <c r="L1012" i="32"/>
  <c r="L1011" i="32"/>
  <c r="M1010" i="32"/>
  <c r="L1010" i="32"/>
  <c r="L1009" i="32"/>
  <c r="M1008" i="32"/>
  <c r="L1008" i="32"/>
  <c r="L1007" i="32"/>
  <c r="M1006" i="32"/>
  <c r="L1006" i="32"/>
  <c r="L1005" i="32"/>
  <c r="M1004" i="32"/>
  <c r="L1004" i="32"/>
  <c r="L1003" i="32"/>
  <c r="M1002" i="32"/>
  <c r="L1002" i="32"/>
  <c r="L1001" i="32"/>
  <c r="M1000" i="32"/>
  <c r="L1000" i="32"/>
  <c r="L999" i="32"/>
  <c r="M998" i="32"/>
  <c r="L998" i="32"/>
  <c r="L997" i="32"/>
  <c r="M996" i="32"/>
  <c r="L996" i="32"/>
  <c r="L995" i="32"/>
  <c r="M994" i="32"/>
  <c r="L994" i="32"/>
  <c r="L993" i="32"/>
  <c r="M992" i="32"/>
  <c r="L992" i="32"/>
  <c r="L991" i="32"/>
  <c r="M990" i="32"/>
  <c r="L990" i="32"/>
  <c r="L989" i="32"/>
  <c r="M988" i="32"/>
  <c r="L988" i="32"/>
  <c r="L987" i="32"/>
  <c r="M986" i="32"/>
  <c r="L986" i="32"/>
  <c r="L985" i="32"/>
  <c r="M984" i="32"/>
  <c r="L984" i="32"/>
  <c r="L983" i="32"/>
  <c r="M982" i="32"/>
  <c r="L982" i="32"/>
  <c r="L981" i="32"/>
  <c r="M980" i="32"/>
  <c r="L980" i="32"/>
  <c r="L979" i="32"/>
  <c r="M978" i="32"/>
  <c r="L978" i="32"/>
  <c r="L977" i="32"/>
  <c r="M976" i="32"/>
  <c r="L976" i="32"/>
  <c r="L975" i="32"/>
  <c r="M974" i="32"/>
  <c r="L974" i="32"/>
  <c r="L973" i="32"/>
  <c r="M972" i="32"/>
  <c r="L972" i="32"/>
  <c r="M971" i="32"/>
  <c r="L971" i="32"/>
  <c r="M970" i="32"/>
  <c r="L970" i="32"/>
  <c r="M969" i="32"/>
  <c r="L969" i="32"/>
  <c r="M968" i="32"/>
  <c r="L968" i="32"/>
  <c r="M967" i="32"/>
  <c r="L967" i="32"/>
  <c r="M966" i="32"/>
  <c r="L966" i="32"/>
  <c r="M965" i="32"/>
  <c r="L965" i="32"/>
  <c r="M964" i="32"/>
  <c r="L964" i="32"/>
  <c r="M963" i="32"/>
  <c r="L963" i="32"/>
  <c r="M962" i="32"/>
  <c r="L962" i="32"/>
  <c r="M961" i="32"/>
  <c r="L961" i="32"/>
  <c r="M960" i="32"/>
  <c r="L960" i="32"/>
  <c r="M959" i="32"/>
  <c r="L959" i="32"/>
  <c r="M958" i="32"/>
  <c r="L958" i="32"/>
  <c r="M957" i="32"/>
  <c r="L957" i="32"/>
  <c r="M956" i="32"/>
  <c r="L956" i="32"/>
  <c r="M955" i="32"/>
  <c r="L955" i="32"/>
  <c r="M954" i="32"/>
  <c r="L954" i="32"/>
  <c r="L953" i="32"/>
  <c r="M952" i="32"/>
  <c r="L952" i="32"/>
  <c r="L951" i="32"/>
  <c r="M950" i="32"/>
  <c r="L950" i="32"/>
  <c r="L949" i="32"/>
  <c r="M948" i="32"/>
  <c r="L948" i="32"/>
  <c r="L947" i="32"/>
  <c r="M946" i="32"/>
  <c r="L946" i="32"/>
  <c r="L945" i="32"/>
  <c r="M944" i="32"/>
  <c r="L944" i="32"/>
  <c r="L943" i="32"/>
  <c r="M942" i="32"/>
  <c r="L942" i="32"/>
  <c r="L941" i="32"/>
  <c r="M940" i="32"/>
  <c r="L940" i="32"/>
  <c r="L939" i="32"/>
  <c r="M938" i="32"/>
  <c r="L938" i="32"/>
  <c r="L937" i="32"/>
  <c r="M936" i="32"/>
  <c r="L936" i="32"/>
  <c r="L935" i="32"/>
  <c r="M934" i="32"/>
  <c r="L934" i="32"/>
  <c r="L933" i="32"/>
  <c r="M932" i="32"/>
  <c r="L932" i="32"/>
  <c r="L931" i="32"/>
  <c r="M930" i="32"/>
  <c r="L930" i="32"/>
  <c r="L929" i="32"/>
  <c r="M928" i="32"/>
  <c r="L928" i="32"/>
  <c r="L927" i="32"/>
  <c r="M926" i="32"/>
  <c r="L926" i="32"/>
  <c r="L925" i="32"/>
  <c r="M924" i="32"/>
  <c r="L924" i="32"/>
  <c r="L923" i="32"/>
  <c r="M922" i="32"/>
  <c r="L922" i="32"/>
  <c r="L921" i="32"/>
  <c r="M920" i="32"/>
  <c r="L920" i="32"/>
  <c r="L919" i="32"/>
  <c r="M918" i="32"/>
  <c r="L918" i="32"/>
  <c r="L917" i="32"/>
  <c r="M916" i="32"/>
  <c r="L916" i="32"/>
  <c r="L915" i="32"/>
  <c r="M914" i="32"/>
  <c r="L914" i="32"/>
  <c r="L913" i="32"/>
  <c r="M912" i="32"/>
  <c r="L912" i="32"/>
  <c r="L911" i="32"/>
  <c r="M910" i="32"/>
  <c r="L910" i="32"/>
  <c r="L909" i="32"/>
  <c r="M908" i="32"/>
  <c r="L908" i="32"/>
  <c r="L907" i="32"/>
  <c r="M906" i="32"/>
  <c r="L906" i="32"/>
  <c r="L905" i="32"/>
  <c r="M904" i="32"/>
  <c r="L904" i="32"/>
  <c r="L903" i="32"/>
  <c r="M902" i="32"/>
  <c r="L902" i="32"/>
  <c r="L901" i="32"/>
  <c r="M900" i="32"/>
  <c r="L900" i="32"/>
  <c r="L899" i="32"/>
  <c r="M898" i="32"/>
  <c r="L898" i="32"/>
  <c r="L897" i="32"/>
  <c r="M896" i="32"/>
  <c r="L896" i="32"/>
  <c r="L895" i="32"/>
  <c r="M894" i="32"/>
  <c r="L894" i="32"/>
  <c r="L893" i="32"/>
  <c r="M892" i="32"/>
  <c r="L892" i="32"/>
  <c r="L891" i="32"/>
  <c r="M890" i="32"/>
  <c r="L890" i="32"/>
  <c r="L889" i="32"/>
  <c r="M888" i="32"/>
  <c r="L888" i="32"/>
  <c r="L887" i="32"/>
  <c r="M886" i="32"/>
  <c r="L886" i="32"/>
  <c r="L885" i="32"/>
  <c r="M884" i="32"/>
  <c r="L884" i="32"/>
  <c r="M883" i="32"/>
  <c r="L883" i="32"/>
  <c r="M882" i="32"/>
  <c r="L882" i="32"/>
  <c r="M881" i="32"/>
  <c r="L881" i="32"/>
  <c r="M880" i="32"/>
  <c r="L880" i="32"/>
  <c r="M879" i="32"/>
  <c r="L879" i="32"/>
  <c r="M878" i="32"/>
  <c r="L878" i="32"/>
  <c r="M877" i="32"/>
  <c r="L877" i="32"/>
  <c r="M876" i="32"/>
  <c r="L876" i="32"/>
  <c r="M875" i="32"/>
  <c r="L875" i="32"/>
  <c r="M874" i="32"/>
  <c r="L874" i="32"/>
  <c r="M873" i="32"/>
  <c r="L873" i="32"/>
  <c r="M872" i="32"/>
  <c r="L872" i="32"/>
  <c r="M871" i="32"/>
  <c r="L871" i="32"/>
  <c r="M870" i="32"/>
  <c r="L870" i="32"/>
  <c r="M869" i="32"/>
  <c r="L869" i="32"/>
  <c r="M868" i="32"/>
  <c r="L868" i="32"/>
  <c r="M867" i="32"/>
  <c r="L867" i="32"/>
  <c r="M866" i="32"/>
  <c r="L866" i="32"/>
  <c r="L865" i="32"/>
  <c r="M864" i="32"/>
  <c r="L864" i="32"/>
  <c r="L863" i="32"/>
  <c r="M862" i="32"/>
  <c r="L862" i="32"/>
  <c r="L861" i="32"/>
  <c r="M860" i="32"/>
  <c r="L860" i="32"/>
  <c r="L859" i="32"/>
  <c r="M858" i="32"/>
  <c r="L858" i="32"/>
  <c r="L857" i="32"/>
  <c r="M856" i="32"/>
  <c r="L856" i="32"/>
  <c r="L855" i="32"/>
  <c r="M854" i="32"/>
  <c r="L854" i="32"/>
  <c r="L853" i="32"/>
  <c r="M852" i="32"/>
  <c r="L852" i="32"/>
  <c r="L851" i="32"/>
  <c r="M850" i="32"/>
  <c r="L850" i="32"/>
  <c r="L849" i="32"/>
  <c r="M848" i="32"/>
  <c r="L848" i="32"/>
  <c r="L847" i="32"/>
  <c r="M846" i="32"/>
  <c r="L846" i="32"/>
  <c r="L845" i="32"/>
  <c r="M844" i="32"/>
  <c r="L844" i="32"/>
  <c r="L843" i="32"/>
  <c r="M842" i="32"/>
  <c r="L842" i="32"/>
  <c r="L841" i="32"/>
  <c r="M840" i="32"/>
  <c r="L840" i="32"/>
  <c r="L839" i="32"/>
  <c r="M838" i="32"/>
  <c r="L838" i="32"/>
  <c r="L837" i="32"/>
  <c r="M836" i="32"/>
  <c r="L836" i="32"/>
  <c r="L835" i="32"/>
  <c r="M834" i="32"/>
  <c r="L834" i="32"/>
  <c r="L833" i="32"/>
  <c r="M832" i="32"/>
  <c r="L832" i="32"/>
  <c r="L831" i="32"/>
  <c r="M830" i="32"/>
  <c r="L830" i="32"/>
  <c r="L829" i="32"/>
  <c r="M828" i="32"/>
  <c r="L828" i="32"/>
  <c r="L827" i="32"/>
  <c r="M826" i="32"/>
  <c r="L826" i="32"/>
  <c r="L825" i="32"/>
  <c r="M824" i="32"/>
  <c r="L824" i="32"/>
  <c r="L823" i="32"/>
  <c r="M822" i="32"/>
  <c r="L822" i="32"/>
  <c r="L821" i="32"/>
  <c r="M820" i="32"/>
  <c r="L820" i="32"/>
  <c r="L819" i="32"/>
  <c r="M818" i="32"/>
  <c r="L818" i="32"/>
  <c r="L817" i="32"/>
  <c r="M816" i="32"/>
  <c r="L816" i="32"/>
  <c r="L815" i="32"/>
  <c r="M814" i="32"/>
  <c r="L814" i="32"/>
  <c r="L813" i="32"/>
  <c r="M812" i="32"/>
  <c r="L812" i="32"/>
  <c r="L811" i="32"/>
  <c r="M810" i="32"/>
  <c r="L810" i="32"/>
  <c r="L809" i="32"/>
  <c r="M808" i="32"/>
  <c r="L808" i="32"/>
  <c r="L807" i="32"/>
  <c r="M806" i="32"/>
  <c r="L806" i="32"/>
  <c r="L805" i="32"/>
  <c r="M804" i="32"/>
  <c r="L804" i="32"/>
  <c r="L803" i="32"/>
  <c r="M802" i="32"/>
  <c r="L802" i="32"/>
  <c r="L801" i="32"/>
  <c r="M800" i="32"/>
  <c r="L800" i="32"/>
  <c r="L799" i="32"/>
  <c r="M798" i="32"/>
  <c r="L798" i="32"/>
  <c r="L797" i="32"/>
  <c r="M796" i="32"/>
  <c r="L796" i="32"/>
  <c r="M795" i="32"/>
  <c r="L795" i="32"/>
  <c r="M794" i="32"/>
  <c r="L794" i="32"/>
  <c r="M793" i="32"/>
  <c r="L793" i="32"/>
  <c r="M792" i="32"/>
  <c r="L792" i="32"/>
  <c r="M791" i="32"/>
  <c r="L791" i="32"/>
  <c r="M790" i="32"/>
  <c r="L790" i="32"/>
  <c r="M789" i="32"/>
  <c r="L789" i="32"/>
  <c r="M788" i="32"/>
  <c r="L788" i="32"/>
  <c r="M787" i="32"/>
  <c r="L787" i="32"/>
  <c r="M786" i="32"/>
  <c r="L786" i="32"/>
  <c r="M785" i="32"/>
  <c r="L785" i="32"/>
  <c r="M784" i="32"/>
  <c r="L784" i="32"/>
  <c r="M783" i="32"/>
  <c r="L783" i="32"/>
  <c r="M782" i="32"/>
  <c r="L782" i="32"/>
  <c r="M781" i="32"/>
  <c r="L781" i="32"/>
  <c r="M780" i="32"/>
  <c r="L780" i="32"/>
  <c r="M779" i="32"/>
  <c r="L779" i="32"/>
  <c r="M778" i="32"/>
  <c r="L778" i="32"/>
  <c r="L777" i="32"/>
  <c r="M776" i="32"/>
  <c r="L776" i="32"/>
  <c r="L775" i="32"/>
  <c r="M774" i="32"/>
  <c r="L774" i="32"/>
  <c r="L773" i="32"/>
  <c r="M772" i="32"/>
  <c r="L772" i="32"/>
  <c r="L771" i="32"/>
  <c r="M770" i="32"/>
  <c r="L770" i="32"/>
  <c r="L769" i="32"/>
  <c r="M768" i="32"/>
  <c r="L768" i="32"/>
  <c r="L767" i="32"/>
  <c r="M766" i="32"/>
  <c r="L766" i="32"/>
  <c r="L765" i="32"/>
  <c r="M764" i="32"/>
  <c r="L764" i="32"/>
  <c r="L763" i="32"/>
  <c r="M762" i="32"/>
  <c r="L762" i="32"/>
  <c r="L761" i="32"/>
  <c r="M760" i="32"/>
  <c r="L760" i="32"/>
  <c r="L759" i="32"/>
  <c r="M758" i="32"/>
  <c r="L758" i="32"/>
  <c r="L757" i="32"/>
  <c r="M756" i="32"/>
  <c r="L756" i="32"/>
  <c r="L755" i="32"/>
  <c r="M754" i="32"/>
  <c r="L754" i="32"/>
  <c r="L753" i="32"/>
  <c r="M752" i="32"/>
  <c r="L752" i="32"/>
  <c r="L751" i="32"/>
  <c r="M750" i="32"/>
  <c r="L750" i="32"/>
  <c r="L749" i="32"/>
  <c r="M748" i="32"/>
  <c r="L748" i="32"/>
  <c r="L747" i="32"/>
  <c r="M746" i="32"/>
  <c r="L746" i="32"/>
  <c r="L745" i="32"/>
  <c r="M744" i="32"/>
  <c r="L744" i="32"/>
  <c r="L743" i="32"/>
  <c r="M742" i="32"/>
  <c r="L742" i="32"/>
  <c r="L741" i="32"/>
  <c r="M740" i="32"/>
  <c r="L740" i="32"/>
  <c r="L739" i="32"/>
  <c r="M738" i="32"/>
  <c r="L738" i="32"/>
  <c r="L737" i="32"/>
  <c r="M736" i="32"/>
  <c r="L736" i="32"/>
  <c r="L735" i="32"/>
  <c r="M734" i="32"/>
  <c r="L734" i="32"/>
  <c r="L733" i="32"/>
  <c r="M732" i="32"/>
  <c r="L732" i="32"/>
  <c r="L731" i="32"/>
  <c r="M730" i="32"/>
  <c r="L730" i="32"/>
  <c r="L729" i="32"/>
  <c r="M728" i="32"/>
  <c r="L728" i="32"/>
  <c r="L727" i="32"/>
  <c r="M726" i="32"/>
  <c r="L726" i="32"/>
  <c r="L725" i="32"/>
  <c r="M724" i="32"/>
  <c r="L724" i="32"/>
  <c r="L723" i="32"/>
  <c r="M722" i="32"/>
  <c r="L722" i="32"/>
  <c r="L721" i="32"/>
  <c r="M720" i="32"/>
  <c r="L720" i="32"/>
  <c r="L719" i="32"/>
  <c r="M718" i="32"/>
  <c r="L718" i="32"/>
  <c r="L717" i="32"/>
  <c r="M716" i="32"/>
  <c r="L716" i="32"/>
  <c r="L715" i="32"/>
  <c r="M714" i="32"/>
  <c r="L714" i="32"/>
  <c r="L713" i="32"/>
  <c r="M712" i="32"/>
  <c r="L712" i="32"/>
  <c r="L711" i="32"/>
  <c r="M710" i="32"/>
  <c r="L710" i="32"/>
  <c r="L709" i="32"/>
  <c r="M708" i="32"/>
  <c r="L708" i="32"/>
  <c r="M707" i="32"/>
  <c r="L707" i="32"/>
  <c r="M706" i="32"/>
  <c r="L706" i="32"/>
  <c r="M705" i="32"/>
  <c r="L705" i="32"/>
  <c r="M704" i="32"/>
  <c r="L704" i="32"/>
  <c r="M703" i="32"/>
  <c r="L703" i="32"/>
  <c r="M702" i="32"/>
  <c r="L702" i="32"/>
  <c r="M701" i="32"/>
  <c r="L701" i="32"/>
  <c r="M700" i="32"/>
  <c r="L700" i="32"/>
  <c r="M699" i="32"/>
  <c r="L699" i="32"/>
  <c r="M698" i="32"/>
  <c r="L698" i="32"/>
  <c r="M697" i="32"/>
  <c r="L697" i="32"/>
  <c r="M696" i="32"/>
  <c r="L696" i="32"/>
  <c r="M695" i="32"/>
  <c r="L695" i="32"/>
  <c r="M694" i="32"/>
  <c r="L694" i="32"/>
  <c r="M693" i="32"/>
  <c r="L693" i="32"/>
  <c r="M692" i="32"/>
  <c r="L692" i="32"/>
  <c r="M691" i="32"/>
  <c r="L691" i="32"/>
  <c r="M690" i="32"/>
  <c r="L690" i="32"/>
  <c r="L689" i="32"/>
  <c r="M688" i="32"/>
  <c r="L688" i="32"/>
  <c r="L687" i="32"/>
  <c r="M686" i="32"/>
  <c r="L686" i="32"/>
  <c r="L685" i="32"/>
  <c r="M684" i="32"/>
  <c r="L684" i="32"/>
  <c r="L683" i="32"/>
  <c r="M682" i="32"/>
  <c r="L682" i="32"/>
  <c r="L681" i="32"/>
  <c r="M680" i="32"/>
  <c r="L680" i="32"/>
  <c r="L679" i="32"/>
  <c r="M678" i="32"/>
  <c r="L678" i="32"/>
  <c r="L677" i="32"/>
  <c r="M676" i="32"/>
  <c r="L676" i="32"/>
  <c r="L675" i="32"/>
  <c r="M674" i="32"/>
  <c r="L674" i="32"/>
  <c r="L673" i="32"/>
  <c r="M672" i="32"/>
  <c r="L672" i="32"/>
  <c r="L671" i="32"/>
  <c r="M670" i="32"/>
  <c r="L670" i="32"/>
  <c r="L669" i="32"/>
  <c r="M668" i="32"/>
  <c r="L668" i="32"/>
  <c r="L667" i="32"/>
  <c r="M666" i="32"/>
  <c r="L666" i="32"/>
  <c r="L665" i="32"/>
  <c r="M664" i="32"/>
  <c r="L664" i="32"/>
  <c r="L663" i="32"/>
  <c r="M662" i="32"/>
  <c r="L662" i="32"/>
  <c r="L661" i="32"/>
  <c r="M660" i="32"/>
  <c r="L660" i="32"/>
  <c r="L659" i="32"/>
  <c r="M658" i="32"/>
  <c r="L658" i="32"/>
  <c r="L657" i="32"/>
  <c r="M656" i="32"/>
  <c r="L656" i="32"/>
  <c r="L655" i="32"/>
  <c r="M654" i="32"/>
  <c r="L654" i="32"/>
  <c r="L653" i="32"/>
  <c r="M652" i="32"/>
  <c r="L652" i="32"/>
  <c r="L651" i="32"/>
  <c r="M650" i="32"/>
  <c r="L650" i="32"/>
  <c r="L649" i="32"/>
  <c r="M648" i="32"/>
  <c r="L648" i="32"/>
  <c r="L647" i="32"/>
  <c r="M646" i="32"/>
  <c r="L646" i="32"/>
  <c r="L645" i="32"/>
  <c r="M644" i="32"/>
  <c r="L644" i="32"/>
  <c r="L643" i="32"/>
  <c r="M642" i="32"/>
  <c r="L642" i="32"/>
  <c r="L641" i="32"/>
  <c r="M640" i="32"/>
  <c r="L640" i="32"/>
  <c r="L639" i="32"/>
  <c r="M638" i="32"/>
  <c r="L638" i="32"/>
  <c r="L637" i="32"/>
  <c r="M636" i="32"/>
  <c r="L636" i="32"/>
  <c r="L635" i="32"/>
  <c r="M634" i="32"/>
  <c r="L634" i="32"/>
  <c r="L633" i="32"/>
  <c r="M632" i="32"/>
  <c r="L632" i="32"/>
  <c r="L631" i="32"/>
  <c r="M630" i="32"/>
  <c r="L630" i="32"/>
  <c r="L629" i="32"/>
  <c r="M628" i="32"/>
  <c r="L628" i="32"/>
  <c r="L627" i="32"/>
  <c r="M626" i="32"/>
  <c r="L626" i="32"/>
  <c r="L625" i="32"/>
  <c r="M624" i="32"/>
  <c r="L624" i="32"/>
  <c r="L623" i="32"/>
  <c r="M622" i="32"/>
  <c r="L622" i="32"/>
  <c r="L621" i="32"/>
  <c r="M620" i="32"/>
  <c r="L620" i="32"/>
  <c r="M619" i="32"/>
  <c r="L619" i="32"/>
  <c r="M618" i="32"/>
  <c r="L618" i="32"/>
  <c r="M617" i="32"/>
  <c r="L617" i="32"/>
  <c r="M616" i="32"/>
  <c r="L616" i="32"/>
  <c r="M615" i="32"/>
  <c r="L615" i="32"/>
  <c r="M614" i="32"/>
  <c r="L614" i="32"/>
  <c r="M613" i="32"/>
  <c r="L613" i="32"/>
  <c r="M612" i="32"/>
  <c r="L612" i="32"/>
  <c r="M611" i="32"/>
  <c r="L611" i="32"/>
  <c r="M610" i="32"/>
  <c r="L610" i="32"/>
  <c r="M609" i="32"/>
  <c r="L609" i="32"/>
  <c r="M608" i="32"/>
  <c r="L608" i="32"/>
  <c r="M607" i="32"/>
  <c r="L607" i="32"/>
  <c r="M606" i="32"/>
  <c r="L606" i="32"/>
  <c r="M605" i="32"/>
  <c r="L605" i="32"/>
  <c r="M604" i="32"/>
  <c r="L604" i="32"/>
  <c r="M603" i="32"/>
  <c r="L603" i="32"/>
  <c r="M602" i="32"/>
  <c r="L602" i="32"/>
  <c r="L601" i="32"/>
  <c r="M600" i="32"/>
  <c r="L600" i="32"/>
  <c r="L599" i="32"/>
  <c r="M598" i="32"/>
  <c r="L598" i="32"/>
  <c r="L597" i="32"/>
  <c r="M596" i="32"/>
  <c r="L596" i="32"/>
  <c r="L595" i="32"/>
  <c r="M594" i="32"/>
  <c r="L594" i="32"/>
  <c r="L593" i="32"/>
  <c r="M592" i="32"/>
  <c r="L592" i="32"/>
  <c r="L591" i="32"/>
  <c r="M590" i="32"/>
  <c r="L590" i="32"/>
  <c r="L589" i="32"/>
  <c r="M588" i="32"/>
  <c r="L588" i="32"/>
  <c r="L587" i="32"/>
  <c r="M586" i="32"/>
  <c r="L586" i="32"/>
  <c r="L585" i="32"/>
  <c r="M584" i="32"/>
  <c r="L584" i="32"/>
  <c r="L583" i="32"/>
  <c r="M582" i="32"/>
  <c r="L582" i="32"/>
  <c r="L581" i="32"/>
  <c r="M580" i="32"/>
  <c r="L580" i="32"/>
  <c r="L579" i="32"/>
  <c r="M578" i="32"/>
  <c r="L578" i="32"/>
  <c r="L577" i="32"/>
  <c r="M576" i="32"/>
  <c r="L576" i="32"/>
  <c r="L575" i="32"/>
  <c r="M574" i="32"/>
  <c r="L574" i="32"/>
  <c r="L573" i="32"/>
  <c r="M572" i="32"/>
  <c r="L572" i="32"/>
  <c r="L571" i="32"/>
  <c r="M570" i="32"/>
  <c r="L570" i="32"/>
  <c r="L569" i="32"/>
  <c r="M568" i="32"/>
  <c r="L568" i="32"/>
  <c r="L567" i="32"/>
  <c r="M566" i="32"/>
  <c r="L566" i="32"/>
  <c r="L565" i="32"/>
  <c r="M564" i="32"/>
  <c r="L564" i="32"/>
  <c r="L563" i="32"/>
  <c r="M562" i="32"/>
  <c r="L562" i="32"/>
  <c r="L561" i="32"/>
  <c r="M560" i="32"/>
  <c r="L560" i="32"/>
  <c r="L559" i="32"/>
  <c r="M558" i="32"/>
  <c r="L558" i="32"/>
  <c r="L557" i="32"/>
  <c r="M556" i="32"/>
  <c r="L556" i="32"/>
  <c r="L555" i="32"/>
  <c r="M554" i="32"/>
  <c r="L554" i="32"/>
  <c r="L553" i="32"/>
  <c r="M552" i="32"/>
  <c r="L552" i="32"/>
  <c r="L551" i="32"/>
  <c r="M550" i="32"/>
  <c r="L550" i="32"/>
  <c r="L549" i="32"/>
  <c r="M548" i="32"/>
  <c r="L548" i="32"/>
  <c r="L547" i="32"/>
  <c r="M546" i="32"/>
  <c r="L546" i="32"/>
  <c r="L545" i="32"/>
  <c r="M544" i="32"/>
  <c r="L544" i="32"/>
  <c r="L543" i="32"/>
  <c r="M542" i="32"/>
  <c r="L542" i="32"/>
  <c r="L541" i="32"/>
  <c r="M540" i="32"/>
  <c r="L540" i="32"/>
  <c r="L539" i="32"/>
  <c r="M538" i="32"/>
  <c r="L538" i="32"/>
  <c r="L537" i="32"/>
  <c r="M536" i="32"/>
  <c r="L536" i="32"/>
  <c r="L535" i="32"/>
  <c r="M534" i="32"/>
  <c r="L534" i="32"/>
  <c r="L533" i="32"/>
  <c r="M532" i="32"/>
  <c r="L532" i="32"/>
  <c r="M531" i="32"/>
  <c r="L531" i="32"/>
  <c r="M530" i="32"/>
  <c r="L530" i="32"/>
  <c r="M529" i="32"/>
  <c r="L529" i="32"/>
  <c r="M528" i="32"/>
  <c r="L528" i="32"/>
  <c r="M527" i="32"/>
  <c r="L527" i="32"/>
  <c r="M526" i="32"/>
  <c r="L526" i="32"/>
  <c r="M525" i="32"/>
  <c r="L525" i="32"/>
  <c r="M524" i="32"/>
  <c r="L524" i="32"/>
  <c r="M523" i="32"/>
  <c r="L523" i="32"/>
  <c r="M522" i="32"/>
  <c r="L522" i="32"/>
  <c r="M521" i="32"/>
  <c r="L521" i="32"/>
  <c r="M520" i="32"/>
  <c r="L520" i="32"/>
  <c r="M519" i="32"/>
  <c r="L519" i="32"/>
  <c r="M518" i="32"/>
  <c r="L518" i="32"/>
  <c r="M517" i="32"/>
  <c r="L517" i="32"/>
  <c r="M516" i="32"/>
  <c r="L516" i="32"/>
  <c r="M515" i="32"/>
  <c r="L515" i="32"/>
  <c r="M514" i="32"/>
  <c r="L514" i="32"/>
  <c r="L513" i="32"/>
  <c r="M512" i="32"/>
  <c r="L512" i="32"/>
  <c r="L511" i="32"/>
  <c r="M510" i="32"/>
  <c r="L510" i="32"/>
  <c r="L509" i="32"/>
  <c r="M508" i="32"/>
  <c r="L508" i="32"/>
  <c r="L507" i="32"/>
  <c r="M506" i="32"/>
  <c r="L506" i="32"/>
  <c r="L505" i="32"/>
  <c r="M504" i="32"/>
  <c r="L504" i="32"/>
  <c r="L503" i="32"/>
  <c r="M502" i="32"/>
  <c r="L502" i="32"/>
  <c r="L501" i="32"/>
  <c r="M500" i="32"/>
  <c r="L500" i="32"/>
  <c r="L499" i="32"/>
  <c r="M498" i="32"/>
  <c r="L498" i="32"/>
  <c r="L497" i="32"/>
  <c r="M496" i="32"/>
  <c r="L496" i="32"/>
  <c r="L495" i="32"/>
  <c r="M494" i="32"/>
  <c r="L494" i="32"/>
  <c r="L493" i="32"/>
  <c r="M492" i="32"/>
  <c r="L492" i="32"/>
  <c r="L491" i="32"/>
  <c r="M490" i="32"/>
  <c r="L490" i="32"/>
  <c r="L489" i="32"/>
  <c r="M488" i="32"/>
  <c r="L488" i="32"/>
  <c r="L487" i="32"/>
  <c r="M486" i="32"/>
  <c r="L486" i="32"/>
  <c r="L485" i="32"/>
  <c r="M484" i="32"/>
  <c r="L484" i="32"/>
  <c r="L483" i="32"/>
  <c r="M482" i="32"/>
  <c r="L482" i="32"/>
  <c r="L481" i="32"/>
  <c r="M480" i="32"/>
  <c r="L480" i="32"/>
  <c r="L479" i="32"/>
  <c r="M478" i="32"/>
  <c r="L478" i="32"/>
  <c r="L477" i="32"/>
  <c r="M476" i="32"/>
  <c r="L476" i="32"/>
  <c r="L475" i="32"/>
  <c r="M474" i="32"/>
  <c r="L474" i="32"/>
  <c r="L473" i="32"/>
  <c r="M472" i="32"/>
  <c r="L472" i="32"/>
  <c r="L471" i="32"/>
  <c r="M470" i="32"/>
  <c r="L470" i="32"/>
  <c r="L469" i="32"/>
  <c r="M468" i="32"/>
  <c r="L468" i="32"/>
  <c r="L467" i="32"/>
  <c r="M466" i="32"/>
  <c r="L466" i="32"/>
  <c r="L465" i="32"/>
  <c r="M464" i="32"/>
  <c r="L464" i="32"/>
  <c r="L463" i="32"/>
  <c r="M462" i="32"/>
  <c r="L462" i="32"/>
  <c r="L461" i="32"/>
  <c r="M460" i="32"/>
  <c r="L460" i="32"/>
  <c r="L459" i="32"/>
  <c r="M458" i="32"/>
  <c r="L458" i="32"/>
  <c r="L457" i="32"/>
  <c r="M456" i="32"/>
  <c r="L456" i="32"/>
  <c r="L455" i="32"/>
  <c r="M454" i="32"/>
  <c r="L454" i="32"/>
  <c r="L453" i="32"/>
  <c r="M452" i="32"/>
  <c r="L452" i="32"/>
  <c r="L451" i="32"/>
  <c r="M450" i="32"/>
  <c r="L450" i="32"/>
  <c r="L449" i="32"/>
  <c r="M448" i="32"/>
  <c r="L448" i="32"/>
  <c r="L447" i="32"/>
  <c r="M446" i="32"/>
  <c r="L446" i="32"/>
  <c r="L445" i="32"/>
  <c r="M444" i="32"/>
  <c r="L444" i="32"/>
  <c r="M443" i="32"/>
  <c r="L443" i="32"/>
  <c r="M442" i="32"/>
  <c r="L442" i="32"/>
  <c r="M441" i="32"/>
  <c r="L441" i="32"/>
  <c r="M440" i="32"/>
  <c r="L440" i="32"/>
  <c r="M439" i="32"/>
  <c r="L439" i="32"/>
  <c r="M438" i="32"/>
  <c r="L438" i="32"/>
  <c r="M437" i="32"/>
  <c r="L437" i="32"/>
  <c r="M436" i="32"/>
  <c r="L436" i="32"/>
  <c r="M435" i="32"/>
  <c r="L435" i="32"/>
  <c r="M434" i="32"/>
  <c r="L434" i="32"/>
  <c r="M433" i="32"/>
  <c r="L433" i="32"/>
  <c r="M432" i="32"/>
  <c r="L432" i="32"/>
  <c r="M431" i="32"/>
  <c r="L431" i="32"/>
  <c r="M430" i="32"/>
  <c r="L430" i="32"/>
  <c r="M429" i="32"/>
  <c r="L429" i="32"/>
  <c r="M428" i="32"/>
  <c r="L428" i="32"/>
  <c r="M427" i="32"/>
  <c r="L427" i="32"/>
  <c r="M426" i="32"/>
  <c r="L426" i="32"/>
  <c r="L425" i="32"/>
  <c r="M424" i="32"/>
  <c r="L424" i="32"/>
  <c r="L423" i="32"/>
  <c r="M422" i="32"/>
  <c r="L422" i="32"/>
  <c r="L421" i="32"/>
  <c r="M420" i="32"/>
  <c r="L420" i="32"/>
  <c r="L419" i="32"/>
  <c r="M418" i="32"/>
  <c r="L418" i="32"/>
  <c r="L417" i="32"/>
  <c r="M416" i="32"/>
  <c r="L416" i="32"/>
  <c r="L415" i="32"/>
  <c r="M414" i="32"/>
  <c r="L414" i="32"/>
  <c r="L413" i="32"/>
  <c r="M412" i="32"/>
  <c r="L412" i="32"/>
  <c r="L411" i="32"/>
  <c r="M410" i="32"/>
  <c r="L410" i="32"/>
  <c r="L409" i="32"/>
  <c r="M408" i="32"/>
  <c r="L408" i="32"/>
  <c r="L407" i="32"/>
  <c r="M406" i="32"/>
  <c r="L406" i="32"/>
  <c r="L405" i="32"/>
  <c r="M404" i="32"/>
  <c r="L404" i="32"/>
  <c r="L403" i="32"/>
  <c r="M402" i="32"/>
  <c r="L402" i="32"/>
  <c r="L401" i="32"/>
  <c r="M400" i="32"/>
  <c r="L400" i="32"/>
  <c r="L399" i="32"/>
  <c r="M398" i="32"/>
  <c r="L398" i="32"/>
  <c r="L397" i="32"/>
  <c r="M396" i="32"/>
  <c r="L396" i="32"/>
  <c r="L395" i="32"/>
  <c r="M394" i="32"/>
  <c r="L394" i="32"/>
  <c r="L393" i="32"/>
  <c r="M392" i="32"/>
  <c r="L392" i="32"/>
  <c r="L391" i="32"/>
  <c r="M390" i="32"/>
  <c r="L390" i="32"/>
  <c r="L389" i="32"/>
  <c r="M388" i="32"/>
  <c r="L388" i="32"/>
  <c r="L387" i="32"/>
  <c r="M386" i="32"/>
  <c r="L386" i="32"/>
  <c r="L385" i="32"/>
  <c r="M384" i="32"/>
  <c r="L384" i="32"/>
  <c r="L383" i="32"/>
  <c r="M382" i="32"/>
  <c r="L382" i="32"/>
  <c r="L381" i="32"/>
  <c r="M380" i="32"/>
  <c r="L380" i="32"/>
  <c r="L379" i="32"/>
  <c r="M378" i="32"/>
  <c r="L378" i="32"/>
  <c r="L377" i="32"/>
  <c r="M376" i="32"/>
  <c r="L376" i="32"/>
  <c r="L375" i="32"/>
  <c r="M374" i="32"/>
  <c r="L374" i="32"/>
  <c r="L373" i="32"/>
  <c r="M372" i="32"/>
  <c r="L372" i="32"/>
  <c r="L371" i="32"/>
  <c r="M370" i="32"/>
  <c r="L370" i="32"/>
  <c r="L369" i="32"/>
  <c r="M368" i="32"/>
  <c r="L368" i="32"/>
  <c r="L367" i="32"/>
  <c r="M366" i="32"/>
  <c r="L366" i="32"/>
  <c r="L365" i="32"/>
  <c r="M364" i="32"/>
  <c r="L364" i="32"/>
  <c r="L363" i="32"/>
  <c r="M362" i="32"/>
  <c r="L362" i="32"/>
  <c r="L361" i="32"/>
  <c r="M360" i="32"/>
  <c r="L360" i="32"/>
  <c r="L359" i="32"/>
  <c r="M358" i="32"/>
  <c r="L358" i="32"/>
  <c r="L357" i="32"/>
  <c r="M356" i="32"/>
  <c r="L356" i="32"/>
  <c r="M355" i="32"/>
  <c r="L355" i="32"/>
  <c r="M354" i="32"/>
  <c r="L354" i="32"/>
  <c r="M353" i="32"/>
  <c r="L353" i="32"/>
  <c r="M352" i="32"/>
  <c r="L352" i="32"/>
  <c r="M351" i="32"/>
  <c r="L351" i="32"/>
  <c r="M350" i="32"/>
  <c r="L350" i="32"/>
  <c r="M349" i="32"/>
  <c r="L349" i="32"/>
  <c r="M348" i="32"/>
  <c r="L348" i="32"/>
  <c r="M347" i="32"/>
  <c r="L347" i="32"/>
  <c r="M346" i="32"/>
  <c r="L346" i="32"/>
  <c r="M345" i="32"/>
  <c r="L345" i="32"/>
  <c r="M344" i="32"/>
  <c r="L344" i="32"/>
  <c r="M343" i="32"/>
  <c r="L343" i="32"/>
  <c r="M342" i="32"/>
  <c r="L342" i="32"/>
  <c r="M341" i="32"/>
  <c r="L341" i="32"/>
  <c r="M340" i="32"/>
  <c r="L340" i="32"/>
  <c r="M339" i="32"/>
  <c r="L339" i="32"/>
  <c r="M338" i="32"/>
  <c r="L338" i="32"/>
  <c r="L337" i="32"/>
  <c r="M336" i="32"/>
  <c r="L336" i="32"/>
  <c r="L335" i="32"/>
  <c r="M334" i="32"/>
  <c r="L334" i="32"/>
  <c r="L333" i="32"/>
  <c r="M332" i="32"/>
  <c r="L332" i="32"/>
  <c r="L331" i="32"/>
  <c r="M330" i="32"/>
  <c r="L330" i="32"/>
  <c r="L329" i="32"/>
  <c r="M328" i="32"/>
  <c r="L328" i="32"/>
  <c r="L327" i="32"/>
  <c r="M326" i="32"/>
  <c r="L326" i="32"/>
  <c r="L325" i="32"/>
  <c r="M324" i="32"/>
  <c r="L324" i="32"/>
  <c r="L323" i="32"/>
  <c r="M322" i="32"/>
  <c r="L322" i="32"/>
  <c r="L321" i="32"/>
  <c r="M320" i="32"/>
  <c r="L320" i="32"/>
  <c r="L319" i="32"/>
  <c r="M318" i="32"/>
  <c r="L318" i="32"/>
  <c r="L317" i="32"/>
  <c r="M316" i="32"/>
  <c r="L316" i="32"/>
  <c r="L315" i="32"/>
  <c r="M314" i="32"/>
  <c r="L314" i="32"/>
  <c r="L313" i="32"/>
  <c r="M312" i="32"/>
  <c r="L312" i="32"/>
  <c r="L311" i="32"/>
  <c r="M310" i="32"/>
  <c r="L310" i="32"/>
  <c r="L309" i="32"/>
  <c r="M308" i="32"/>
  <c r="L308" i="32"/>
  <c r="L307" i="32"/>
  <c r="M306" i="32"/>
  <c r="L306" i="32"/>
  <c r="L305" i="32"/>
  <c r="M304" i="32"/>
  <c r="L304" i="32"/>
  <c r="L303" i="32"/>
  <c r="M302" i="32"/>
  <c r="L302" i="32"/>
  <c r="L301" i="32"/>
  <c r="M300" i="32"/>
  <c r="L300" i="32"/>
  <c r="L299" i="32"/>
  <c r="M298" i="32"/>
  <c r="L298" i="32"/>
  <c r="L297" i="32"/>
  <c r="M296" i="32"/>
  <c r="L296" i="32"/>
  <c r="L295" i="32"/>
  <c r="M294" i="32"/>
  <c r="L294" i="32"/>
  <c r="L293" i="32"/>
  <c r="M292" i="32"/>
  <c r="L292" i="32"/>
  <c r="L291" i="32"/>
  <c r="M290" i="32"/>
  <c r="L290" i="32"/>
  <c r="L289" i="32"/>
  <c r="M288" i="32"/>
  <c r="L288" i="32"/>
  <c r="L287" i="32"/>
  <c r="M286" i="32"/>
  <c r="L286" i="32"/>
  <c r="L285" i="32"/>
  <c r="M284" i="32"/>
  <c r="L284" i="32"/>
  <c r="L283" i="32"/>
  <c r="M282" i="32"/>
  <c r="L282" i="32"/>
  <c r="L281" i="32"/>
  <c r="M280" i="32"/>
  <c r="L280" i="32"/>
  <c r="L279" i="32"/>
  <c r="M278" i="32"/>
  <c r="L278" i="32"/>
  <c r="L277" i="32"/>
  <c r="M276" i="32"/>
  <c r="L276" i="32"/>
  <c r="L275" i="32"/>
  <c r="M274" i="32"/>
  <c r="L274" i="32"/>
  <c r="L273" i="32"/>
  <c r="M272" i="32"/>
  <c r="L272" i="32"/>
  <c r="L271" i="32"/>
  <c r="M270" i="32"/>
  <c r="L270" i="32"/>
  <c r="L269" i="32"/>
  <c r="M268" i="32"/>
  <c r="L268" i="32"/>
  <c r="M267" i="32"/>
  <c r="L267" i="32"/>
  <c r="M266" i="32"/>
  <c r="L266" i="32"/>
  <c r="M265" i="32"/>
  <c r="L265" i="32"/>
  <c r="M264" i="32"/>
  <c r="L264" i="32"/>
  <c r="M263" i="32"/>
  <c r="L263" i="32"/>
  <c r="M262" i="32"/>
  <c r="L262" i="32"/>
  <c r="M261" i="32"/>
  <c r="L261" i="32"/>
  <c r="M260" i="32"/>
  <c r="L260" i="32"/>
  <c r="M259" i="32"/>
  <c r="L259" i="32"/>
  <c r="M258" i="32"/>
  <c r="L258" i="32"/>
  <c r="M257" i="32"/>
  <c r="L257" i="32"/>
  <c r="M256" i="32"/>
  <c r="L256" i="32"/>
  <c r="M255" i="32"/>
  <c r="L255" i="32"/>
  <c r="M254" i="32"/>
  <c r="L254" i="32"/>
  <c r="M253" i="32"/>
  <c r="L253" i="32"/>
  <c r="M252" i="32"/>
  <c r="L252" i="32"/>
  <c r="M251" i="32"/>
  <c r="L251" i="32"/>
  <c r="M250" i="32"/>
  <c r="L250" i="32"/>
  <c r="L249" i="32"/>
  <c r="M248" i="32"/>
  <c r="L248" i="32"/>
  <c r="L247" i="32"/>
  <c r="M246" i="32"/>
  <c r="L246" i="32"/>
  <c r="L245" i="32"/>
  <c r="M244" i="32"/>
  <c r="L244" i="32"/>
  <c r="L243" i="32"/>
  <c r="M242" i="32"/>
  <c r="L242" i="32"/>
  <c r="L241" i="32"/>
  <c r="M240" i="32"/>
  <c r="L240" i="32"/>
  <c r="L239" i="32"/>
  <c r="M238" i="32"/>
  <c r="L238" i="32"/>
  <c r="L237" i="32"/>
  <c r="M236" i="32"/>
  <c r="L236" i="32"/>
  <c r="L235" i="32"/>
  <c r="M234" i="32"/>
  <c r="L234" i="32"/>
  <c r="L233" i="32"/>
  <c r="M232" i="32"/>
  <c r="L232" i="32"/>
  <c r="L231" i="32"/>
  <c r="M230" i="32"/>
  <c r="L230" i="32"/>
  <c r="L229" i="32"/>
  <c r="M228" i="32"/>
  <c r="L228" i="32"/>
  <c r="L227" i="32"/>
  <c r="M226" i="32"/>
  <c r="L226" i="32"/>
  <c r="L225" i="32"/>
  <c r="M224" i="32"/>
  <c r="L224" i="32"/>
  <c r="L223" i="32"/>
  <c r="M222" i="32"/>
  <c r="L222" i="32"/>
  <c r="L221" i="32"/>
  <c r="M220" i="32"/>
  <c r="L220" i="32"/>
  <c r="L219" i="32"/>
  <c r="M218" i="32"/>
  <c r="L218" i="32"/>
  <c r="L217" i="32"/>
  <c r="M216" i="32"/>
  <c r="L216" i="32"/>
  <c r="L215" i="32"/>
  <c r="M214" i="32"/>
  <c r="L214" i="32"/>
  <c r="L213" i="32"/>
  <c r="M212" i="32"/>
  <c r="L212" i="32"/>
  <c r="L211" i="32"/>
  <c r="M210" i="32"/>
  <c r="L210" i="32"/>
  <c r="L209" i="32"/>
  <c r="M208" i="32"/>
  <c r="L208" i="32"/>
  <c r="L207" i="32"/>
  <c r="M206" i="32"/>
  <c r="L206" i="32"/>
  <c r="L205" i="32"/>
  <c r="M204" i="32"/>
  <c r="L204" i="32"/>
  <c r="L203" i="32"/>
  <c r="M202" i="32"/>
  <c r="L202" i="32"/>
  <c r="L201" i="32"/>
  <c r="M200" i="32"/>
  <c r="L200" i="32"/>
  <c r="L199" i="32"/>
  <c r="M198" i="32"/>
  <c r="L198" i="32"/>
  <c r="L197" i="32"/>
  <c r="M196" i="32"/>
  <c r="L196" i="32"/>
  <c r="L195" i="32"/>
  <c r="M194" i="32"/>
  <c r="L194" i="32"/>
  <c r="L193" i="32"/>
  <c r="M192" i="32"/>
  <c r="L192" i="32"/>
  <c r="L191" i="32"/>
  <c r="M190" i="32"/>
  <c r="L190" i="32"/>
  <c r="L189" i="32"/>
  <c r="M188" i="32"/>
  <c r="L188" i="32"/>
  <c r="L187" i="32"/>
  <c r="M186" i="32"/>
  <c r="L186" i="32"/>
  <c r="L185" i="32"/>
  <c r="M184" i="32"/>
  <c r="L184" i="32"/>
  <c r="L183" i="32"/>
  <c r="M182" i="32"/>
  <c r="L182" i="32"/>
  <c r="L181" i="32"/>
  <c r="M180" i="32"/>
  <c r="L180" i="32"/>
  <c r="M179" i="32"/>
  <c r="L179" i="32"/>
  <c r="M178" i="32"/>
  <c r="L178" i="32"/>
  <c r="M177" i="32"/>
  <c r="L177" i="32"/>
  <c r="M176" i="32"/>
  <c r="L176" i="32"/>
  <c r="M175" i="32"/>
  <c r="L175" i="32"/>
  <c r="M174" i="32"/>
  <c r="L174" i="32"/>
  <c r="M173" i="32"/>
  <c r="L173" i="32"/>
  <c r="M172" i="32"/>
  <c r="L172" i="32"/>
  <c r="M171" i="32"/>
  <c r="L171" i="32"/>
  <c r="M170" i="32"/>
  <c r="L170" i="32"/>
  <c r="M169" i="32"/>
  <c r="L169" i="32"/>
  <c r="M168" i="32"/>
  <c r="L168" i="32"/>
  <c r="M167" i="32"/>
  <c r="L167" i="32"/>
  <c r="M166" i="32"/>
  <c r="L166" i="32"/>
  <c r="M165" i="32"/>
  <c r="L165" i="32"/>
  <c r="M164" i="32"/>
  <c r="L164" i="32"/>
  <c r="M163" i="32"/>
  <c r="L163" i="32"/>
  <c r="M162" i="32"/>
  <c r="L162" i="32"/>
  <c r="L161" i="32"/>
  <c r="M160" i="32"/>
  <c r="L160" i="32"/>
  <c r="L159" i="32"/>
  <c r="M158" i="32"/>
  <c r="L158" i="32"/>
  <c r="L157" i="32"/>
  <c r="M156" i="32"/>
  <c r="L156" i="32"/>
  <c r="L155" i="32"/>
  <c r="M154" i="32"/>
  <c r="L154" i="32"/>
  <c r="L153" i="32"/>
  <c r="M152" i="32"/>
  <c r="L152" i="32"/>
  <c r="L151" i="32"/>
  <c r="M150" i="32"/>
  <c r="L150" i="32"/>
  <c r="L149" i="32"/>
  <c r="M148" i="32"/>
  <c r="L148" i="32"/>
  <c r="L147" i="32"/>
  <c r="M146" i="32"/>
  <c r="L146" i="32"/>
  <c r="L145" i="32"/>
  <c r="M144" i="32"/>
  <c r="L144" i="32"/>
  <c r="L143" i="32"/>
  <c r="M142" i="32"/>
  <c r="L142" i="32"/>
  <c r="L141" i="32"/>
  <c r="M140" i="32"/>
  <c r="L140" i="32"/>
  <c r="L139" i="32"/>
  <c r="M138" i="32"/>
  <c r="L138" i="32"/>
  <c r="L137" i="32"/>
  <c r="M136" i="32"/>
  <c r="L136" i="32"/>
  <c r="L135" i="32"/>
  <c r="M134" i="32"/>
  <c r="L134" i="32"/>
  <c r="L133" i="32"/>
  <c r="M132" i="32"/>
  <c r="L132" i="32"/>
  <c r="L131" i="32"/>
  <c r="M130" i="32"/>
  <c r="L130" i="32"/>
  <c r="L129" i="32"/>
  <c r="M128" i="32"/>
  <c r="L128" i="32"/>
  <c r="L127" i="32"/>
  <c r="M126" i="32"/>
  <c r="L126" i="32"/>
  <c r="L125" i="32"/>
  <c r="M124" i="32"/>
  <c r="L124" i="32"/>
  <c r="L123" i="32"/>
  <c r="M122" i="32"/>
  <c r="L122" i="32"/>
  <c r="L121" i="32"/>
  <c r="M120" i="32"/>
  <c r="L120" i="32"/>
  <c r="L119" i="32"/>
  <c r="M118" i="32"/>
  <c r="L118" i="32"/>
  <c r="L117" i="32"/>
  <c r="M116" i="32"/>
  <c r="L116" i="32"/>
  <c r="L115" i="32"/>
  <c r="M114" i="32"/>
  <c r="L114" i="32"/>
  <c r="L113" i="32"/>
  <c r="M112" i="32"/>
  <c r="L112" i="32"/>
  <c r="L111" i="32"/>
  <c r="M110" i="32"/>
  <c r="L110" i="32"/>
  <c r="L109" i="32"/>
  <c r="M108" i="32"/>
  <c r="L108" i="32"/>
  <c r="L107" i="32"/>
  <c r="M106" i="32"/>
  <c r="L106" i="32"/>
  <c r="L105" i="32"/>
  <c r="M104" i="32"/>
  <c r="L104" i="32"/>
  <c r="L103" i="32"/>
  <c r="M102" i="32"/>
  <c r="L102" i="32"/>
  <c r="L101" i="32"/>
  <c r="M100" i="32"/>
  <c r="L100" i="32"/>
  <c r="L99" i="32"/>
  <c r="M98" i="32"/>
  <c r="L98" i="32"/>
  <c r="L97" i="32"/>
  <c r="M96" i="32"/>
  <c r="L96" i="32"/>
  <c r="L95" i="32"/>
  <c r="M94" i="32"/>
  <c r="L94" i="32"/>
  <c r="L93" i="32"/>
  <c r="M92" i="32"/>
  <c r="L92" i="32"/>
  <c r="M91" i="32"/>
  <c r="L91" i="32"/>
  <c r="M90" i="32"/>
  <c r="L90" i="32"/>
  <c r="M89" i="32"/>
  <c r="L89" i="32"/>
  <c r="M88" i="32"/>
  <c r="L88" i="32"/>
  <c r="M87" i="32"/>
  <c r="L87" i="32"/>
  <c r="M86" i="32"/>
  <c r="L86" i="32"/>
  <c r="M85" i="32"/>
  <c r="L85" i="32"/>
  <c r="M84" i="32"/>
  <c r="L84" i="32"/>
  <c r="M83" i="32"/>
  <c r="L83" i="32"/>
  <c r="M82" i="32"/>
  <c r="L82" i="32"/>
  <c r="M81" i="32"/>
  <c r="L81" i="32"/>
  <c r="M80" i="32"/>
  <c r="L80" i="32"/>
  <c r="M79" i="32"/>
  <c r="L79" i="32"/>
  <c r="M78" i="32"/>
  <c r="L78" i="32"/>
  <c r="M77" i="32"/>
  <c r="L77" i="32"/>
  <c r="M76" i="32"/>
  <c r="L76" i="32"/>
  <c r="M75" i="32"/>
  <c r="L75" i="32"/>
  <c r="M74" i="32"/>
  <c r="L74" i="32"/>
  <c r="L73" i="32"/>
  <c r="M72" i="32"/>
  <c r="L72" i="32"/>
  <c r="L71" i="32"/>
  <c r="M70" i="32"/>
  <c r="L70" i="32"/>
  <c r="L69" i="32"/>
  <c r="M68" i="32"/>
  <c r="L68" i="32"/>
  <c r="L67" i="32"/>
  <c r="M66" i="32"/>
  <c r="L66" i="32"/>
  <c r="L65" i="32"/>
  <c r="M64" i="32"/>
  <c r="L64" i="32"/>
  <c r="L63" i="32"/>
  <c r="M62" i="32"/>
  <c r="L62" i="32"/>
  <c r="L61" i="32"/>
  <c r="M60" i="32"/>
  <c r="L60" i="32"/>
  <c r="L59" i="32"/>
  <c r="M58" i="32"/>
  <c r="L58" i="32"/>
  <c r="L57" i="32"/>
  <c r="M56" i="32"/>
  <c r="L56" i="32"/>
  <c r="L55" i="32"/>
  <c r="M54" i="32"/>
  <c r="L54" i="32"/>
  <c r="L53" i="32"/>
  <c r="M52" i="32"/>
  <c r="L52" i="32"/>
  <c r="L51" i="32"/>
  <c r="M50" i="32"/>
  <c r="L50" i="32"/>
  <c r="L49" i="32"/>
  <c r="M48" i="32"/>
  <c r="L48" i="32"/>
  <c r="L47" i="32"/>
  <c r="M46" i="32"/>
  <c r="L46" i="32"/>
  <c r="L45" i="32"/>
  <c r="M44" i="32"/>
  <c r="L44" i="32"/>
  <c r="L43" i="32"/>
  <c r="M42" i="32"/>
  <c r="L42" i="32"/>
  <c r="L41" i="32"/>
  <c r="M40" i="32"/>
  <c r="L40" i="32"/>
  <c r="L39" i="32"/>
  <c r="M38" i="32"/>
  <c r="L38" i="32"/>
  <c r="L37" i="32"/>
  <c r="M36" i="32"/>
  <c r="L36" i="32"/>
  <c r="L35" i="32"/>
  <c r="M34" i="32"/>
  <c r="L34" i="32"/>
  <c r="L33" i="32"/>
  <c r="M32" i="32"/>
  <c r="L32" i="32"/>
  <c r="L31" i="32"/>
  <c r="M30" i="32"/>
  <c r="L30" i="32"/>
  <c r="L29" i="32"/>
  <c r="M28" i="32"/>
  <c r="L28" i="32"/>
  <c r="L27" i="32"/>
  <c r="M26" i="32"/>
  <c r="L26" i="32"/>
  <c r="L25" i="32"/>
  <c r="M24" i="32"/>
  <c r="L24" i="32"/>
  <c r="L23" i="32"/>
  <c r="M22" i="32"/>
  <c r="L22" i="32"/>
  <c r="L21" i="32"/>
  <c r="M20" i="32"/>
  <c r="L20" i="32"/>
  <c r="L19" i="32"/>
  <c r="M18" i="32"/>
  <c r="L18" i="32"/>
  <c r="L17" i="32"/>
  <c r="M16" i="32"/>
  <c r="L16" i="32"/>
  <c r="L15" i="32"/>
  <c r="M14" i="32"/>
  <c r="L14" i="32"/>
  <c r="L13" i="32"/>
  <c r="M12" i="32"/>
  <c r="L12" i="32"/>
  <c r="L11" i="32"/>
  <c r="M10" i="32"/>
  <c r="L10" i="32"/>
  <c r="L9" i="32"/>
  <c r="M8" i="32"/>
  <c r="L8" i="32"/>
  <c r="L7" i="32"/>
  <c r="M6" i="32"/>
  <c r="L6" i="32"/>
  <c r="L5" i="32"/>
  <c r="M4" i="32"/>
  <c r="L4" i="32"/>
  <c r="N2" i="32"/>
  <c r="N517" i="32" s="1"/>
  <c r="L5" i="25"/>
  <c r="K1235" i="25"/>
  <c r="J1235" i="25"/>
  <c r="I1235" i="25"/>
  <c r="H1235" i="25"/>
  <c r="G1235" i="25"/>
  <c r="F1235" i="25"/>
  <c r="E1235" i="25"/>
  <c r="D1235" i="25"/>
  <c r="K1234" i="25"/>
  <c r="J1234" i="25"/>
  <c r="I1234" i="25"/>
  <c r="H1234" i="25"/>
  <c r="G1234" i="25"/>
  <c r="F1234" i="25"/>
  <c r="E1234" i="25"/>
  <c r="D1234" i="25"/>
  <c r="K1233" i="25"/>
  <c r="J1233" i="25"/>
  <c r="I1233" i="25"/>
  <c r="H1233" i="25"/>
  <c r="G1233" i="25"/>
  <c r="F1233" i="25"/>
  <c r="E1233" i="25"/>
  <c r="D1233" i="25"/>
  <c r="M1147" i="25"/>
  <c r="L1147" i="25"/>
  <c r="M1146" i="25"/>
  <c r="L1146" i="25"/>
  <c r="M1145" i="25"/>
  <c r="L1145" i="25"/>
  <c r="M1059" i="25"/>
  <c r="L1059" i="25"/>
  <c r="M1058" i="25"/>
  <c r="L1058" i="25"/>
  <c r="M1057" i="25"/>
  <c r="L1057" i="25"/>
  <c r="M971" i="25"/>
  <c r="L971" i="25"/>
  <c r="M970" i="25"/>
  <c r="L970" i="25"/>
  <c r="M969" i="25"/>
  <c r="L969" i="25"/>
  <c r="M883" i="25"/>
  <c r="L883" i="25"/>
  <c r="M882" i="25"/>
  <c r="L882" i="25"/>
  <c r="M881" i="25"/>
  <c r="L881" i="25"/>
  <c r="M795" i="25"/>
  <c r="L795" i="25"/>
  <c r="M794" i="25"/>
  <c r="L794" i="25"/>
  <c r="M793" i="25"/>
  <c r="L793" i="25"/>
  <c r="M707" i="25"/>
  <c r="L707" i="25"/>
  <c r="M706" i="25"/>
  <c r="L706" i="25"/>
  <c r="M705" i="25"/>
  <c r="L705" i="25"/>
  <c r="M619" i="25"/>
  <c r="L619" i="25"/>
  <c r="M618" i="25"/>
  <c r="L618" i="25"/>
  <c r="M617" i="25"/>
  <c r="L617" i="25"/>
  <c r="M531" i="25"/>
  <c r="L531" i="25"/>
  <c r="M530" i="25"/>
  <c r="L530" i="25"/>
  <c r="M529" i="25"/>
  <c r="L529" i="25"/>
  <c r="L532" i="25"/>
  <c r="M532" i="25"/>
  <c r="L533" i="25"/>
  <c r="L534" i="25"/>
  <c r="M534" i="25"/>
  <c r="M443" i="25"/>
  <c r="L443" i="25"/>
  <c r="M442" i="25"/>
  <c r="L442" i="25"/>
  <c r="M441" i="25"/>
  <c r="L441" i="25"/>
  <c r="M355" i="25"/>
  <c r="L355" i="25"/>
  <c r="M354" i="25"/>
  <c r="L354" i="25"/>
  <c r="M353" i="25"/>
  <c r="L353" i="25"/>
  <c r="M267" i="25"/>
  <c r="L267" i="25"/>
  <c r="M266" i="25"/>
  <c r="L266" i="25"/>
  <c r="M265" i="25"/>
  <c r="L265" i="25"/>
  <c r="M179" i="25"/>
  <c r="L179" i="25"/>
  <c r="M178" i="25"/>
  <c r="L178" i="25"/>
  <c r="M177" i="25"/>
  <c r="L177" i="25"/>
  <c r="L180" i="25"/>
  <c r="M180" i="25"/>
  <c r="L181" i="25"/>
  <c r="L182" i="25"/>
  <c r="M182" i="25"/>
  <c r="M91" i="25"/>
  <c r="L91" i="25"/>
  <c r="M90" i="25"/>
  <c r="L90" i="25"/>
  <c r="M89" i="25"/>
  <c r="L89" i="25"/>
  <c r="D705" i="21"/>
  <c r="G707" i="21"/>
  <c r="F707" i="21"/>
  <c r="E707" i="21"/>
  <c r="D707" i="21"/>
  <c r="G706" i="21"/>
  <c r="F706" i="21"/>
  <c r="E706" i="21"/>
  <c r="D706" i="21"/>
  <c r="G705" i="21"/>
  <c r="F705" i="21"/>
  <c r="E705" i="21"/>
  <c r="H709" i="21"/>
  <c r="I709" i="21"/>
  <c r="H710" i="21"/>
  <c r="I710" i="21"/>
  <c r="H617" i="21"/>
  <c r="H618" i="21"/>
  <c r="H619" i="21"/>
  <c r="H529" i="21"/>
  <c r="H530" i="21"/>
  <c r="H531" i="21"/>
  <c r="H441" i="21"/>
  <c r="H442" i="21"/>
  <c r="H443" i="21"/>
  <c r="H353" i="21"/>
  <c r="H354" i="21"/>
  <c r="H355" i="21"/>
  <c r="H265" i="21"/>
  <c r="H266" i="21"/>
  <c r="H267" i="21"/>
  <c r="H177" i="21"/>
  <c r="H178" i="21"/>
  <c r="H179" i="21"/>
  <c r="H89" i="21"/>
  <c r="H90" i="21"/>
  <c r="H91" i="21"/>
  <c r="I89" i="21"/>
  <c r="I619" i="21"/>
  <c r="I618" i="21"/>
  <c r="I617" i="21"/>
  <c r="H711" i="21"/>
  <c r="I531" i="21"/>
  <c r="I530" i="21"/>
  <c r="I529" i="21"/>
  <c r="H532" i="21"/>
  <c r="I532" i="21"/>
  <c r="H533" i="21"/>
  <c r="H534" i="21"/>
  <c r="I534" i="21"/>
  <c r="I443" i="21"/>
  <c r="I442" i="21"/>
  <c r="I441" i="21"/>
  <c r="I355" i="21"/>
  <c r="I354" i="21"/>
  <c r="I353" i="21"/>
  <c r="I267" i="21"/>
  <c r="I266" i="21"/>
  <c r="I265" i="21"/>
  <c r="I179" i="21"/>
  <c r="I178" i="21"/>
  <c r="I177" i="21"/>
  <c r="I91" i="21"/>
  <c r="I90" i="21"/>
  <c r="M1238" i="25"/>
  <c r="M1239" i="25"/>
  <c r="M1237" i="25"/>
  <c r="M1144" i="25"/>
  <c r="M1143" i="25"/>
  <c r="M1142" i="25"/>
  <c r="M1141" i="25"/>
  <c r="M1140" i="25"/>
  <c r="M1139" i="25"/>
  <c r="M1138" i="25"/>
  <c r="M1137" i="25"/>
  <c r="M1136" i="25"/>
  <c r="M1135" i="25"/>
  <c r="M1134" i="25"/>
  <c r="M1133" i="25"/>
  <c r="M1132" i="25"/>
  <c r="M1131" i="25"/>
  <c r="M1130" i="25"/>
  <c r="M1128" i="25"/>
  <c r="M1126" i="25"/>
  <c r="M1124" i="25"/>
  <c r="M1122" i="25"/>
  <c r="M1120" i="25"/>
  <c r="M1118" i="25"/>
  <c r="M1116" i="25"/>
  <c r="M1114" i="25"/>
  <c r="M1112" i="25"/>
  <c r="M1110" i="25"/>
  <c r="M1108" i="25"/>
  <c r="M1106" i="25"/>
  <c r="M1104" i="25"/>
  <c r="M1102" i="25"/>
  <c r="M1100" i="25"/>
  <c r="M1098" i="25"/>
  <c r="M1096" i="25"/>
  <c r="M1094" i="25"/>
  <c r="M1092" i="25"/>
  <c r="M1090" i="25"/>
  <c r="M1088" i="25"/>
  <c r="M1086" i="25"/>
  <c r="M1084" i="25"/>
  <c r="M1082" i="25"/>
  <c r="M1080" i="25"/>
  <c r="M1078" i="25"/>
  <c r="M1076" i="25"/>
  <c r="M1074" i="25"/>
  <c r="M1072" i="25"/>
  <c r="M1070" i="25"/>
  <c r="M1068" i="25"/>
  <c r="M1066" i="25"/>
  <c r="M1064" i="25"/>
  <c r="M1062" i="25"/>
  <c r="M1060" i="25"/>
  <c r="M1056" i="25"/>
  <c r="M1055" i="25"/>
  <c r="M1054" i="25"/>
  <c r="M1053" i="25"/>
  <c r="M1052" i="25"/>
  <c r="M1051" i="25"/>
  <c r="M1050" i="25"/>
  <c r="M1049" i="25"/>
  <c r="M1048" i="25"/>
  <c r="M1047" i="25"/>
  <c r="M1046" i="25"/>
  <c r="M1045" i="25"/>
  <c r="M1044" i="25"/>
  <c r="M1043" i="25"/>
  <c r="M1042" i="25"/>
  <c r="M1040" i="25"/>
  <c r="M1038" i="25"/>
  <c r="M1036" i="25"/>
  <c r="M1034" i="25"/>
  <c r="M1032" i="25"/>
  <c r="M1030" i="25"/>
  <c r="M1028" i="25"/>
  <c r="M1026" i="25"/>
  <c r="M1024" i="25"/>
  <c r="M1022" i="25"/>
  <c r="M1020" i="25"/>
  <c r="M1018" i="25"/>
  <c r="M1016" i="25"/>
  <c r="M1014" i="25"/>
  <c r="M1012" i="25"/>
  <c r="M1010" i="25"/>
  <c r="M1008" i="25"/>
  <c r="M1006" i="25"/>
  <c r="M1004" i="25"/>
  <c r="M1002" i="25"/>
  <c r="M1000" i="25"/>
  <c r="M998" i="25"/>
  <c r="M996" i="25"/>
  <c r="M994" i="25"/>
  <c r="M992" i="25"/>
  <c r="M990" i="25"/>
  <c r="M988" i="25"/>
  <c r="M986" i="25"/>
  <c r="M984" i="25"/>
  <c r="M982" i="25"/>
  <c r="M980" i="25"/>
  <c r="M978" i="25"/>
  <c r="M976" i="25"/>
  <c r="M974" i="25"/>
  <c r="M972" i="25"/>
  <c r="M968" i="25"/>
  <c r="M967" i="25"/>
  <c r="M966" i="25"/>
  <c r="M965" i="25"/>
  <c r="M964" i="25"/>
  <c r="M963" i="25"/>
  <c r="M962" i="25"/>
  <c r="M961" i="25"/>
  <c r="M960" i="25"/>
  <c r="M959" i="25"/>
  <c r="M958" i="25"/>
  <c r="M957" i="25"/>
  <c r="M956" i="25"/>
  <c r="M955" i="25"/>
  <c r="M954" i="25"/>
  <c r="M952" i="25"/>
  <c r="M950" i="25"/>
  <c r="M948" i="25"/>
  <c r="M946" i="25"/>
  <c r="M944" i="25"/>
  <c r="M942" i="25"/>
  <c r="M940" i="25"/>
  <c r="M938" i="25"/>
  <c r="M936" i="25"/>
  <c r="M934" i="25"/>
  <c r="M932" i="25"/>
  <c r="M930" i="25"/>
  <c r="M928" i="25"/>
  <c r="M926" i="25"/>
  <c r="M924" i="25"/>
  <c r="M922" i="25"/>
  <c r="M920" i="25"/>
  <c r="M918" i="25"/>
  <c r="M916" i="25"/>
  <c r="M914" i="25"/>
  <c r="M912" i="25"/>
  <c r="M910" i="25"/>
  <c r="M908" i="25"/>
  <c r="M906" i="25"/>
  <c r="M904" i="25"/>
  <c r="M902" i="25"/>
  <c r="M900" i="25"/>
  <c r="M898" i="25"/>
  <c r="M896" i="25"/>
  <c r="M894" i="25"/>
  <c r="M892" i="25"/>
  <c r="M890" i="25"/>
  <c r="M888" i="25"/>
  <c r="M886" i="25"/>
  <c r="M884" i="25"/>
  <c r="M880" i="25"/>
  <c r="M879" i="25"/>
  <c r="M878" i="25"/>
  <c r="M877" i="25"/>
  <c r="M876" i="25"/>
  <c r="M875" i="25"/>
  <c r="M874" i="25"/>
  <c r="M873" i="25"/>
  <c r="M872" i="25"/>
  <c r="M871" i="25"/>
  <c r="M870" i="25"/>
  <c r="M869" i="25"/>
  <c r="M868" i="25"/>
  <c r="M867" i="25"/>
  <c r="M866" i="25"/>
  <c r="M864" i="25"/>
  <c r="M862" i="25"/>
  <c r="M860" i="25"/>
  <c r="M858" i="25"/>
  <c r="M856" i="25"/>
  <c r="M854" i="25"/>
  <c r="M852" i="25"/>
  <c r="M850" i="25"/>
  <c r="M848" i="25"/>
  <c r="M846" i="25"/>
  <c r="M844" i="25"/>
  <c r="M842" i="25"/>
  <c r="M840" i="25"/>
  <c r="M838" i="25"/>
  <c r="M836" i="25"/>
  <c r="M834" i="25"/>
  <c r="M832" i="25"/>
  <c r="M830" i="25"/>
  <c r="M828" i="25"/>
  <c r="M826" i="25"/>
  <c r="M824" i="25"/>
  <c r="M822" i="25"/>
  <c r="M820" i="25"/>
  <c r="M818" i="25"/>
  <c r="M816" i="25"/>
  <c r="M814" i="25"/>
  <c r="M812" i="25"/>
  <c r="M810" i="25"/>
  <c r="M808" i="25"/>
  <c r="M806" i="25"/>
  <c r="M804" i="25"/>
  <c r="M802" i="25"/>
  <c r="M800" i="25"/>
  <c r="M798" i="25"/>
  <c r="M796" i="25"/>
  <c r="M792" i="25"/>
  <c r="M791" i="25"/>
  <c r="M790" i="25"/>
  <c r="M789" i="25"/>
  <c r="M788" i="25"/>
  <c r="M787" i="25"/>
  <c r="M786" i="25"/>
  <c r="M785" i="25"/>
  <c r="M784" i="25"/>
  <c r="M783" i="25"/>
  <c r="M782" i="25"/>
  <c r="M781" i="25"/>
  <c r="M780" i="25"/>
  <c r="M779" i="25"/>
  <c r="M778" i="25"/>
  <c r="M776" i="25"/>
  <c r="M774" i="25"/>
  <c r="M772" i="25"/>
  <c r="M770" i="25"/>
  <c r="M768" i="25"/>
  <c r="M766" i="25"/>
  <c r="M764" i="25"/>
  <c r="M762" i="25"/>
  <c r="M760" i="25"/>
  <c r="M758" i="25"/>
  <c r="M756" i="25"/>
  <c r="M754" i="25"/>
  <c r="M752" i="25"/>
  <c r="M750" i="25"/>
  <c r="M748" i="25"/>
  <c r="M746" i="25"/>
  <c r="M744" i="25"/>
  <c r="M742" i="25"/>
  <c r="M740" i="25"/>
  <c r="M738" i="25"/>
  <c r="M736" i="25"/>
  <c r="M734" i="25"/>
  <c r="M732" i="25"/>
  <c r="M730" i="25"/>
  <c r="M728" i="25"/>
  <c r="M726" i="25"/>
  <c r="M724" i="25"/>
  <c r="M722" i="25"/>
  <c r="M720" i="25"/>
  <c r="M718" i="25"/>
  <c r="M716" i="25"/>
  <c r="M714" i="25"/>
  <c r="M712" i="25"/>
  <c r="M710" i="25"/>
  <c r="M708" i="25"/>
  <c r="M704" i="25"/>
  <c r="M703" i="25"/>
  <c r="M702" i="25"/>
  <c r="M701" i="25"/>
  <c r="M700" i="25"/>
  <c r="M699" i="25"/>
  <c r="M698" i="25"/>
  <c r="M697" i="25"/>
  <c r="M696" i="25"/>
  <c r="M695" i="25"/>
  <c r="M694" i="25"/>
  <c r="M693" i="25"/>
  <c r="M692" i="25"/>
  <c r="M691" i="25"/>
  <c r="M690" i="25"/>
  <c r="M688" i="25"/>
  <c r="M686" i="25"/>
  <c r="M684" i="25"/>
  <c r="M682" i="25"/>
  <c r="M680" i="25"/>
  <c r="M678" i="25"/>
  <c r="M676" i="25"/>
  <c r="M674" i="25"/>
  <c r="M672" i="25"/>
  <c r="M670" i="25"/>
  <c r="M668" i="25"/>
  <c r="M666" i="25"/>
  <c r="M664" i="25"/>
  <c r="M662" i="25"/>
  <c r="M660" i="25"/>
  <c r="M658" i="25"/>
  <c r="M656" i="25"/>
  <c r="M654" i="25"/>
  <c r="M652" i="25"/>
  <c r="M650" i="25"/>
  <c r="M648" i="25"/>
  <c r="M646" i="25"/>
  <c r="M644" i="25"/>
  <c r="M642" i="25"/>
  <c r="M640" i="25"/>
  <c r="M638" i="25"/>
  <c r="M636" i="25"/>
  <c r="M634" i="25"/>
  <c r="M632" i="25"/>
  <c r="M630" i="25"/>
  <c r="M628" i="25"/>
  <c r="M626" i="25"/>
  <c r="M624" i="25"/>
  <c r="M622" i="25"/>
  <c r="M620" i="25"/>
  <c r="M616" i="25"/>
  <c r="M615" i="25"/>
  <c r="M614" i="25"/>
  <c r="M613" i="25"/>
  <c r="M612" i="25"/>
  <c r="M611" i="25"/>
  <c r="M610" i="25"/>
  <c r="M609" i="25"/>
  <c r="M608" i="25"/>
  <c r="M607" i="25"/>
  <c r="M606" i="25"/>
  <c r="M605" i="25"/>
  <c r="M604" i="25"/>
  <c r="M603" i="25"/>
  <c r="M602" i="25"/>
  <c r="M600" i="25"/>
  <c r="M598" i="25"/>
  <c r="M596" i="25"/>
  <c r="M594" i="25"/>
  <c r="M592" i="25"/>
  <c r="M590" i="25"/>
  <c r="M588" i="25"/>
  <c r="M586" i="25"/>
  <c r="M584" i="25"/>
  <c r="M582" i="25"/>
  <c r="M580" i="25"/>
  <c r="M578" i="25"/>
  <c r="M576" i="25"/>
  <c r="M574" i="25"/>
  <c r="M572" i="25"/>
  <c r="M570" i="25"/>
  <c r="M568" i="25"/>
  <c r="M566" i="25"/>
  <c r="M564" i="25"/>
  <c r="M562" i="25"/>
  <c r="M560" i="25"/>
  <c r="M558" i="25"/>
  <c r="M556" i="25"/>
  <c r="M554" i="25"/>
  <c r="M552" i="25"/>
  <c r="M550" i="25"/>
  <c r="M548" i="25"/>
  <c r="M546" i="25"/>
  <c r="M544" i="25"/>
  <c r="M542" i="25"/>
  <c r="M540" i="25"/>
  <c r="M538" i="25"/>
  <c r="M536" i="25"/>
  <c r="M528" i="25"/>
  <c r="M527" i="25"/>
  <c r="M526" i="25"/>
  <c r="M525" i="25"/>
  <c r="M524" i="25"/>
  <c r="M523" i="25"/>
  <c r="M522" i="25"/>
  <c r="M521" i="25"/>
  <c r="M520" i="25"/>
  <c r="M519" i="25"/>
  <c r="M518" i="25"/>
  <c r="M517" i="25"/>
  <c r="M516" i="25"/>
  <c r="M515" i="25"/>
  <c r="M514" i="25"/>
  <c r="M512" i="25"/>
  <c r="M510" i="25"/>
  <c r="M508" i="25"/>
  <c r="M506" i="25"/>
  <c r="M504" i="25"/>
  <c r="M502" i="25"/>
  <c r="M500" i="25"/>
  <c r="M498" i="25"/>
  <c r="M496" i="25"/>
  <c r="M494" i="25"/>
  <c r="M492" i="25"/>
  <c r="M490" i="25"/>
  <c r="M488" i="25"/>
  <c r="M486" i="25"/>
  <c r="M484" i="25"/>
  <c r="M482" i="25"/>
  <c r="M480" i="25"/>
  <c r="M478" i="25"/>
  <c r="M476" i="25"/>
  <c r="M474" i="25"/>
  <c r="M472" i="25"/>
  <c r="M470" i="25"/>
  <c r="M468" i="25"/>
  <c r="M466" i="25"/>
  <c r="M464" i="25"/>
  <c r="M462" i="25"/>
  <c r="M460" i="25"/>
  <c r="M458" i="25"/>
  <c r="M456" i="25"/>
  <c r="M454" i="25"/>
  <c r="M452" i="25"/>
  <c r="M450" i="25"/>
  <c r="M448" i="25"/>
  <c r="M446" i="25"/>
  <c r="M444" i="25"/>
  <c r="M440" i="25"/>
  <c r="M439" i="25"/>
  <c r="M438" i="25"/>
  <c r="M437" i="25"/>
  <c r="M436" i="25"/>
  <c r="M435" i="25"/>
  <c r="M434" i="25"/>
  <c r="M433" i="25"/>
  <c r="M432" i="25"/>
  <c r="M431" i="25"/>
  <c r="M430" i="25"/>
  <c r="M429" i="25"/>
  <c r="M428" i="25"/>
  <c r="M427" i="25"/>
  <c r="M426" i="25"/>
  <c r="M424" i="25"/>
  <c r="M422" i="25"/>
  <c r="M420" i="25"/>
  <c r="M418" i="25"/>
  <c r="M416" i="25"/>
  <c r="M414" i="25"/>
  <c r="M412" i="25"/>
  <c r="M410" i="25"/>
  <c r="M408" i="25"/>
  <c r="M406" i="25"/>
  <c r="M404" i="25"/>
  <c r="M402" i="25"/>
  <c r="M400" i="25"/>
  <c r="M398" i="25"/>
  <c r="M396" i="25"/>
  <c r="M394" i="25"/>
  <c r="M392" i="25"/>
  <c r="M390" i="25"/>
  <c r="M388" i="25"/>
  <c r="M386" i="25"/>
  <c r="M384" i="25"/>
  <c r="M382" i="25"/>
  <c r="M380" i="25"/>
  <c r="M378" i="25"/>
  <c r="M376" i="25"/>
  <c r="M374" i="25"/>
  <c r="M372" i="25"/>
  <c r="M370" i="25"/>
  <c r="M368" i="25"/>
  <c r="M366" i="25"/>
  <c r="M364" i="25"/>
  <c r="M362" i="25"/>
  <c r="M360" i="25"/>
  <c r="M358" i="25"/>
  <c r="M356" i="25"/>
  <c r="M352" i="25"/>
  <c r="M351" i="25"/>
  <c r="M350" i="25"/>
  <c r="M349" i="25"/>
  <c r="M348" i="25"/>
  <c r="M347" i="25"/>
  <c r="M346" i="25"/>
  <c r="M345" i="25"/>
  <c r="M344" i="25"/>
  <c r="M343" i="25"/>
  <c r="M342" i="25"/>
  <c r="M341" i="25"/>
  <c r="M340" i="25"/>
  <c r="M339" i="25"/>
  <c r="M338" i="25"/>
  <c r="M336" i="25"/>
  <c r="M334" i="25"/>
  <c r="M332" i="25"/>
  <c r="M330" i="25"/>
  <c r="M328" i="25"/>
  <c r="M326" i="25"/>
  <c r="M324" i="25"/>
  <c r="M322" i="25"/>
  <c r="M320" i="25"/>
  <c r="M318" i="25"/>
  <c r="M316" i="25"/>
  <c r="M314" i="25"/>
  <c r="M312" i="25"/>
  <c r="M310" i="25"/>
  <c r="M308" i="25"/>
  <c r="M306" i="25"/>
  <c r="M304" i="25"/>
  <c r="M302" i="25"/>
  <c r="M300" i="25"/>
  <c r="M298" i="25"/>
  <c r="M296" i="25"/>
  <c r="M294" i="25"/>
  <c r="M292" i="25"/>
  <c r="M290" i="25"/>
  <c r="M288" i="25"/>
  <c r="M286" i="25"/>
  <c r="M284" i="25"/>
  <c r="M282" i="25"/>
  <c r="M280" i="25"/>
  <c r="M278" i="25"/>
  <c r="M276" i="25"/>
  <c r="M274" i="25"/>
  <c r="M272" i="25"/>
  <c r="M270" i="25"/>
  <c r="M268" i="25"/>
  <c r="M264" i="25"/>
  <c r="M263" i="25"/>
  <c r="M262" i="25"/>
  <c r="M261" i="25"/>
  <c r="M260" i="25"/>
  <c r="M259" i="25"/>
  <c r="M258" i="25"/>
  <c r="M257" i="25"/>
  <c r="M256" i="25"/>
  <c r="M255" i="25"/>
  <c r="M254" i="25"/>
  <c r="M253" i="25"/>
  <c r="M252" i="25"/>
  <c r="M251" i="25"/>
  <c r="M250" i="25"/>
  <c r="M248" i="25"/>
  <c r="M246" i="25"/>
  <c r="M244" i="25"/>
  <c r="M242" i="25"/>
  <c r="M240" i="25"/>
  <c r="M238" i="25"/>
  <c r="M236" i="25"/>
  <c r="M234" i="25"/>
  <c r="M232" i="25"/>
  <c r="M230" i="25"/>
  <c r="M228" i="25"/>
  <c r="M226" i="25"/>
  <c r="M224" i="25"/>
  <c r="M222" i="25"/>
  <c r="M220" i="25"/>
  <c r="M218" i="25"/>
  <c r="M216" i="25"/>
  <c r="M214" i="25"/>
  <c r="M212" i="25"/>
  <c r="M210" i="25"/>
  <c r="M208" i="25"/>
  <c r="M206" i="25"/>
  <c r="M204" i="25"/>
  <c r="M202" i="25"/>
  <c r="M200" i="25"/>
  <c r="M198" i="25"/>
  <c r="M196" i="25"/>
  <c r="M194" i="25"/>
  <c r="M192" i="25"/>
  <c r="M190" i="25"/>
  <c r="M188" i="25"/>
  <c r="M186" i="25"/>
  <c r="M184" i="25"/>
  <c r="M176" i="25"/>
  <c r="M175" i="25"/>
  <c r="M174" i="25"/>
  <c r="M173" i="25"/>
  <c r="M172" i="25"/>
  <c r="M171" i="25"/>
  <c r="M170" i="25"/>
  <c r="M169" i="25"/>
  <c r="M168" i="25"/>
  <c r="M167" i="25"/>
  <c r="M166" i="25"/>
  <c r="M165" i="25"/>
  <c r="M164" i="25"/>
  <c r="M163" i="25"/>
  <c r="M162" i="25"/>
  <c r="M160" i="25"/>
  <c r="M158" i="25"/>
  <c r="M156" i="25"/>
  <c r="M154" i="25"/>
  <c r="M152" i="25"/>
  <c r="M150" i="25"/>
  <c r="M148" i="25"/>
  <c r="M146" i="25"/>
  <c r="M144" i="25"/>
  <c r="M142" i="25"/>
  <c r="M140" i="25"/>
  <c r="M138" i="25"/>
  <c r="M136" i="25"/>
  <c r="M134" i="25"/>
  <c r="M132" i="25"/>
  <c r="M130" i="25"/>
  <c r="M128" i="25"/>
  <c r="M126" i="25"/>
  <c r="M124" i="25"/>
  <c r="M122" i="25"/>
  <c r="M120" i="25"/>
  <c r="M118" i="25"/>
  <c r="M116" i="25"/>
  <c r="M114" i="25"/>
  <c r="M112" i="25"/>
  <c r="M110" i="25"/>
  <c r="M108" i="25"/>
  <c r="M106" i="25"/>
  <c r="M104" i="25"/>
  <c r="M102" i="25"/>
  <c r="M100" i="25"/>
  <c r="M98" i="25"/>
  <c r="M96" i="25"/>
  <c r="M94" i="25"/>
  <c r="M92" i="25"/>
  <c r="M75" i="25"/>
  <c r="M76" i="25"/>
  <c r="M77" i="25"/>
  <c r="M78" i="25"/>
  <c r="M79" i="25"/>
  <c r="M80" i="25"/>
  <c r="M81" i="25"/>
  <c r="M82" i="25"/>
  <c r="M83" i="25"/>
  <c r="M84" i="25"/>
  <c r="M85" i="25"/>
  <c r="M86" i="25"/>
  <c r="M87" i="25"/>
  <c r="M88" i="25"/>
  <c r="M74" i="25"/>
  <c r="M72" i="25"/>
  <c r="M70" i="25"/>
  <c r="M68" i="25"/>
  <c r="M66" i="25"/>
  <c r="M64" i="25"/>
  <c r="M62" i="25"/>
  <c r="M60" i="25"/>
  <c r="M58" i="25"/>
  <c r="M56" i="25"/>
  <c r="M54" i="25"/>
  <c r="M52" i="25"/>
  <c r="M50" i="25"/>
  <c r="M48" i="25"/>
  <c r="M46" i="25"/>
  <c r="M44" i="25"/>
  <c r="M42" i="25"/>
  <c r="M40" i="25"/>
  <c r="M38" i="25"/>
  <c r="M36" i="25"/>
  <c r="M34" i="25"/>
  <c r="M32" i="25"/>
  <c r="M30" i="25"/>
  <c r="M28" i="25"/>
  <c r="M26" i="25"/>
  <c r="M24" i="25"/>
  <c r="M22" i="25"/>
  <c r="M20" i="25"/>
  <c r="M18" i="25"/>
  <c r="M16" i="25"/>
  <c r="M14" i="25"/>
  <c r="M12" i="25"/>
  <c r="M10" i="25"/>
  <c r="M8" i="25"/>
  <c r="M6" i="25"/>
  <c r="M4" i="25"/>
  <c r="I711" i="21"/>
  <c r="I616" i="21"/>
  <c r="I615" i="21"/>
  <c r="I614" i="21"/>
  <c r="I613" i="21"/>
  <c r="I612" i="21"/>
  <c r="I611" i="21"/>
  <c r="I610" i="21"/>
  <c r="I609" i="21"/>
  <c r="I608" i="21"/>
  <c r="I607" i="21"/>
  <c r="I606" i="21"/>
  <c r="I605" i="21"/>
  <c r="I604" i="21"/>
  <c r="I603" i="21"/>
  <c r="I602" i="21"/>
  <c r="I600" i="21"/>
  <c r="I598" i="21"/>
  <c r="I596" i="21"/>
  <c r="I594" i="21"/>
  <c r="I592" i="21"/>
  <c r="I590" i="21"/>
  <c r="I588" i="21"/>
  <c r="I586" i="21"/>
  <c r="I584" i="21"/>
  <c r="I582" i="21"/>
  <c r="I580" i="21"/>
  <c r="I578" i="21"/>
  <c r="I576" i="21"/>
  <c r="I574" i="21"/>
  <c r="I572" i="21"/>
  <c r="I570" i="21"/>
  <c r="I568" i="21"/>
  <c r="I566" i="21"/>
  <c r="I564" i="21"/>
  <c r="I562" i="21"/>
  <c r="I560" i="21"/>
  <c r="I558" i="21"/>
  <c r="I556" i="21"/>
  <c r="I554" i="21"/>
  <c r="I552" i="21"/>
  <c r="I550" i="21"/>
  <c r="I548" i="21"/>
  <c r="I546" i="21"/>
  <c r="I544" i="21"/>
  <c r="I542" i="21"/>
  <c r="I540" i="21"/>
  <c r="I538" i="21"/>
  <c r="I536" i="21"/>
  <c r="I512" i="21"/>
  <c r="I510" i="21"/>
  <c r="I508" i="21"/>
  <c r="I506" i="21"/>
  <c r="I504" i="21"/>
  <c r="I424" i="21"/>
  <c r="I422" i="21"/>
  <c r="I420" i="21"/>
  <c r="I418" i="21"/>
  <c r="I416" i="21"/>
  <c r="I336" i="21"/>
  <c r="I334" i="21"/>
  <c r="I332" i="21"/>
  <c r="I330" i="21"/>
  <c r="I328" i="21"/>
  <c r="I248" i="21"/>
  <c r="I246" i="21"/>
  <c r="I244" i="21"/>
  <c r="I242" i="21"/>
  <c r="I240" i="21"/>
  <c r="I160" i="21"/>
  <c r="I158" i="21"/>
  <c r="I156" i="21"/>
  <c r="I154" i="21"/>
  <c r="I152" i="21"/>
  <c r="I72" i="21"/>
  <c r="I70" i="21"/>
  <c r="I68" i="21"/>
  <c r="I66" i="21"/>
  <c r="I64" i="21"/>
  <c r="I528" i="21"/>
  <c r="I527" i="21"/>
  <c r="I526" i="21"/>
  <c r="I525" i="21"/>
  <c r="I524" i="21"/>
  <c r="I523" i="21"/>
  <c r="I522" i="21"/>
  <c r="I521" i="21"/>
  <c r="I520" i="21"/>
  <c r="I519" i="21"/>
  <c r="I518" i="21"/>
  <c r="I517" i="21"/>
  <c r="I516" i="21"/>
  <c r="I515" i="21"/>
  <c r="I514" i="21"/>
  <c r="I502" i="21"/>
  <c r="I500" i="21"/>
  <c r="I498" i="21"/>
  <c r="I496" i="21"/>
  <c r="I494" i="21"/>
  <c r="I492" i="21"/>
  <c r="I490" i="21"/>
  <c r="I488" i="21"/>
  <c r="I486" i="21"/>
  <c r="I484" i="21"/>
  <c r="I482" i="21"/>
  <c r="I480" i="21"/>
  <c r="I478" i="21"/>
  <c r="I476" i="21"/>
  <c r="I474" i="21"/>
  <c r="I472" i="21"/>
  <c r="I470" i="21"/>
  <c r="I468" i="21"/>
  <c r="I466" i="21"/>
  <c r="I464" i="21"/>
  <c r="I462" i="21"/>
  <c r="I460" i="21"/>
  <c r="I458" i="21"/>
  <c r="I456" i="21"/>
  <c r="I454" i="21"/>
  <c r="I452" i="21"/>
  <c r="I450" i="21"/>
  <c r="I448" i="21"/>
  <c r="I446" i="21"/>
  <c r="I444" i="21"/>
  <c r="I440" i="21"/>
  <c r="I439" i="21"/>
  <c r="I438" i="21"/>
  <c r="I437" i="21"/>
  <c r="I436" i="21"/>
  <c r="I435" i="21"/>
  <c r="I434" i="21"/>
  <c r="I433" i="21"/>
  <c r="I432" i="21"/>
  <c r="I431" i="21"/>
  <c r="I430" i="21"/>
  <c r="I429" i="21"/>
  <c r="I428" i="21"/>
  <c r="I427" i="21"/>
  <c r="I426" i="21"/>
  <c r="I414" i="21"/>
  <c r="I412" i="21"/>
  <c r="I410" i="21"/>
  <c r="I408" i="21"/>
  <c r="I406" i="21"/>
  <c r="I404" i="21"/>
  <c r="I402" i="21"/>
  <c r="I400" i="21"/>
  <c r="I398" i="21"/>
  <c r="I396" i="21"/>
  <c r="I394" i="21"/>
  <c r="I392" i="21"/>
  <c r="I390" i="21"/>
  <c r="I388" i="21"/>
  <c r="I386" i="21"/>
  <c r="I384" i="21"/>
  <c r="I382" i="21"/>
  <c r="I380" i="21"/>
  <c r="I378" i="21"/>
  <c r="I376" i="21"/>
  <c r="I374" i="21"/>
  <c r="I372" i="21"/>
  <c r="I370" i="21"/>
  <c r="I368" i="21"/>
  <c r="I366" i="21"/>
  <c r="I364" i="21"/>
  <c r="I362" i="21"/>
  <c r="I360" i="21"/>
  <c r="I358" i="21"/>
  <c r="I356" i="21"/>
  <c r="I352" i="21"/>
  <c r="I351" i="21"/>
  <c r="I350" i="21"/>
  <c r="I349" i="21"/>
  <c r="I348" i="21"/>
  <c r="I347" i="21"/>
  <c r="I346" i="21"/>
  <c r="I345" i="21"/>
  <c r="I344" i="21"/>
  <c r="I343" i="21"/>
  <c r="I342" i="21"/>
  <c r="I341" i="21"/>
  <c r="I340" i="21"/>
  <c r="I339" i="21"/>
  <c r="I338" i="21"/>
  <c r="I326" i="21"/>
  <c r="I324" i="21"/>
  <c r="I322" i="21"/>
  <c r="I320" i="21"/>
  <c r="I318" i="21"/>
  <c r="I316" i="21"/>
  <c r="I314" i="21"/>
  <c r="I312" i="21"/>
  <c r="I310" i="21"/>
  <c r="I308" i="21"/>
  <c r="I306" i="21"/>
  <c r="I304" i="21"/>
  <c r="I302" i="21"/>
  <c r="I300" i="21"/>
  <c r="I298" i="21"/>
  <c r="I296" i="21"/>
  <c r="I294" i="21"/>
  <c r="I292" i="21"/>
  <c r="I290" i="21"/>
  <c r="I288" i="21"/>
  <c r="I286" i="21"/>
  <c r="I284" i="21"/>
  <c r="I282" i="21"/>
  <c r="I280" i="21"/>
  <c r="I278" i="21"/>
  <c r="I276" i="21"/>
  <c r="I274" i="21"/>
  <c r="I272" i="21"/>
  <c r="I270" i="21"/>
  <c r="I268" i="21"/>
  <c r="I264" i="21"/>
  <c r="I263" i="21"/>
  <c r="I262" i="21"/>
  <c r="I261" i="21"/>
  <c r="I260" i="21"/>
  <c r="I259" i="21"/>
  <c r="I258" i="21"/>
  <c r="I257" i="21"/>
  <c r="I256" i="21"/>
  <c r="I255" i="21"/>
  <c r="I254" i="21"/>
  <c r="I253" i="21"/>
  <c r="I252" i="21"/>
  <c r="I251" i="21"/>
  <c r="I250" i="21"/>
  <c r="I238" i="21"/>
  <c r="I236" i="21"/>
  <c r="I234" i="21"/>
  <c r="I232" i="21"/>
  <c r="I230" i="21"/>
  <c r="I228" i="21"/>
  <c r="I226" i="21"/>
  <c r="I224" i="21"/>
  <c r="I222" i="21"/>
  <c r="I220" i="21"/>
  <c r="I218" i="21"/>
  <c r="I216" i="21"/>
  <c r="I214" i="21"/>
  <c r="I212" i="21"/>
  <c r="I210" i="21"/>
  <c r="I208" i="21"/>
  <c r="I206" i="21"/>
  <c r="I204" i="21"/>
  <c r="I202" i="21"/>
  <c r="I200" i="21"/>
  <c r="I198" i="21"/>
  <c r="I196" i="21"/>
  <c r="I194" i="21"/>
  <c r="I192" i="21"/>
  <c r="I190" i="21"/>
  <c r="I188" i="21"/>
  <c r="I186" i="21"/>
  <c r="I184" i="21"/>
  <c r="I182" i="21"/>
  <c r="I180" i="21"/>
  <c r="I176" i="21"/>
  <c r="I175" i="21"/>
  <c r="I174" i="21"/>
  <c r="I173" i="21"/>
  <c r="I172" i="21"/>
  <c r="I171" i="21"/>
  <c r="I170" i="21"/>
  <c r="I169" i="21"/>
  <c r="I168" i="21"/>
  <c r="I167" i="21"/>
  <c r="I166" i="21"/>
  <c r="I165" i="21"/>
  <c r="I164" i="21"/>
  <c r="I163" i="21"/>
  <c r="I162" i="21"/>
  <c r="I150" i="21"/>
  <c r="I148" i="21"/>
  <c r="I146" i="21"/>
  <c r="I144" i="21"/>
  <c r="I142" i="21"/>
  <c r="I140" i="21"/>
  <c r="I138" i="21"/>
  <c r="I136" i="21"/>
  <c r="I134" i="21"/>
  <c r="I132" i="21"/>
  <c r="I130" i="21"/>
  <c r="I128" i="21"/>
  <c r="I126" i="21"/>
  <c r="I124" i="21"/>
  <c r="I122" i="21"/>
  <c r="I120" i="21"/>
  <c r="I118" i="21"/>
  <c r="I116" i="21"/>
  <c r="I114" i="21"/>
  <c r="I112" i="21"/>
  <c r="I110" i="21"/>
  <c r="I108" i="21"/>
  <c r="I106" i="21"/>
  <c r="I104" i="21"/>
  <c r="I102" i="21"/>
  <c r="I100" i="21"/>
  <c r="I98" i="21"/>
  <c r="I96" i="21"/>
  <c r="I94" i="21"/>
  <c r="I92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74" i="21"/>
  <c r="I62" i="21"/>
  <c r="I60" i="21"/>
  <c r="I58" i="21"/>
  <c r="I56" i="21"/>
  <c r="I54" i="21"/>
  <c r="I52" i="21"/>
  <c r="I50" i="21"/>
  <c r="I48" i="21"/>
  <c r="I46" i="21"/>
  <c r="I44" i="21"/>
  <c r="I42" i="21"/>
  <c r="I40" i="21"/>
  <c r="I38" i="21"/>
  <c r="I36" i="21"/>
  <c r="I34" i="21"/>
  <c r="I32" i="21"/>
  <c r="I30" i="21"/>
  <c r="I28" i="21"/>
  <c r="I26" i="21"/>
  <c r="I24" i="21"/>
  <c r="I22" i="21"/>
  <c r="I20" i="21"/>
  <c r="I18" i="21"/>
  <c r="I16" i="21"/>
  <c r="I14" i="21"/>
  <c r="I12" i="21"/>
  <c r="I10" i="21"/>
  <c r="I8" i="21"/>
  <c r="I6" i="21"/>
  <c r="I4" i="21"/>
  <c r="J2" i="21"/>
  <c r="N2" i="25"/>
  <c r="L1148" i="32" l="1"/>
  <c r="L1160" i="32"/>
  <c r="L1164" i="32"/>
  <c r="L1176" i="32"/>
  <c r="L1180" i="32"/>
  <c r="N14" i="32"/>
  <c r="N30" i="32"/>
  <c r="N46" i="32"/>
  <c r="N62" i="32"/>
  <c r="N104" i="32"/>
  <c r="N120" i="32"/>
  <c r="N136" i="32"/>
  <c r="N152" i="32"/>
  <c r="N194" i="32"/>
  <c r="N210" i="32"/>
  <c r="N226" i="32"/>
  <c r="N242" i="32"/>
  <c r="N252" i="32"/>
  <c r="N256" i="32"/>
  <c r="N260" i="32"/>
  <c r="N264" i="32"/>
  <c r="N268" i="32"/>
  <c r="N284" i="32"/>
  <c r="N300" i="32"/>
  <c r="N316" i="32"/>
  <c r="N332" i="32"/>
  <c r="N358" i="32"/>
  <c r="N374" i="32"/>
  <c r="N390" i="32"/>
  <c r="N435" i="32"/>
  <c r="N24" i="32"/>
  <c r="N114" i="32"/>
  <c r="N220" i="32"/>
  <c r="N294" i="32"/>
  <c r="N368" i="32"/>
  <c r="N4" i="32"/>
  <c r="N20" i="32"/>
  <c r="N36" i="32"/>
  <c r="N52" i="32"/>
  <c r="N68" i="32"/>
  <c r="N94" i="32"/>
  <c r="N110" i="32"/>
  <c r="N126" i="32"/>
  <c r="N142" i="32"/>
  <c r="N158" i="32"/>
  <c r="N184" i="32"/>
  <c r="N200" i="32"/>
  <c r="N216" i="32"/>
  <c r="N232" i="32"/>
  <c r="N248" i="32"/>
  <c r="N274" i="32"/>
  <c r="N290" i="32"/>
  <c r="N306" i="32"/>
  <c r="N322" i="32"/>
  <c r="N338" i="32"/>
  <c r="N342" i="32"/>
  <c r="N346" i="32"/>
  <c r="N350" i="32"/>
  <c r="N354" i="32"/>
  <c r="N364" i="32"/>
  <c r="N380" i="32"/>
  <c r="L1153" i="32"/>
  <c r="L1157" i="32"/>
  <c r="M1158" i="32"/>
  <c r="L1159" i="32"/>
  <c r="M1162" i="32"/>
  <c r="L1173" i="32"/>
  <c r="M1174" i="32"/>
  <c r="L1175" i="32"/>
  <c r="L1177" i="32"/>
  <c r="M1178" i="32"/>
  <c r="L1185" i="32"/>
  <c r="L1189" i="32"/>
  <c r="M1190" i="32"/>
  <c r="L1191" i="32"/>
  <c r="M1192" i="32"/>
  <c r="M1194" i="32"/>
  <c r="N1194" i="32" s="1"/>
  <c r="M1196" i="32"/>
  <c r="L1205" i="32"/>
  <c r="M1206" i="32"/>
  <c r="L1207" i="32"/>
  <c r="M1208" i="32"/>
  <c r="L1209" i="32"/>
  <c r="M1210" i="32"/>
  <c r="M1212" i="32"/>
  <c r="N1212" i="32" s="1"/>
  <c r="L1217" i="32"/>
  <c r="M1220" i="32"/>
  <c r="M1221" i="32"/>
  <c r="M1222" i="32"/>
  <c r="M1228" i="32"/>
  <c r="M1231" i="32"/>
  <c r="M1234" i="32"/>
  <c r="N40" i="32"/>
  <c r="N178" i="32"/>
  <c r="N349" i="32"/>
  <c r="N10" i="32"/>
  <c r="N26" i="32"/>
  <c r="N42" i="32"/>
  <c r="N58" i="32"/>
  <c r="N74" i="32"/>
  <c r="N78" i="32"/>
  <c r="N82" i="32"/>
  <c r="N86" i="32"/>
  <c r="N90" i="32"/>
  <c r="N100" i="32"/>
  <c r="N116" i="32"/>
  <c r="N132" i="32"/>
  <c r="N148" i="32"/>
  <c r="N190" i="32"/>
  <c r="N206" i="32"/>
  <c r="N222" i="32"/>
  <c r="N238" i="32"/>
  <c r="N280" i="32"/>
  <c r="N296" i="32"/>
  <c r="N312" i="32"/>
  <c r="N328" i="32"/>
  <c r="N370" i="32"/>
  <c r="N386" i="32"/>
  <c r="N432" i="32"/>
  <c r="N436" i="32"/>
  <c r="M1156" i="32"/>
  <c r="M1160" i="32"/>
  <c r="M1164" i="32"/>
  <c r="M1176" i="32"/>
  <c r="M1225" i="32"/>
  <c r="N1225" i="32" s="1"/>
  <c r="M1233" i="32"/>
  <c r="N8" i="32"/>
  <c r="N72" i="32"/>
  <c r="N130" i="32"/>
  <c r="N170" i="32"/>
  <c r="N278" i="32"/>
  <c r="N310" i="32"/>
  <c r="N16" i="32"/>
  <c r="N32" i="32"/>
  <c r="N48" i="32"/>
  <c r="N64" i="32"/>
  <c r="N106" i="32"/>
  <c r="N122" i="32"/>
  <c r="N138" i="32"/>
  <c r="N154" i="32"/>
  <c r="N164" i="32"/>
  <c r="N168" i="32"/>
  <c r="N172" i="32"/>
  <c r="N176" i="32"/>
  <c r="N180" i="32"/>
  <c r="N196" i="32"/>
  <c r="N212" i="32"/>
  <c r="N228" i="32"/>
  <c r="N244" i="32"/>
  <c r="N270" i="32"/>
  <c r="N286" i="32"/>
  <c r="N302" i="32"/>
  <c r="N318" i="32"/>
  <c r="N334" i="32"/>
  <c r="N360" i="32"/>
  <c r="N376" i="32"/>
  <c r="N146" i="32"/>
  <c r="N174" i="32"/>
  <c r="N345" i="32"/>
  <c r="N6" i="32"/>
  <c r="N22" i="32"/>
  <c r="N38" i="32"/>
  <c r="N54" i="32"/>
  <c r="N70" i="32"/>
  <c r="N96" i="32"/>
  <c r="N112" i="32"/>
  <c r="N128" i="32"/>
  <c r="N144" i="32"/>
  <c r="N160" i="32"/>
  <c r="N186" i="32"/>
  <c r="N202" i="32"/>
  <c r="N218" i="32"/>
  <c r="N234" i="32"/>
  <c r="N250" i="32"/>
  <c r="N254" i="32"/>
  <c r="N258" i="32"/>
  <c r="N262" i="32"/>
  <c r="N266" i="32"/>
  <c r="N276" i="32"/>
  <c r="N292" i="32"/>
  <c r="N308" i="32"/>
  <c r="N324" i="32"/>
  <c r="N366" i="32"/>
  <c r="N382" i="32"/>
  <c r="N166" i="32"/>
  <c r="N204" i="32"/>
  <c r="N236" i="32"/>
  <c r="N341" i="32"/>
  <c r="N12" i="32"/>
  <c r="N28" i="32"/>
  <c r="N44" i="32"/>
  <c r="N60" i="32"/>
  <c r="N102" i="32"/>
  <c r="N118" i="32"/>
  <c r="N134" i="32"/>
  <c r="N150" i="32"/>
  <c r="N192" i="32"/>
  <c r="N208" i="32"/>
  <c r="N224" i="32"/>
  <c r="N240" i="32"/>
  <c r="N282" i="32"/>
  <c r="N298" i="32"/>
  <c r="N314" i="32"/>
  <c r="N330" i="32"/>
  <c r="N340" i="32"/>
  <c r="N344" i="32"/>
  <c r="N348" i="32"/>
  <c r="N352" i="32"/>
  <c r="N356" i="32"/>
  <c r="N372" i="32"/>
  <c r="N56" i="32"/>
  <c r="N98" i="32"/>
  <c r="N162" i="32"/>
  <c r="N188" i="32"/>
  <c r="N326" i="32"/>
  <c r="N353" i="32"/>
  <c r="N18" i="32"/>
  <c r="N34" i="32"/>
  <c r="N50" i="32"/>
  <c r="N66" i="32"/>
  <c r="N76" i="32"/>
  <c r="N80" i="32"/>
  <c r="N84" i="32"/>
  <c r="N88" i="32"/>
  <c r="N92" i="32"/>
  <c r="N108" i="32"/>
  <c r="N124" i="32"/>
  <c r="N140" i="32"/>
  <c r="N156" i="32"/>
  <c r="N182" i="32"/>
  <c r="N198" i="32"/>
  <c r="N214" i="32"/>
  <c r="N230" i="32"/>
  <c r="N246" i="32"/>
  <c r="N272" i="32"/>
  <c r="N288" i="32"/>
  <c r="N304" i="32"/>
  <c r="N320" i="32"/>
  <c r="N336" i="32"/>
  <c r="N362" i="32"/>
  <c r="N378" i="32"/>
  <c r="N406" i="32"/>
  <c r="N422" i="32"/>
  <c r="N441" i="32"/>
  <c r="N450" i="32"/>
  <c r="N466" i="32"/>
  <c r="N482" i="32"/>
  <c r="N498" i="32"/>
  <c r="N514" i="32"/>
  <c r="N530" i="32"/>
  <c r="N534" i="32"/>
  <c r="N550" i="32"/>
  <c r="N566" i="32"/>
  <c r="N582" i="32"/>
  <c r="N598" i="32"/>
  <c r="N610" i="32"/>
  <c r="N614" i="32"/>
  <c r="N622" i="32"/>
  <c r="N638" i="32"/>
  <c r="N654" i="32"/>
  <c r="N670" i="32"/>
  <c r="N712" i="32"/>
  <c r="N878" i="32"/>
  <c r="N1145" i="32"/>
  <c r="N1137" i="32"/>
  <c r="N1055" i="32"/>
  <c r="N1047" i="32"/>
  <c r="N1142" i="32"/>
  <c r="N1134" i="32"/>
  <c r="N1128" i="32"/>
  <c r="N1124" i="32"/>
  <c r="N1120" i="32"/>
  <c r="N1116" i="32"/>
  <c r="N1112" i="32"/>
  <c r="N1108" i="32"/>
  <c r="N1104" i="32"/>
  <c r="N1100" i="32"/>
  <c r="N1096" i="32"/>
  <c r="N1092" i="32"/>
  <c r="N1057" i="32"/>
  <c r="N1049" i="32"/>
  <c r="N967" i="32"/>
  <c r="N959" i="32"/>
  <c r="N1141" i="32"/>
  <c r="N1133" i="32"/>
  <c r="N1059" i="32"/>
  <c r="N1146" i="32"/>
  <c r="N1138" i="32"/>
  <c r="N1130" i="32"/>
  <c r="N1022" i="32"/>
  <c r="N990" i="32"/>
  <c r="N1164" i="32"/>
  <c r="N1026" i="32"/>
  <c r="N994" i="32"/>
  <c r="N965" i="32"/>
  <c r="N875" i="32"/>
  <c r="N869" i="32"/>
  <c r="N758" i="32"/>
  <c r="N726" i="32"/>
  <c r="N701" i="32"/>
  <c r="N693" i="32"/>
  <c r="N619" i="32"/>
  <c r="N611" i="32"/>
  <c r="N1160" i="32"/>
  <c r="N1053" i="32"/>
  <c r="N1050" i="32"/>
  <c r="N1043" i="32"/>
  <c r="N1030" i="32"/>
  <c r="N998" i="32"/>
  <c r="N971" i="32"/>
  <c r="N968" i="32"/>
  <c r="N924" i="32"/>
  <c r="N892" i="32"/>
  <c r="N852" i="32"/>
  <c r="N820" i="32"/>
  <c r="N794" i="32"/>
  <c r="N791" i="32"/>
  <c r="N788" i="32"/>
  <c r="N762" i="32"/>
  <c r="N730" i="32"/>
  <c r="N706" i="32"/>
  <c r="N698" i="32"/>
  <c r="N690" i="32"/>
  <c r="N686" i="32"/>
  <c r="N682" i="32"/>
  <c r="N678" i="32"/>
  <c r="N674" i="32"/>
  <c r="N1034" i="32"/>
  <c r="N1002" i="32"/>
  <c r="N961" i="32"/>
  <c r="N958" i="32"/>
  <c r="N955" i="32"/>
  <c r="N928" i="32"/>
  <c r="N896" i="32"/>
  <c r="N883" i="32"/>
  <c r="N877" i="32"/>
  <c r="N871" i="32"/>
  <c r="N856" i="32"/>
  <c r="N824" i="32"/>
  <c r="N785" i="32"/>
  <c r="N779" i="32"/>
  <c r="N766" i="32"/>
  <c r="N734" i="32"/>
  <c r="N703" i="32"/>
  <c r="N695" i="32"/>
  <c r="N613" i="32"/>
  <c r="N605" i="32"/>
  <c r="N1140" i="32"/>
  <c r="N1038" i="32"/>
  <c r="N1006" i="32"/>
  <c r="N1132" i="32"/>
  <c r="N1045" i="32"/>
  <c r="N1042" i="32"/>
  <c r="N1010" i="32"/>
  <c r="N978" i="32"/>
  <c r="N936" i="32"/>
  <c r="N904" i="32"/>
  <c r="N879" i="32"/>
  <c r="N864" i="32"/>
  <c r="N832" i="32"/>
  <c r="N800" i="32"/>
  <c r="N793" i="32"/>
  <c r="N787" i="32"/>
  <c r="N781" i="32"/>
  <c r="N774" i="32"/>
  <c r="N742" i="32"/>
  <c r="N705" i="32"/>
  <c r="N697" i="32"/>
  <c r="N1014" i="32"/>
  <c r="N982" i="32"/>
  <c r="N963" i="32"/>
  <c r="N960" i="32"/>
  <c r="N957" i="32"/>
  <c r="N940" i="32"/>
  <c r="N908" i="32"/>
  <c r="N876" i="32"/>
  <c r="N873" i="32"/>
  <c r="N870" i="32"/>
  <c r="N836" i="32"/>
  <c r="N804" i="32"/>
  <c r="N778" i="32"/>
  <c r="N746" i="32"/>
  <c r="N702" i="32"/>
  <c r="N694" i="32"/>
  <c r="N688" i="32"/>
  <c r="N684" i="32"/>
  <c r="N680" i="32"/>
  <c r="N676" i="32"/>
  <c r="N672" i="32"/>
  <c r="N668" i="32"/>
  <c r="N664" i="32"/>
  <c r="N660" i="32"/>
  <c r="N656" i="32"/>
  <c r="N652" i="32"/>
  <c r="N648" i="32"/>
  <c r="N644" i="32"/>
  <c r="N1058" i="32"/>
  <c r="N1051" i="32"/>
  <c r="N1018" i="32"/>
  <c r="N986" i="32"/>
  <c r="N969" i="32"/>
  <c r="N867" i="32"/>
  <c r="N808" i="32"/>
  <c r="N795" i="32"/>
  <c r="N707" i="32"/>
  <c r="N699" i="32"/>
  <c r="N691" i="32"/>
  <c r="N617" i="32"/>
  <c r="N609" i="32"/>
  <c r="N77" i="32"/>
  <c r="N85" i="32"/>
  <c r="N167" i="32"/>
  <c r="N175" i="32"/>
  <c r="N257" i="32"/>
  <c r="N265" i="32"/>
  <c r="N339" i="32"/>
  <c r="N347" i="32"/>
  <c r="N355" i="32"/>
  <c r="N396" i="32"/>
  <c r="N412" i="32"/>
  <c r="N427" i="32"/>
  <c r="N430" i="32"/>
  <c r="N456" i="32"/>
  <c r="N472" i="32"/>
  <c r="N488" i="32"/>
  <c r="N504" i="32"/>
  <c r="N524" i="32"/>
  <c r="N527" i="32"/>
  <c r="N540" i="32"/>
  <c r="N556" i="32"/>
  <c r="N572" i="32"/>
  <c r="N588" i="32"/>
  <c r="N603" i="32"/>
  <c r="N618" i="32"/>
  <c r="N628" i="32"/>
  <c r="N718" i="32"/>
  <c r="N750" i="32"/>
  <c r="N789" i="32"/>
  <c r="N840" i="32"/>
  <c r="N402" i="32"/>
  <c r="N418" i="32"/>
  <c r="N433" i="32"/>
  <c r="N439" i="32"/>
  <c r="N442" i="32"/>
  <c r="N446" i="32"/>
  <c r="N462" i="32"/>
  <c r="N478" i="32"/>
  <c r="N494" i="32"/>
  <c r="N510" i="32"/>
  <c r="N518" i="32"/>
  <c r="N521" i="32"/>
  <c r="N546" i="32"/>
  <c r="N562" i="32"/>
  <c r="N578" i="32"/>
  <c r="N594" i="32"/>
  <c r="N607" i="32"/>
  <c r="N634" i="32"/>
  <c r="N650" i="32"/>
  <c r="N666" i="32"/>
  <c r="N692" i="32"/>
  <c r="N696" i="32"/>
  <c r="N700" i="32"/>
  <c r="N704" i="32"/>
  <c r="N708" i="32"/>
  <c r="N888" i="32"/>
  <c r="N920" i="32"/>
  <c r="N952" i="32"/>
  <c r="N1192" i="32"/>
  <c r="N1196" i="32"/>
  <c r="N1208" i="32"/>
  <c r="N1222" i="32"/>
  <c r="N75" i="32"/>
  <c r="N83" i="32"/>
  <c r="N91" i="32"/>
  <c r="N165" i="32"/>
  <c r="N173" i="32"/>
  <c r="N255" i="32"/>
  <c r="N263" i="32"/>
  <c r="N392" i="32"/>
  <c r="N408" i="32"/>
  <c r="N424" i="32"/>
  <c r="N452" i="32"/>
  <c r="N468" i="32"/>
  <c r="N484" i="32"/>
  <c r="N500" i="32"/>
  <c r="N515" i="32"/>
  <c r="N528" i="32"/>
  <c r="N531" i="32"/>
  <c r="N536" i="32"/>
  <c r="N552" i="32"/>
  <c r="N568" i="32"/>
  <c r="N584" i="32"/>
  <c r="N600" i="32"/>
  <c r="N604" i="32"/>
  <c r="N615" i="32"/>
  <c r="N624" i="32"/>
  <c r="N640" i="32"/>
  <c r="N714" i="32"/>
  <c r="N786" i="32"/>
  <c r="N1156" i="32"/>
  <c r="N1176" i="32"/>
  <c r="N1233" i="32"/>
  <c r="N384" i="32"/>
  <c r="N388" i="32"/>
  <c r="N398" i="32"/>
  <c r="N414" i="32"/>
  <c r="N428" i="32"/>
  <c r="N431" i="32"/>
  <c r="N434" i="32"/>
  <c r="N458" i="32"/>
  <c r="N474" i="32"/>
  <c r="N490" i="32"/>
  <c r="N506" i="32"/>
  <c r="N522" i="32"/>
  <c r="N525" i="32"/>
  <c r="N542" i="32"/>
  <c r="N558" i="32"/>
  <c r="N574" i="32"/>
  <c r="N590" i="32"/>
  <c r="N608" i="32"/>
  <c r="N612" i="32"/>
  <c r="N630" i="32"/>
  <c r="N646" i="32"/>
  <c r="N662" i="32"/>
  <c r="N720" i="32"/>
  <c r="N868" i="32"/>
  <c r="N884" i="32"/>
  <c r="N900" i="32"/>
  <c r="N916" i="32"/>
  <c r="N932" i="32"/>
  <c r="N948" i="32"/>
  <c r="N974" i="32"/>
  <c r="N81" i="32"/>
  <c r="N89" i="32"/>
  <c r="N163" i="32"/>
  <c r="N171" i="32"/>
  <c r="N179" i="32"/>
  <c r="N253" i="32"/>
  <c r="N261" i="32"/>
  <c r="N343" i="32"/>
  <c r="N351" i="32"/>
  <c r="N404" i="32"/>
  <c r="N420" i="32"/>
  <c r="N437" i="32"/>
  <c r="N440" i="32"/>
  <c r="N443" i="32"/>
  <c r="N448" i="32"/>
  <c r="N464" i="32"/>
  <c r="N480" i="32"/>
  <c r="N496" i="32"/>
  <c r="N512" i="32"/>
  <c r="N516" i="32"/>
  <c r="N519" i="32"/>
  <c r="N532" i="32"/>
  <c r="N548" i="32"/>
  <c r="N564" i="32"/>
  <c r="N580" i="32"/>
  <c r="N596" i="32"/>
  <c r="N616" i="32"/>
  <c r="N620" i="32"/>
  <c r="N636" i="32"/>
  <c r="N710" i="32"/>
  <c r="N783" i="32"/>
  <c r="N816" i="32"/>
  <c r="N848" i="32"/>
  <c r="N394" i="32"/>
  <c r="N410" i="32"/>
  <c r="N426" i="32"/>
  <c r="N454" i="32"/>
  <c r="N470" i="32"/>
  <c r="N486" i="32"/>
  <c r="N502" i="32"/>
  <c r="N526" i="32"/>
  <c r="N529" i="32"/>
  <c r="N538" i="32"/>
  <c r="N554" i="32"/>
  <c r="N570" i="32"/>
  <c r="N586" i="32"/>
  <c r="N602" i="32"/>
  <c r="N626" i="32"/>
  <c r="N642" i="32"/>
  <c r="N658" i="32"/>
  <c r="N716" i="32"/>
  <c r="N881" i="32"/>
  <c r="N912" i="32"/>
  <c r="N944" i="32"/>
  <c r="N79" i="32"/>
  <c r="N87" i="32"/>
  <c r="N169" i="32"/>
  <c r="N177" i="32"/>
  <c r="N251" i="32"/>
  <c r="N259" i="32"/>
  <c r="N267" i="32"/>
  <c r="N400" i="32"/>
  <c r="N416" i="32"/>
  <c r="N429" i="32"/>
  <c r="N438" i="32"/>
  <c r="N444" i="32"/>
  <c r="N460" i="32"/>
  <c r="N476" i="32"/>
  <c r="N492" i="32"/>
  <c r="N508" i="32"/>
  <c r="N520" i="32"/>
  <c r="N523" i="32"/>
  <c r="N544" i="32"/>
  <c r="N560" i="32"/>
  <c r="N576" i="32"/>
  <c r="N592" i="32"/>
  <c r="N606" i="32"/>
  <c r="N632" i="32"/>
  <c r="N722" i="32"/>
  <c r="N738" i="32"/>
  <c r="N754" i="32"/>
  <c r="N770" i="32"/>
  <c r="N780" i="32"/>
  <c r="N796" i="32"/>
  <c r="N812" i="32"/>
  <c r="N828" i="32"/>
  <c r="N844" i="32"/>
  <c r="N860" i="32"/>
  <c r="N732" i="32"/>
  <c r="N764" i="32"/>
  <c r="N822" i="32"/>
  <c r="N854" i="32"/>
  <c r="N894" i="32"/>
  <c r="N926" i="32"/>
  <c r="N966" i="32"/>
  <c r="N1000" i="32"/>
  <c r="N1032" i="32"/>
  <c r="N1048" i="32"/>
  <c r="N1068" i="32"/>
  <c r="N1084" i="32"/>
  <c r="N1135" i="32"/>
  <c r="N1139" i="32"/>
  <c r="M1168" i="32"/>
  <c r="N1168" i="32" s="1"/>
  <c r="L1169" i="32"/>
  <c r="M1170" i="32"/>
  <c r="N1170" i="32" s="1"/>
  <c r="L1171" i="32"/>
  <c r="L1172" i="32"/>
  <c r="L1201" i="32"/>
  <c r="M1202" i="32"/>
  <c r="N1202" i="32" s="1"/>
  <c r="L1203" i="32"/>
  <c r="M1204" i="32"/>
  <c r="N1204" i="32" s="1"/>
  <c r="M1229" i="32"/>
  <c r="N1229" i="32" s="1"/>
  <c r="M1230" i="32"/>
  <c r="N1230" i="32" s="1"/>
  <c r="N728" i="32"/>
  <c r="N760" i="32"/>
  <c r="N784" i="32"/>
  <c r="N818" i="32"/>
  <c r="N850" i="32"/>
  <c r="N882" i="32"/>
  <c r="N890" i="32"/>
  <c r="N922" i="32"/>
  <c r="N954" i="32"/>
  <c r="N996" i="32"/>
  <c r="N1028" i="32"/>
  <c r="N1074" i="32"/>
  <c r="N1090" i="32"/>
  <c r="N1106" i="32"/>
  <c r="N1122" i="32"/>
  <c r="N1143" i="32"/>
  <c r="N1147" i="32"/>
  <c r="M1172" i="32"/>
  <c r="N1172" i="32" s="1"/>
  <c r="N1174" i="32"/>
  <c r="N1206" i="32"/>
  <c r="N1231" i="32"/>
  <c r="M1232" i="32"/>
  <c r="N1232" i="32" s="1"/>
  <c r="L1233" i="32"/>
  <c r="N724" i="32"/>
  <c r="N756" i="32"/>
  <c r="N790" i="32"/>
  <c r="N814" i="32"/>
  <c r="N846" i="32"/>
  <c r="N886" i="32"/>
  <c r="N918" i="32"/>
  <c r="N950" i="32"/>
  <c r="N970" i="32"/>
  <c r="N992" i="32"/>
  <c r="N1024" i="32"/>
  <c r="N1052" i="32"/>
  <c r="N1064" i="32"/>
  <c r="N1080" i="32"/>
  <c r="N1136" i="32"/>
  <c r="N1178" i="32"/>
  <c r="L1179" i="32"/>
  <c r="N1210" i="32"/>
  <c r="L1211" i="32"/>
  <c r="N1234" i="32"/>
  <c r="M1235" i="32"/>
  <c r="N1235" i="32" s="1"/>
  <c r="N752" i="32"/>
  <c r="N810" i="32"/>
  <c r="N842" i="32"/>
  <c r="N874" i="32"/>
  <c r="N914" i="32"/>
  <c r="N946" i="32"/>
  <c r="N964" i="32"/>
  <c r="N988" i="32"/>
  <c r="N1020" i="32"/>
  <c r="N1056" i="32"/>
  <c r="N1070" i="32"/>
  <c r="N1086" i="32"/>
  <c r="N1102" i="32"/>
  <c r="N1118" i="32"/>
  <c r="N1144" i="32"/>
  <c r="M1148" i="32"/>
  <c r="N1148" i="32" s="1"/>
  <c r="L1149" i="32"/>
  <c r="M1150" i="32"/>
  <c r="N1150" i="32" s="1"/>
  <c r="L1151" i="32"/>
  <c r="L1152" i="32"/>
  <c r="M1180" i="32"/>
  <c r="N1180" i="32" s="1"/>
  <c r="L1181" i="32"/>
  <c r="M1182" i="32"/>
  <c r="N1182" i="32" s="1"/>
  <c r="L1183" i="32"/>
  <c r="L1184" i="32"/>
  <c r="L1213" i="32"/>
  <c r="M1214" i="32"/>
  <c r="N1214" i="32" s="1"/>
  <c r="L1215" i="32"/>
  <c r="M1216" i="32"/>
  <c r="N1216" i="32" s="1"/>
  <c r="N1237" i="32"/>
  <c r="N748" i="32"/>
  <c r="N782" i="32"/>
  <c r="N806" i="32"/>
  <c r="N838" i="32"/>
  <c r="N880" i="32"/>
  <c r="N910" i="32"/>
  <c r="N942" i="32"/>
  <c r="N984" i="32"/>
  <c r="N1016" i="32"/>
  <c r="N1046" i="32"/>
  <c r="N1060" i="32"/>
  <c r="N1076" i="32"/>
  <c r="M1152" i="32"/>
  <c r="N1152" i="32" s="1"/>
  <c r="M1154" i="32"/>
  <c r="N1154" i="32" s="1"/>
  <c r="L1155" i="32"/>
  <c r="L1156" i="32"/>
  <c r="M1184" i="32"/>
  <c r="N1184" i="32" s="1"/>
  <c r="M1186" i="32"/>
  <c r="N1186" i="32" s="1"/>
  <c r="L1187" i="32"/>
  <c r="M1188" i="32"/>
  <c r="N1188" i="32" s="1"/>
  <c r="M1218" i="32"/>
  <c r="N1218" i="32" s="1"/>
  <c r="M1219" i="32"/>
  <c r="N1219" i="32" s="1"/>
  <c r="N1220" i="32"/>
  <c r="L1220" i="32"/>
  <c r="N744" i="32"/>
  <c r="N776" i="32"/>
  <c r="N802" i="32"/>
  <c r="N834" i="32"/>
  <c r="N866" i="32"/>
  <c r="N906" i="32"/>
  <c r="N938" i="32"/>
  <c r="N980" i="32"/>
  <c r="N1012" i="32"/>
  <c r="N1066" i="32"/>
  <c r="N1082" i="32"/>
  <c r="N1098" i="32"/>
  <c r="N1114" i="32"/>
  <c r="N1158" i="32"/>
  <c r="N1190" i="32"/>
  <c r="N1221" i="32"/>
  <c r="N1238" i="32"/>
  <c r="N740" i="32"/>
  <c r="N772" i="32"/>
  <c r="N798" i="32"/>
  <c r="N830" i="32"/>
  <c r="N862" i="32"/>
  <c r="N872" i="32"/>
  <c r="N902" i="32"/>
  <c r="N934" i="32"/>
  <c r="N956" i="32"/>
  <c r="N962" i="32"/>
  <c r="N976" i="32"/>
  <c r="N1008" i="32"/>
  <c r="N1040" i="32"/>
  <c r="N1072" i="32"/>
  <c r="N1088" i="32"/>
  <c r="L1161" i="32"/>
  <c r="N1162" i="32"/>
  <c r="L1163" i="32"/>
  <c r="L1193" i="32"/>
  <c r="L1195" i="32"/>
  <c r="M1223" i="32"/>
  <c r="N1223" i="32" s="1"/>
  <c r="M1224" i="32"/>
  <c r="N1224" i="32" s="1"/>
  <c r="L1225" i="32"/>
  <c r="N736" i="32"/>
  <c r="N768" i="32"/>
  <c r="N792" i="32"/>
  <c r="N826" i="32"/>
  <c r="N858" i="32"/>
  <c r="N898" i="32"/>
  <c r="N930" i="32"/>
  <c r="N972" i="32"/>
  <c r="N1004" i="32"/>
  <c r="N1036" i="32"/>
  <c r="N1044" i="32"/>
  <c r="N1054" i="32"/>
  <c r="N1062" i="32"/>
  <c r="N1078" i="32"/>
  <c r="N1094" i="32"/>
  <c r="N1110" i="32"/>
  <c r="N1126" i="32"/>
  <c r="N1131" i="32"/>
  <c r="L1165" i="32"/>
  <c r="M1166" i="32"/>
  <c r="N1166" i="32" s="1"/>
  <c r="L1167" i="32"/>
  <c r="L1168" i="32"/>
  <c r="L1197" i="32"/>
  <c r="M1198" i="32"/>
  <c r="N1198" i="32" s="1"/>
  <c r="L1199" i="32"/>
  <c r="M1200" i="32"/>
  <c r="N1200" i="32" s="1"/>
  <c r="M1226" i="32"/>
  <c r="N1226" i="32" s="1"/>
  <c r="M1227" i="32"/>
  <c r="N1227" i="32" s="1"/>
  <c r="N1228" i="32"/>
  <c r="L1228" i="32"/>
  <c r="N1239" i="32"/>
  <c r="L1223" i="32"/>
  <c r="L1231" i="32"/>
  <c r="L1150" i="32"/>
  <c r="L1154" i="32"/>
  <c r="L1158" i="32"/>
  <c r="L1162" i="32"/>
  <c r="L1166" i="32"/>
  <c r="L1170" i="32"/>
  <c r="L1174" i="32"/>
  <c r="L1178" i="32"/>
  <c r="L1182" i="32"/>
  <c r="L1186" i="32"/>
  <c r="L1190" i="32"/>
  <c r="L1194" i="32"/>
  <c r="L1198" i="32"/>
  <c r="L1202" i="32"/>
  <c r="L1206" i="32"/>
  <c r="L1210" i="32"/>
  <c r="L1214" i="32"/>
  <c r="L1218" i="32"/>
  <c r="L1226" i="32"/>
  <c r="L1234" i="32"/>
  <c r="L1221" i="32"/>
  <c r="L1229" i="32"/>
  <c r="L1224" i="32"/>
  <c r="L1232" i="32"/>
  <c r="L1219" i="32"/>
  <c r="L1227" i="32"/>
  <c r="L1235" i="32"/>
  <c r="L1188" i="32"/>
  <c r="L1192" i="32"/>
  <c r="L1196" i="32"/>
  <c r="L1200" i="32"/>
  <c r="L1204" i="32"/>
  <c r="L1208" i="32"/>
  <c r="L1212" i="32"/>
  <c r="L1216" i="32"/>
  <c r="L1222" i="32"/>
  <c r="L1230" i="32"/>
  <c r="J710" i="21"/>
  <c r="J709" i="21"/>
  <c r="J89" i="21"/>
  <c r="J617" i="21"/>
  <c r="L1233" i="25"/>
  <c r="M1234" i="25"/>
  <c r="N1234" i="25" s="1"/>
  <c r="M1235" i="25"/>
  <c r="N1235" i="25" s="1"/>
  <c r="L1235" i="25"/>
  <c r="M1233" i="25"/>
  <c r="N1233" i="25" s="1"/>
  <c r="N1145" i="25"/>
  <c r="L1234" i="25"/>
  <c r="N1146" i="25"/>
  <c r="N1147" i="25"/>
  <c r="N1057" i="25"/>
  <c r="N1058" i="25"/>
  <c r="N530" i="25"/>
  <c r="N1059" i="25"/>
  <c r="N970" i="25"/>
  <c r="N971" i="25"/>
  <c r="N969" i="25"/>
  <c r="N881" i="25"/>
  <c r="N793" i="25"/>
  <c r="N882" i="25"/>
  <c r="N883" i="25"/>
  <c r="N705" i="25"/>
  <c r="N617" i="25"/>
  <c r="N706" i="25"/>
  <c r="N794" i="25"/>
  <c r="N707" i="25"/>
  <c r="N795" i="25"/>
  <c r="N619" i="25"/>
  <c r="N443" i="25"/>
  <c r="N529" i="25"/>
  <c r="N534" i="25"/>
  <c r="N618" i="25"/>
  <c r="N531" i="25"/>
  <c r="N441" i="25"/>
  <c r="N532" i="25"/>
  <c r="N355" i="25"/>
  <c r="N442" i="25"/>
  <c r="N353" i="25"/>
  <c r="N265" i="25"/>
  <c r="N266" i="25"/>
  <c r="N354" i="25"/>
  <c r="N267" i="25"/>
  <c r="N963" i="25"/>
  <c r="N182" i="25"/>
  <c r="N12" i="25"/>
  <c r="N44" i="25"/>
  <c r="N24" i="25"/>
  <c r="N177" i="25"/>
  <c r="N180" i="25"/>
  <c r="N178" i="25"/>
  <c r="N82" i="25"/>
  <c r="N86" i="25"/>
  <c r="N4" i="25"/>
  <c r="N52" i="25"/>
  <c r="N68" i="25"/>
  <c r="N179" i="25"/>
  <c r="N26" i="25"/>
  <c r="N40" i="25"/>
  <c r="N66" i="25"/>
  <c r="N194" i="25"/>
  <c r="N226" i="25"/>
  <c r="N242" i="25"/>
  <c r="N290" i="25"/>
  <c r="N306" i="25"/>
  <c r="N338" i="25"/>
  <c r="N356" i="25"/>
  <c r="N370" i="25"/>
  <c r="N428" i="25"/>
  <c r="N436" i="25"/>
  <c r="N550" i="25"/>
  <c r="N614" i="25"/>
  <c r="N630" i="25"/>
  <c r="N646" i="25"/>
  <c r="N662" i="25"/>
  <c r="N678" i="25"/>
  <c r="N714" i="25"/>
  <c r="N730" i="25"/>
  <c r="N746" i="25"/>
  <c r="N762" i="25"/>
  <c r="N870" i="25"/>
  <c r="N955" i="25"/>
  <c r="N974" i="25"/>
  <c r="N990" i="25"/>
  <c r="N1084" i="25"/>
  <c r="N1114" i="25"/>
  <c r="N1144" i="25"/>
  <c r="N14" i="25"/>
  <c r="N28" i="25"/>
  <c r="N42" i="25"/>
  <c r="N54" i="25"/>
  <c r="N79" i="25"/>
  <c r="N212" i="25"/>
  <c r="N254" i="25"/>
  <c r="N278" i="25"/>
  <c r="N346" i="25"/>
  <c r="N358" i="25"/>
  <c r="N388" i="25"/>
  <c r="N402" i="25"/>
  <c r="N608" i="25"/>
  <c r="N732" i="25"/>
  <c r="N778" i="25"/>
  <c r="N798" i="25"/>
  <c r="N814" i="25"/>
  <c r="N1006" i="25"/>
  <c r="N1038" i="25"/>
  <c r="N1048" i="25"/>
  <c r="N1086" i="25"/>
  <c r="N1116" i="25"/>
  <c r="N1130" i="25"/>
  <c r="N16" i="25"/>
  <c r="N30" i="25"/>
  <c r="N56" i="25"/>
  <c r="N78" i="25"/>
  <c r="N263" i="25"/>
  <c r="N340" i="25"/>
  <c r="N374" i="25"/>
  <c r="N390" i="25"/>
  <c r="N420" i="25"/>
  <c r="N430" i="25"/>
  <c r="N454" i="25"/>
  <c r="N470" i="25"/>
  <c r="N486" i="25"/>
  <c r="N502" i="25"/>
  <c r="N516" i="25"/>
  <c r="N524" i="25"/>
  <c r="N538" i="25"/>
  <c r="N554" i="25"/>
  <c r="N694" i="25"/>
  <c r="N702" i="25"/>
  <c r="N787" i="25"/>
  <c r="N830" i="25"/>
  <c r="N846" i="25"/>
  <c r="N862" i="25"/>
  <c r="N872" i="25"/>
  <c r="N957" i="25"/>
  <c r="N1024" i="25"/>
  <c r="N1056" i="25"/>
  <c r="N1118" i="25"/>
  <c r="N1139" i="25"/>
  <c r="N1138" i="25"/>
  <c r="N1022" i="25"/>
  <c r="N932" i="25"/>
  <c r="N786" i="25"/>
  <c r="N690" i="25"/>
  <c r="N438" i="25"/>
  <c r="N418" i="25"/>
  <c r="N386" i="25"/>
  <c r="N314" i="25"/>
  <c r="N262" i="25"/>
  <c r="N210" i="25"/>
  <c r="N1102" i="25"/>
  <c r="N1070" i="25"/>
  <c r="N1044" i="25"/>
  <c r="N868" i="25"/>
  <c r="N546" i="25"/>
  <c r="N1136" i="25"/>
  <c r="N1110" i="25"/>
  <c r="N1078" i="25"/>
  <c r="N1030" i="25"/>
  <c r="N940" i="25"/>
  <c r="N854" i="25"/>
  <c r="N790" i="25"/>
  <c r="N738" i="25"/>
  <c r="N414" i="25"/>
  <c r="N322" i="25"/>
  <c r="N218" i="25"/>
  <c r="N1098" i="25"/>
  <c r="N1066" i="25"/>
  <c r="N18" i="25"/>
  <c r="N70" i="25"/>
  <c r="N84" i="25"/>
  <c r="N200" i="25"/>
  <c r="N282" i="25"/>
  <c r="N362" i="25"/>
  <c r="N406" i="25"/>
  <c r="N422" i="25"/>
  <c r="N439" i="25"/>
  <c r="N570" i="25"/>
  <c r="N586" i="25"/>
  <c r="N602" i="25"/>
  <c r="N610" i="25"/>
  <c r="N720" i="25"/>
  <c r="N848" i="25"/>
  <c r="N880" i="25"/>
  <c r="N1074" i="25"/>
  <c r="N1090" i="25"/>
  <c r="N1132" i="25"/>
  <c r="N1140" i="25"/>
  <c r="N89" i="25"/>
  <c r="N6" i="25"/>
  <c r="N20" i="25"/>
  <c r="N32" i="25"/>
  <c r="N46" i="25"/>
  <c r="N58" i="25"/>
  <c r="N72" i="25"/>
  <c r="N83" i="25"/>
  <c r="N76" i="25"/>
  <c r="N104" i="25"/>
  <c r="N120" i="25"/>
  <c r="N136" i="25"/>
  <c r="N152" i="25"/>
  <c r="N165" i="25"/>
  <c r="N173" i="25"/>
  <c r="N186" i="25"/>
  <c r="N202" i="25"/>
  <c r="N234" i="25"/>
  <c r="N257" i="25"/>
  <c r="N298" i="25"/>
  <c r="N330" i="25"/>
  <c r="N342" i="25"/>
  <c r="N378" i="25"/>
  <c r="N394" i="25"/>
  <c r="N432" i="25"/>
  <c r="N440" i="25"/>
  <c r="N588" i="25"/>
  <c r="N704" i="25"/>
  <c r="N722" i="25"/>
  <c r="N754" i="25"/>
  <c r="N781" i="25"/>
  <c r="N948" i="25"/>
  <c r="N959" i="25"/>
  <c r="N982" i="25"/>
  <c r="N1012" i="25"/>
  <c r="N1106" i="25"/>
  <c r="N1122" i="25"/>
  <c r="N8" i="25"/>
  <c r="N22" i="25"/>
  <c r="N34" i="25"/>
  <c r="N48" i="25"/>
  <c r="N60" i="25"/>
  <c r="N74" i="25"/>
  <c r="N250" i="25"/>
  <c r="N258" i="25"/>
  <c r="N316" i="25"/>
  <c r="N350" i="25"/>
  <c r="N410" i="25"/>
  <c r="N426" i="25"/>
  <c r="N770" i="25"/>
  <c r="N782" i="25"/>
  <c r="N806" i="25"/>
  <c r="N836" i="25"/>
  <c r="N934" i="25"/>
  <c r="N967" i="25"/>
  <c r="N998" i="25"/>
  <c r="N1014" i="25"/>
  <c r="N1062" i="25"/>
  <c r="N1134" i="25"/>
  <c r="N1142" i="25"/>
  <c r="N90" i="25"/>
  <c r="N10" i="25"/>
  <c r="N36" i="25"/>
  <c r="N50" i="25"/>
  <c r="N62" i="25"/>
  <c r="N88" i="25"/>
  <c r="N238" i="25"/>
  <c r="N366" i="25"/>
  <c r="N382" i="25"/>
  <c r="N434" i="25"/>
  <c r="N576" i="25"/>
  <c r="N698" i="25"/>
  <c r="N758" i="25"/>
  <c r="N822" i="25"/>
  <c r="N838" i="25"/>
  <c r="N888" i="25"/>
  <c r="N904" i="25"/>
  <c r="N920" i="25"/>
  <c r="N986" i="25"/>
  <c r="N1052" i="25"/>
  <c r="N1094" i="25"/>
  <c r="N38" i="25"/>
  <c r="N64" i="25"/>
  <c r="N87" i="25"/>
  <c r="N81" i="25"/>
  <c r="N274" i="25"/>
  <c r="N304" i="25"/>
  <c r="N398" i="25"/>
  <c r="N562" i="25"/>
  <c r="N578" i="25"/>
  <c r="N594" i="25"/>
  <c r="N606" i="25"/>
  <c r="N691" i="25"/>
  <c r="N810" i="25"/>
  <c r="N876" i="25"/>
  <c r="N1046" i="25"/>
  <c r="N1082" i="25"/>
  <c r="N1126" i="25"/>
  <c r="N1237" i="25"/>
  <c r="N91" i="25"/>
  <c r="N75" i="25"/>
  <c r="N106" i="25"/>
  <c r="N122" i="25"/>
  <c r="N138" i="25"/>
  <c r="N154" i="25"/>
  <c r="N166" i="25"/>
  <c r="N174" i="25"/>
  <c r="N188" i="25"/>
  <c r="N214" i="25"/>
  <c r="N240" i="25"/>
  <c r="N251" i="25"/>
  <c r="N264" i="25"/>
  <c r="N280" i="25"/>
  <c r="N292" i="25"/>
  <c r="N318" i="25"/>
  <c r="N341" i="25"/>
  <c r="N347" i="25"/>
  <c r="N368" i="25"/>
  <c r="N400" i="25"/>
  <c r="N429" i="25"/>
  <c r="N456" i="25"/>
  <c r="N472" i="25"/>
  <c r="N488" i="25"/>
  <c r="N504" i="25"/>
  <c r="N517" i="25"/>
  <c r="N525" i="25"/>
  <c r="N552" i="25"/>
  <c r="N564" i="25"/>
  <c r="N590" i="25"/>
  <c r="N609" i="25"/>
  <c r="N615" i="25"/>
  <c r="N632" i="25"/>
  <c r="N648" i="25"/>
  <c r="N664" i="25"/>
  <c r="N680" i="25"/>
  <c r="N692" i="25"/>
  <c r="N708" i="25"/>
  <c r="N734" i="25"/>
  <c r="N760" i="25"/>
  <c r="N772" i="25"/>
  <c r="N788" i="25"/>
  <c r="N812" i="25"/>
  <c r="N824" i="25"/>
  <c r="N850" i="25"/>
  <c r="N871" i="25"/>
  <c r="N877" i="25"/>
  <c r="N890" i="25"/>
  <c r="N906" i="25"/>
  <c r="N922" i="25"/>
  <c r="N936" i="25"/>
  <c r="N958" i="25"/>
  <c r="N964" i="25"/>
  <c r="N988" i="25"/>
  <c r="N1000" i="25"/>
  <c r="N1026" i="25"/>
  <c r="N1047" i="25"/>
  <c r="N1053" i="25"/>
  <c r="N1064" i="25"/>
  <c r="N1096" i="25"/>
  <c r="N1128" i="25"/>
  <c r="N92" i="25"/>
  <c r="N108" i="25"/>
  <c r="N124" i="25"/>
  <c r="N140" i="25"/>
  <c r="N156" i="25"/>
  <c r="N167" i="25"/>
  <c r="N175" i="25"/>
  <c r="N190" i="25"/>
  <c r="N216" i="25"/>
  <c r="N228" i="25"/>
  <c r="N252" i="25"/>
  <c r="N268" i="25"/>
  <c r="N294" i="25"/>
  <c r="N320" i="25"/>
  <c r="N332" i="25"/>
  <c r="N348" i="25"/>
  <c r="N380" i="25"/>
  <c r="N412" i="25"/>
  <c r="N435" i="25"/>
  <c r="N458" i="25"/>
  <c r="N474" i="25"/>
  <c r="N490" i="25"/>
  <c r="N506" i="25"/>
  <c r="N518" i="25"/>
  <c r="N526" i="25"/>
  <c r="N540" i="25"/>
  <c r="N566" i="25"/>
  <c r="N592" i="25"/>
  <c r="N603" i="25"/>
  <c r="N616" i="25"/>
  <c r="N634" i="25"/>
  <c r="N650" i="25"/>
  <c r="N666" i="25"/>
  <c r="N682" i="25"/>
  <c r="N693" i="25"/>
  <c r="N699" i="25"/>
  <c r="N710" i="25"/>
  <c r="N736" i="25"/>
  <c r="N748" i="25"/>
  <c r="N774" i="25"/>
  <c r="N789" i="25"/>
  <c r="N800" i="25"/>
  <c r="N826" i="25"/>
  <c r="N852" i="25"/>
  <c r="N864" i="25"/>
  <c r="N878" i="25"/>
  <c r="N892" i="25"/>
  <c r="N908" i="25"/>
  <c r="N924" i="25"/>
  <c r="N938" i="25"/>
  <c r="N950" i="25"/>
  <c r="N965" i="25"/>
  <c r="N976" i="25"/>
  <c r="N1002" i="25"/>
  <c r="N1028" i="25"/>
  <c r="N1040" i="25"/>
  <c r="N1054" i="25"/>
  <c r="N1076" i="25"/>
  <c r="N1108" i="25"/>
  <c r="N1135" i="25"/>
  <c r="N80" i="25"/>
  <c r="N94" i="25"/>
  <c r="N110" i="25"/>
  <c r="N126" i="25"/>
  <c r="N142" i="25"/>
  <c r="N158" i="25"/>
  <c r="N168" i="25"/>
  <c r="N176" i="25"/>
  <c r="N192" i="25"/>
  <c r="N204" i="25"/>
  <c r="N230" i="25"/>
  <c r="N253" i="25"/>
  <c r="N259" i="25"/>
  <c r="N270" i="25"/>
  <c r="N296" i="25"/>
  <c r="N308" i="25"/>
  <c r="N334" i="25"/>
  <c r="N349" i="25"/>
  <c r="N360" i="25"/>
  <c r="N392" i="25"/>
  <c r="N424" i="25"/>
  <c r="N444" i="25"/>
  <c r="N460" i="25"/>
  <c r="N476" i="25"/>
  <c r="N492" i="25"/>
  <c r="N508" i="25"/>
  <c r="N519" i="25"/>
  <c r="N527" i="25"/>
  <c r="N542" i="25"/>
  <c r="N568" i="25"/>
  <c r="N580" i="25"/>
  <c r="N604" i="25"/>
  <c r="N620" i="25"/>
  <c r="N636" i="25"/>
  <c r="N652" i="25"/>
  <c r="N668" i="25"/>
  <c r="N684" i="25"/>
  <c r="N700" i="25"/>
  <c r="N712" i="25"/>
  <c r="N724" i="25"/>
  <c r="N750" i="25"/>
  <c r="N776" i="25"/>
  <c r="N783" i="25"/>
  <c r="N802" i="25"/>
  <c r="N828" i="25"/>
  <c r="N840" i="25"/>
  <c r="N866" i="25"/>
  <c r="N879" i="25"/>
  <c r="N894" i="25"/>
  <c r="N910" i="25"/>
  <c r="N926" i="25"/>
  <c r="N952" i="25"/>
  <c r="N966" i="25"/>
  <c r="N978" i="25"/>
  <c r="N1004" i="25"/>
  <c r="N1016" i="25"/>
  <c r="N1042" i="25"/>
  <c r="N1055" i="25"/>
  <c r="N1088" i="25"/>
  <c r="N1120" i="25"/>
  <c r="N1141" i="25"/>
  <c r="N96" i="25"/>
  <c r="N112" i="25"/>
  <c r="N128" i="25"/>
  <c r="N144" i="25"/>
  <c r="N160" i="25"/>
  <c r="N169" i="25"/>
  <c r="N206" i="25"/>
  <c r="N232" i="25"/>
  <c r="N244" i="25"/>
  <c r="N260" i="25"/>
  <c r="N272" i="25"/>
  <c r="N284" i="25"/>
  <c r="N310" i="25"/>
  <c r="N336" i="25"/>
  <c r="N343" i="25"/>
  <c r="N372" i="25"/>
  <c r="N404" i="25"/>
  <c r="N431" i="25"/>
  <c r="N446" i="25"/>
  <c r="N462" i="25"/>
  <c r="N478" i="25"/>
  <c r="N494" i="25"/>
  <c r="N510" i="25"/>
  <c r="N520" i="25"/>
  <c r="N528" i="25"/>
  <c r="N544" i="25"/>
  <c r="N556" i="25"/>
  <c r="N582" i="25"/>
  <c r="N605" i="25"/>
  <c r="N611" i="25"/>
  <c r="N622" i="25"/>
  <c r="N638" i="25"/>
  <c r="N654" i="25"/>
  <c r="N670" i="25"/>
  <c r="N686" i="25"/>
  <c r="N701" i="25"/>
  <c r="N726" i="25"/>
  <c r="N752" i="25"/>
  <c r="N764" i="25"/>
  <c r="N784" i="25"/>
  <c r="N804" i="25"/>
  <c r="N816" i="25"/>
  <c r="N842" i="25"/>
  <c r="N867" i="25"/>
  <c r="N873" i="25"/>
  <c r="N896" i="25"/>
  <c r="N912" i="25"/>
  <c r="N928" i="25"/>
  <c r="N954" i="25"/>
  <c r="N960" i="25"/>
  <c r="N980" i="25"/>
  <c r="N992" i="25"/>
  <c r="N1018" i="25"/>
  <c r="N1043" i="25"/>
  <c r="N1049" i="25"/>
  <c r="N1068" i="25"/>
  <c r="N1100" i="25"/>
  <c r="N1131" i="25"/>
  <c r="N85" i="25"/>
  <c r="N98" i="25"/>
  <c r="N114" i="25"/>
  <c r="N130" i="25"/>
  <c r="N146" i="25"/>
  <c r="N162" i="25"/>
  <c r="N170" i="25"/>
  <c r="N208" i="25"/>
  <c r="N220" i="25"/>
  <c r="N246" i="25"/>
  <c r="N261" i="25"/>
  <c r="N286" i="25"/>
  <c r="N312" i="25"/>
  <c r="N324" i="25"/>
  <c r="N344" i="25"/>
  <c r="N384" i="25"/>
  <c r="N416" i="25"/>
  <c r="N437" i="25"/>
  <c r="N448" i="25"/>
  <c r="N464" i="25"/>
  <c r="N480" i="25"/>
  <c r="N496" i="25"/>
  <c r="N512" i="25"/>
  <c r="N521" i="25"/>
  <c r="N558" i="25"/>
  <c r="N584" i="25"/>
  <c r="N596" i="25"/>
  <c r="N612" i="25"/>
  <c r="N624" i="25"/>
  <c r="N640" i="25"/>
  <c r="N656" i="25"/>
  <c r="N672" i="25"/>
  <c r="N688" i="25"/>
  <c r="N695" i="25"/>
  <c r="N728" i="25"/>
  <c r="N740" i="25"/>
  <c r="N766" i="25"/>
  <c r="N785" i="25"/>
  <c r="N791" i="25"/>
  <c r="N818" i="25"/>
  <c r="N844" i="25"/>
  <c r="N856" i="25"/>
  <c r="N874" i="25"/>
  <c r="N898" i="25"/>
  <c r="N914" i="25"/>
  <c r="N930" i="25"/>
  <c r="N942" i="25"/>
  <c r="N961" i="25"/>
  <c r="N994" i="25"/>
  <c r="N1020" i="25"/>
  <c r="N1032" i="25"/>
  <c r="N1050" i="25"/>
  <c r="N1080" i="25"/>
  <c r="N1112" i="25"/>
  <c r="N1137" i="25"/>
  <c r="N1239" i="25"/>
  <c r="N100" i="25"/>
  <c r="N116" i="25"/>
  <c r="N132" i="25"/>
  <c r="N148" i="25"/>
  <c r="N163" i="25"/>
  <c r="N171" i="25"/>
  <c r="N184" i="25"/>
  <c r="N196" i="25"/>
  <c r="N222" i="25"/>
  <c r="N248" i="25"/>
  <c r="N255" i="25"/>
  <c r="N288" i="25"/>
  <c r="N300" i="25"/>
  <c r="N326" i="25"/>
  <c r="N345" i="25"/>
  <c r="N351" i="25"/>
  <c r="N364" i="25"/>
  <c r="N396" i="25"/>
  <c r="N427" i="25"/>
  <c r="N450" i="25"/>
  <c r="N466" i="25"/>
  <c r="N482" i="25"/>
  <c r="N498" i="25"/>
  <c r="N514" i="25"/>
  <c r="N522" i="25"/>
  <c r="N560" i="25"/>
  <c r="N572" i="25"/>
  <c r="N598" i="25"/>
  <c r="N613" i="25"/>
  <c r="N626" i="25"/>
  <c r="N642" i="25"/>
  <c r="N658" i="25"/>
  <c r="N674" i="25"/>
  <c r="N696" i="25"/>
  <c r="N716" i="25"/>
  <c r="N742" i="25"/>
  <c r="N768" i="25"/>
  <c r="N779" i="25"/>
  <c r="N792" i="25"/>
  <c r="N820" i="25"/>
  <c r="N832" i="25"/>
  <c r="N858" i="25"/>
  <c r="N875" i="25"/>
  <c r="N884" i="25"/>
  <c r="N900" i="25"/>
  <c r="N916" i="25"/>
  <c r="N944" i="25"/>
  <c r="N962" i="25"/>
  <c r="N968" i="25"/>
  <c r="N996" i="25"/>
  <c r="N1008" i="25"/>
  <c r="N1034" i="25"/>
  <c r="N1051" i="25"/>
  <c r="N1060" i="25"/>
  <c r="N1092" i="25"/>
  <c r="N1124" i="25"/>
  <c r="N1143" i="25"/>
  <c r="N1238" i="25"/>
  <c r="N77" i="25"/>
  <c r="N102" i="25"/>
  <c r="N118" i="25"/>
  <c r="N134" i="25"/>
  <c r="N150" i="25"/>
  <c r="N164" i="25"/>
  <c r="N172" i="25"/>
  <c r="N198" i="25"/>
  <c r="N224" i="25"/>
  <c r="N236" i="25"/>
  <c r="N256" i="25"/>
  <c r="N276" i="25"/>
  <c r="N302" i="25"/>
  <c r="N328" i="25"/>
  <c r="N339" i="25"/>
  <c r="N352" i="25"/>
  <c r="N376" i="25"/>
  <c r="N408" i="25"/>
  <c r="N433" i="25"/>
  <c r="N452" i="25"/>
  <c r="N468" i="25"/>
  <c r="N484" i="25"/>
  <c r="N500" i="25"/>
  <c r="N515" i="25"/>
  <c r="N523" i="25"/>
  <c r="N536" i="25"/>
  <c r="N548" i="25"/>
  <c r="N574" i="25"/>
  <c r="N600" i="25"/>
  <c r="N607" i="25"/>
  <c r="N628" i="25"/>
  <c r="N644" i="25"/>
  <c r="N660" i="25"/>
  <c r="N676" i="25"/>
  <c r="N697" i="25"/>
  <c r="N703" i="25"/>
  <c r="N718" i="25"/>
  <c r="N744" i="25"/>
  <c r="N756" i="25"/>
  <c r="N780" i="25"/>
  <c r="N796" i="25"/>
  <c r="N808" i="25"/>
  <c r="N834" i="25"/>
  <c r="N860" i="25"/>
  <c r="N869" i="25"/>
  <c r="N886" i="25"/>
  <c r="N902" i="25"/>
  <c r="N918" i="25"/>
  <c r="N946" i="25"/>
  <c r="N956" i="25"/>
  <c r="N972" i="25"/>
  <c r="N984" i="25"/>
  <c r="N1010" i="25"/>
  <c r="N1036" i="25"/>
  <c r="N1045" i="25"/>
  <c r="N1072" i="25"/>
  <c r="N1104" i="25"/>
  <c r="N1133" i="25"/>
  <c r="I706" i="21"/>
  <c r="J706" i="21" s="1"/>
  <c r="H706" i="21"/>
  <c r="I707" i="21"/>
  <c r="J707" i="21" s="1"/>
  <c r="H705" i="21"/>
  <c r="J531" i="21"/>
  <c r="I705" i="21"/>
  <c r="J705" i="21" s="1"/>
  <c r="J618" i="21"/>
  <c r="J354" i="21"/>
  <c r="J619" i="21"/>
  <c r="H707" i="21"/>
  <c r="J532" i="21"/>
  <c r="J529" i="21"/>
  <c r="J530" i="21"/>
  <c r="J441" i="21"/>
  <c r="J442" i="21"/>
  <c r="J443" i="21"/>
  <c r="J534" i="21"/>
  <c r="J14" i="21"/>
  <c r="J267" i="21"/>
  <c r="J353" i="21"/>
  <c r="J266" i="21"/>
  <c r="J265" i="21"/>
  <c r="J355" i="21"/>
  <c r="J178" i="21"/>
  <c r="J4" i="21"/>
  <c r="J240" i="21"/>
  <c r="J179" i="21"/>
  <c r="J60" i="21"/>
  <c r="J184" i="21"/>
  <c r="J200" i="21"/>
  <c r="J216" i="21"/>
  <c r="J232" i="21"/>
  <c r="J254" i="21"/>
  <c r="J262" i="21"/>
  <c r="J90" i="21"/>
  <c r="J20" i="21"/>
  <c r="J177" i="21"/>
  <c r="J108" i="21"/>
  <c r="J124" i="21"/>
  <c r="J140" i="21"/>
  <c r="J164" i="21"/>
  <c r="J172" i="21"/>
  <c r="J91" i="21"/>
  <c r="J32" i="21"/>
  <c r="J18" i="21"/>
  <c r="J34" i="21"/>
  <c r="J268" i="21"/>
  <c r="J284" i="21"/>
  <c r="J300" i="21"/>
  <c r="J316" i="21"/>
  <c r="J340" i="21"/>
  <c r="J348" i="21"/>
  <c r="J22" i="21"/>
  <c r="J100" i="21"/>
  <c r="J116" i="21"/>
  <c r="J132" i="21"/>
  <c r="J148" i="21"/>
  <c r="J168" i="21"/>
  <c r="J176" i="21"/>
  <c r="J24" i="21"/>
  <c r="J10" i="21"/>
  <c r="J42" i="21"/>
  <c r="J58" i="21"/>
  <c r="J276" i="21"/>
  <c r="J292" i="21"/>
  <c r="J308" i="21"/>
  <c r="J324" i="21"/>
  <c r="J344" i="21"/>
  <c r="J352" i="21"/>
  <c r="J6" i="21"/>
  <c r="J26" i="21"/>
  <c r="J48" i="21"/>
  <c r="J86" i="21"/>
  <c r="J80" i="21"/>
  <c r="J104" i="21"/>
  <c r="J126" i="21"/>
  <c r="J136" i="21"/>
  <c r="J170" i="21"/>
  <c r="J190" i="21"/>
  <c r="J202" i="21"/>
  <c r="J228" i="21"/>
  <c r="J250" i="21"/>
  <c r="J257" i="21"/>
  <c r="J263" i="21"/>
  <c r="J286" i="21"/>
  <c r="J296" i="21"/>
  <c r="J338" i="21"/>
  <c r="J349" i="21"/>
  <c r="J360" i="21"/>
  <c r="J376" i="21"/>
  <c r="J392" i="21"/>
  <c r="J408" i="21"/>
  <c r="J430" i="21"/>
  <c r="J438" i="21"/>
  <c r="J454" i="21"/>
  <c r="J470" i="21"/>
  <c r="J486" i="21"/>
  <c r="J502" i="21"/>
  <c r="J521" i="21"/>
  <c r="J64" i="21"/>
  <c r="J158" i="21"/>
  <c r="J248" i="21"/>
  <c r="J420" i="21"/>
  <c r="J548" i="21"/>
  <c r="J564" i="21"/>
  <c r="J580" i="21"/>
  <c r="J596" i="21"/>
  <c r="J607" i="21"/>
  <c r="J615" i="21"/>
  <c r="J36" i="21"/>
  <c r="J92" i="21"/>
  <c r="J165" i="21"/>
  <c r="J318" i="21"/>
  <c r="J8" i="21"/>
  <c r="J50" i="21"/>
  <c r="J85" i="21"/>
  <c r="J94" i="21"/>
  <c r="J106" i="21"/>
  <c r="J138" i="21"/>
  <c r="J171" i="21"/>
  <c r="J204" i="21"/>
  <c r="J230" i="21"/>
  <c r="J251" i="21"/>
  <c r="J264" i="21"/>
  <c r="J298" i="21"/>
  <c r="J339" i="21"/>
  <c r="J362" i="21"/>
  <c r="J378" i="21"/>
  <c r="J394" i="21"/>
  <c r="J410" i="21"/>
  <c r="J431" i="21"/>
  <c r="J439" i="21"/>
  <c r="J456" i="21"/>
  <c r="J472" i="21"/>
  <c r="J488" i="21"/>
  <c r="J514" i="21"/>
  <c r="J522" i="21"/>
  <c r="J66" i="21"/>
  <c r="J160" i="21"/>
  <c r="J328" i="21"/>
  <c r="J422" i="21"/>
  <c r="J550" i="21"/>
  <c r="J566" i="21"/>
  <c r="J582" i="21"/>
  <c r="J598" i="21"/>
  <c r="J608" i="21"/>
  <c r="J616" i="21"/>
  <c r="J28" i="21"/>
  <c r="J38" i="21"/>
  <c r="J62" i="21"/>
  <c r="J84" i="21"/>
  <c r="J79" i="21"/>
  <c r="J128" i="21"/>
  <c r="J150" i="21"/>
  <c r="J166" i="21"/>
  <c r="J180" i="21"/>
  <c r="J192" i="21"/>
  <c r="J218" i="21"/>
  <c r="J252" i="21"/>
  <c r="J258" i="21"/>
  <c r="J278" i="21"/>
  <c r="J288" i="21"/>
  <c r="J310" i="21"/>
  <c r="J345" i="21"/>
  <c r="J350" i="21"/>
  <c r="J364" i="21"/>
  <c r="J380" i="21"/>
  <c r="J396" i="21"/>
  <c r="J412" i="21"/>
  <c r="J432" i="21"/>
  <c r="J440" i="21"/>
  <c r="J458" i="21"/>
  <c r="J474" i="21"/>
  <c r="J490" i="21"/>
  <c r="J515" i="21"/>
  <c r="J523" i="21"/>
  <c r="J68" i="21"/>
  <c r="J330" i="21"/>
  <c r="J424" i="21"/>
  <c r="J536" i="21"/>
  <c r="J552" i="21"/>
  <c r="J568" i="21"/>
  <c r="J584" i="21"/>
  <c r="J600" i="21"/>
  <c r="J609" i="21"/>
  <c r="J52" i="21"/>
  <c r="J96" i="21"/>
  <c r="J118" i="21"/>
  <c r="J206" i="21"/>
  <c r="J320" i="21"/>
  <c r="J30" i="21"/>
  <c r="J40" i="21"/>
  <c r="J74" i="21"/>
  <c r="J98" i="21"/>
  <c r="J130" i="21"/>
  <c r="J167" i="21"/>
  <c r="J182" i="21"/>
  <c r="J194" i="21"/>
  <c r="J220" i="21"/>
  <c r="J253" i="21"/>
  <c r="J259" i="21"/>
  <c r="J290" i="21"/>
  <c r="J322" i="21"/>
  <c r="J351" i="21"/>
  <c r="J366" i="21"/>
  <c r="J382" i="21"/>
  <c r="J398" i="21"/>
  <c r="J414" i="21"/>
  <c r="J433" i="21"/>
  <c r="J444" i="21"/>
  <c r="J460" i="21"/>
  <c r="J476" i="21"/>
  <c r="J492" i="21"/>
  <c r="J516" i="21"/>
  <c r="J524" i="21"/>
  <c r="J70" i="21"/>
  <c r="J332" i="21"/>
  <c r="J504" i="21"/>
  <c r="J538" i="21"/>
  <c r="J554" i="21"/>
  <c r="J570" i="21"/>
  <c r="J586" i="21"/>
  <c r="J602" i="21"/>
  <c r="J610" i="21"/>
  <c r="J12" i="21"/>
  <c r="J54" i="21"/>
  <c r="J88" i="21"/>
  <c r="J83" i="21"/>
  <c r="J78" i="21"/>
  <c r="J110" i="21"/>
  <c r="J120" i="21"/>
  <c r="J142" i="21"/>
  <c r="J162" i="21"/>
  <c r="J173" i="21"/>
  <c r="J196" i="21"/>
  <c r="J208" i="21"/>
  <c r="J222" i="21"/>
  <c r="J234" i="21"/>
  <c r="J260" i="21"/>
  <c r="J270" i="21"/>
  <c r="J280" i="21"/>
  <c r="J302" i="21"/>
  <c r="J312" i="21"/>
  <c r="J341" i="21"/>
  <c r="J346" i="21"/>
  <c r="J368" i="21"/>
  <c r="J384" i="21"/>
  <c r="J400" i="21"/>
  <c r="J426" i="21"/>
  <c r="J434" i="21"/>
  <c r="J446" i="21"/>
  <c r="J462" i="21"/>
  <c r="J478" i="21"/>
  <c r="J494" i="21"/>
  <c r="J517" i="21"/>
  <c r="J525" i="21"/>
  <c r="J72" i="21"/>
  <c r="J242" i="21"/>
  <c r="J334" i="21"/>
  <c r="J506" i="21"/>
  <c r="J540" i="21"/>
  <c r="J556" i="21"/>
  <c r="J572" i="21"/>
  <c r="J588" i="21"/>
  <c r="J603" i="21"/>
  <c r="J611" i="21"/>
  <c r="J711" i="21"/>
  <c r="J56" i="21"/>
  <c r="J77" i="21"/>
  <c r="J122" i="21"/>
  <c r="J163" i="21"/>
  <c r="J198" i="21"/>
  <c r="J210" i="21"/>
  <c r="J236" i="21"/>
  <c r="J261" i="21"/>
  <c r="J282" i="21"/>
  <c r="J314" i="21"/>
  <c r="J347" i="21"/>
  <c r="J370" i="21"/>
  <c r="J386" i="21"/>
  <c r="J402" i="21"/>
  <c r="J427" i="21"/>
  <c r="J435" i="21"/>
  <c r="J448" i="21"/>
  <c r="J464" i="21"/>
  <c r="J480" i="21"/>
  <c r="J496" i="21"/>
  <c r="J518" i="21"/>
  <c r="J526" i="21"/>
  <c r="J152" i="21"/>
  <c r="J244" i="21"/>
  <c r="J336" i="21"/>
  <c r="J508" i="21"/>
  <c r="J542" i="21"/>
  <c r="J558" i="21"/>
  <c r="J574" i="21"/>
  <c r="J590" i="21"/>
  <c r="J604" i="21"/>
  <c r="J612" i="21"/>
  <c r="J44" i="21"/>
  <c r="J87" i="21"/>
  <c r="J76" i="21"/>
  <c r="J112" i="21"/>
  <c r="J144" i="21"/>
  <c r="J169" i="21"/>
  <c r="J174" i="21"/>
  <c r="J212" i="21"/>
  <c r="J224" i="21"/>
  <c r="J238" i="21"/>
  <c r="J255" i="21"/>
  <c r="J272" i="21"/>
  <c r="J294" i="21"/>
  <c r="J304" i="21"/>
  <c r="J326" i="21"/>
  <c r="J342" i="21"/>
  <c r="J356" i="21"/>
  <c r="J372" i="21"/>
  <c r="J388" i="21"/>
  <c r="J404" i="21"/>
  <c r="J428" i="21"/>
  <c r="J436" i="21"/>
  <c r="J450" i="21"/>
  <c r="J466" i="21"/>
  <c r="J482" i="21"/>
  <c r="J498" i="21"/>
  <c r="J519" i="21"/>
  <c r="J527" i="21"/>
  <c r="J154" i="21"/>
  <c r="J246" i="21"/>
  <c r="J416" i="21"/>
  <c r="J510" i="21"/>
  <c r="J544" i="21"/>
  <c r="J560" i="21"/>
  <c r="J576" i="21"/>
  <c r="J592" i="21"/>
  <c r="J605" i="21"/>
  <c r="J613" i="21"/>
  <c r="J82" i="21"/>
  <c r="J102" i="21"/>
  <c r="J134" i="21"/>
  <c r="J186" i="21"/>
  <c r="J16" i="21"/>
  <c r="J46" i="21"/>
  <c r="J81" i="21"/>
  <c r="J75" i="21"/>
  <c r="J114" i="21"/>
  <c r="J146" i="21"/>
  <c r="J175" i="21"/>
  <c r="J188" i="21"/>
  <c r="J214" i="21"/>
  <c r="J226" i="21"/>
  <c r="J256" i="21"/>
  <c r="J274" i="21"/>
  <c r="J306" i="21"/>
  <c r="J343" i="21"/>
  <c r="J358" i="21"/>
  <c r="J374" i="21"/>
  <c r="J390" i="21"/>
  <c r="J406" i="21"/>
  <c r="J429" i="21"/>
  <c r="J437" i="21"/>
  <c r="J452" i="21"/>
  <c r="J468" i="21"/>
  <c r="J484" i="21"/>
  <c r="J500" i="21"/>
  <c r="J520" i="21"/>
  <c r="J528" i="21"/>
  <c r="J156" i="21"/>
  <c r="J418" i="21"/>
  <c r="J512" i="21"/>
  <c r="J546" i="21"/>
  <c r="J562" i="21"/>
  <c r="J578" i="21"/>
  <c r="J594" i="21"/>
  <c r="J606" i="21"/>
  <c r="J614" i="21"/>
  <c r="J1232" i="25"/>
  <c r="K1232" i="25"/>
  <c r="J1231" i="25"/>
  <c r="K1231" i="25"/>
  <c r="J1230" i="25"/>
  <c r="K1230" i="25"/>
  <c r="J1229" i="25"/>
  <c r="K1229" i="25"/>
  <c r="J1228" i="25"/>
  <c r="K1228" i="25"/>
  <c r="E1222" i="25"/>
  <c r="E1221" i="25"/>
  <c r="E1220" i="25"/>
  <c r="E1219" i="25"/>
  <c r="E1218" i="25"/>
  <c r="E1227" i="25"/>
  <c r="E1226" i="25"/>
  <c r="E1225" i="25"/>
  <c r="E1224" i="25"/>
  <c r="E1223" i="25"/>
  <c r="D1219" i="25"/>
  <c r="F1219" i="25"/>
  <c r="G1219" i="25"/>
  <c r="H1219" i="25"/>
  <c r="I1219" i="25"/>
  <c r="J1219" i="25"/>
  <c r="K1219" i="25"/>
  <c r="D1220" i="25"/>
  <c r="F1220" i="25"/>
  <c r="G1220" i="25"/>
  <c r="H1220" i="25"/>
  <c r="I1220" i="25"/>
  <c r="J1220" i="25"/>
  <c r="K1220" i="25"/>
  <c r="D1221" i="25"/>
  <c r="F1221" i="25"/>
  <c r="G1221" i="25"/>
  <c r="H1221" i="25"/>
  <c r="I1221" i="25"/>
  <c r="J1221" i="25"/>
  <c r="K1221" i="25"/>
  <c r="D1222" i="25"/>
  <c r="F1222" i="25"/>
  <c r="G1222" i="25"/>
  <c r="H1222" i="25"/>
  <c r="I1222" i="25"/>
  <c r="J1222" i="25"/>
  <c r="K1222" i="25"/>
  <c r="D1223" i="25"/>
  <c r="F1223" i="25"/>
  <c r="G1223" i="25"/>
  <c r="H1223" i="25"/>
  <c r="I1223" i="25"/>
  <c r="J1223" i="25"/>
  <c r="K1223" i="25"/>
  <c r="D1224" i="25"/>
  <c r="F1224" i="25"/>
  <c r="G1224" i="25"/>
  <c r="H1224" i="25"/>
  <c r="I1224" i="25"/>
  <c r="J1224" i="25"/>
  <c r="K1224" i="25"/>
  <c r="D1225" i="25"/>
  <c r="F1225" i="25"/>
  <c r="G1225" i="25"/>
  <c r="H1225" i="25"/>
  <c r="I1225" i="25"/>
  <c r="J1225" i="25"/>
  <c r="K1225" i="25"/>
  <c r="D1226" i="25"/>
  <c r="F1226" i="25"/>
  <c r="G1226" i="25"/>
  <c r="H1226" i="25"/>
  <c r="I1226" i="25"/>
  <c r="J1226" i="25"/>
  <c r="K1226" i="25"/>
  <c r="D1227" i="25"/>
  <c r="F1227" i="25"/>
  <c r="G1227" i="25"/>
  <c r="H1227" i="25"/>
  <c r="I1227" i="25"/>
  <c r="J1227" i="25"/>
  <c r="K1227" i="25"/>
  <c r="D1228" i="25"/>
  <c r="E1228" i="25"/>
  <c r="F1228" i="25"/>
  <c r="G1228" i="25"/>
  <c r="H1228" i="25"/>
  <c r="I1228" i="25"/>
  <c r="D1229" i="25"/>
  <c r="E1229" i="25"/>
  <c r="F1229" i="25"/>
  <c r="G1229" i="25"/>
  <c r="H1229" i="25"/>
  <c r="I1229" i="25"/>
  <c r="D1230" i="25"/>
  <c r="E1230" i="25"/>
  <c r="F1230" i="25"/>
  <c r="G1230" i="25"/>
  <c r="H1230" i="25"/>
  <c r="I1230" i="25"/>
  <c r="D1231" i="25"/>
  <c r="E1231" i="25"/>
  <c r="F1231" i="25"/>
  <c r="G1231" i="25"/>
  <c r="H1231" i="25"/>
  <c r="I1231" i="25"/>
  <c r="D1232" i="25"/>
  <c r="E1232" i="25"/>
  <c r="F1232" i="25"/>
  <c r="G1232" i="25"/>
  <c r="H1232" i="25"/>
  <c r="I1232" i="25"/>
  <c r="K1218" i="25"/>
  <c r="J1218" i="25"/>
  <c r="I1218" i="25"/>
  <c r="H1218" i="25"/>
  <c r="G1218" i="25"/>
  <c r="F1218" i="25"/>
  <c r="D1218" i="25"/>
  <c r="K1217" i="25"/>
  <c r="J1217" i="25"/>
  <c r="I1217" i="25"/>
  <c r="H1217" i="25"/>
  <c r="G1217" i="25"/>
  <c r="F1217" i="25"/>
  <c r="E1217" i="25"/>
  <c r="D1217" i="25"/>
  <c r="K1216" i="25"/>
  <c r="J1216" i="25"/>
  <c r="I1216" i="25"/>
  <c r="H1216" i="25"/>
  <c r="G1216" i="25"/>
  <c r="F1216" i="25"/>
  <c r="E1216" i="25"/>
  <c r="D1216" i="25"/>
  <c r="K1215" i="25"/>
  <c r="J1215" i="25"/>
  <c r="I1215" i="25"/>
  <c r="H1215" i="25"/>
  <c r="G1215" i="25"/>
  <c r="F1215" i="25"/>
  <c r="E1215" i="25"/>
  <c r="D1215" i="25"/>
  <c r="K1214" i="25"/>
  <c r="J1214" i="25"/>
  <c r="I1214" i="25"/>
  <c r="H1214" i="25"/>
  <c r="G1214" i="25"/>
  <c r="F1214" i="25"/>
  <c r="E1214" i="25"/>
  <c r="D1214" i="25"/>
  <c r="K1213" i="25"/>
  <c r="J1213" i="25"/>
  <c r="I1213" i="25"/>
  <c r="H1213" i="25"/>
  <c r="G1213" i="25"/>
  <c r="F1213" i="25"/>
  <c r="E1213" i="25"/>
  <c r="D1213" i="25"/>
  <c r="K1212" i="25"/>
  <c r="J1212" i="25"/>
  <c r="I1212" i="25"/>
  <c r="H1212" i="25"/>
  <c r="G1212" i="25"/>
  <c r="F1212" i="25"/>
  <c r="E1212" i="25"/>
  <c r="D1212" i="25"/>
  <c r="K1211" i="25"/>
  <c r="J1211" i="25"/>
  <c r="I1211" i="25"/>
  <c r="H1211" i="25"/>
  <c r="G1211" i="25"/>
  <c r="F1211" i="25"/>
  <c r="E1211" i="25"/>
  <c r="D1211" i="25"/>
  <c r="K1210" i="25"/>
  <c r="J1210" i="25"/>
  <c r="I1210" i="25"/>
  <c r="H1210" i="25"/>
  <c r="G1210" i="25"/>
  <c r="F1210" i="25"/>
  <c r="E1210" i="25"/>
  <c r="D1210" i="25"/>
  <c r="K1209" i="25"/>
  <c r="J1209" i="25"/>
  <c r="I1209" i="25"/>
  <c r="H1209" i="25"/>
  <c r="G1209" i="25"/>
  <c r="F1209" i="25"/>
  <c r="E1209" i="25"/>
  <c r="D1209" i="25"/>
  <c r="K1208" i="25"/>
  <c r="J1208" i="25"/>
  <c r="I1208" i="25"/>
  <c r="H1208" i="25"/>
  <c r="G1208" i="25"/>
  <c r="F1208" i="25"/>
  <c r="E1208" i="25"/>
  <c r="D1208" i="25"/>
  <c r="K1207" i="25"/>
  <c r="J1207" i="25"/>
  <c r="I1207" i="25"/>
  <c r="H1207" i="25"/>
  <c r="G1207" i="25"/>
  <c r="F1207" i="25"/>
  <c r="E1207" i="25"/>
  <c r="D1207" i="25"/>
  <c r="K1206" i="25"/>
  <c r="J1206" i="25"/>
  <c r="I1206" i="25"/>
  <c r="H1206" i="25"/>
  <c r="G1206" i="25"/>
  <c r="F1206" i="25"/>
  <c r="E1206" i="25"/>
  <c r="D1206" i="25"/>
  <c r="K1205" i="25"/>
  <c r="J1205" i="25"/>
  <c r="I1205" i="25"/>
  <c r="H1205" i="25"/>
  <c r="G1205" i="25"/>
  <c r="F1205" i="25"/>
  <c r="E1205" i="25"/>
  <c r="D1205" i="25"/>
  <c r="K1204" i="25"/>
  <c r="J1204" i="25"/>
  <c r="I1204" i="25"/>
  <c r="H1204" i="25"/>
  <c r="G1204" i="25"/>
  <c r="F1204" i="25"/>
  <c r="E1204" i="25"/>
  <c r="D1204" i="25"/>
  <c r="K1203" i="25"/>
  <c r="J1203" i="25"/>
  <c r="I1203" i="25"/>
  <c r="H1203" i="25"/>
  <c r="G1203" i="25"/>
  <c r="F1203" i="25"/>
  <c r="E1203" i="25"/>
  <c r="D1203" i="25"/>
  <c r="K1202" i="25"/>
  <c r="J1202" i="25"/>
  <c r="I1202" i="25"/>
  <c r="H1202" i="25"/>
  <c r="G1202" i="25"/>
  <c r="F1202" i="25"/>
  <c r="E1202" i="25"/>
  <c r="D1202" i="25"/>
  <c r="K1201" i="25"/>
  <c r="J1201" i="25"/>
  <c r="I1201" i="25"/>
  <c r="H1201" i="25"/>
  <c r="G1201" i="25"/>
  <c r="F1201" i="25"/>
  <c r="E1201" i="25"/>
  <c r="D1201" i="25"/>
  <c r="K1200" i="25"/>
  <c r="J1200" i="25"/>
  <c r="I1200" i="25"/>
  <c r="H1200" i="25"/>
  <c r="G1200" i="25"/>
  <c r="F1200" i="25"/>
  <c r="E1200" i="25"/>
  <c r="D1200" i="25"/>
  <c r="K1199" i="25"/>
  <c r="J1199" i="25"/>
  <c r="I1199" i="25"/>
  <c r="H1199" i="25"/>
  <c r="G1199" i="25"/>
  <c r="F1199" i="25"/>
  <c r="E1199" i="25"/>
  <c r="D1199" i="25"/>
  <c r="K1198" i="25"/>
  <c r="J1198" i="25"/>
  <c r="I1198" i="25"/>
  <c r="H1198" i="25"/>
  <c r="G1198" i="25"/>
  <c r="F1198" i="25"/>
  <c r="E1198" i="25"/>
  <c r="D1198" i="25"/>
  <c r="K1197" i="25"/>
  <c r="J1197" i="25"/>
  <c r="I1197" i="25"/>
  <c r="H1197" i="25"/>
  <c r="G1197" i="25"/>
  <c r="F1197" i="25"/>
  <c r="E1197" i="25"/>
  <c r="D1197" i="25"/>
  <c r="K1196" i="25"/>
  <c r="J1196" i="25"/>
  <c r="I1196" i="25"/>
  <c r="H1196" i="25"/>
  <c r="G1196" i="25"/>
  <c r="F1196" i="25"/>
  <c r="E1196" i="25"/>
  <c r="D1196" i="25"/>
  <c r="K1195" i="25"/>
  <c r="J1195" i="25"/>
  <c r="I1195" i="25"/>
  <c r="H1195" i="25"/>
  <c r="G1195" i="25"/>
  <c r="F1195" i="25"/>
  <c r="E1195" i="25"/>
  <c r="D1195" i="25"/>
  <c r="K1194" i="25"/>
  <c r="J1194" i="25"/>
  <c r="I1194" i="25"/>
  <c r="H1194" i="25"/>
  <c r="G1194" i="25"/>
  <c r="F1194" i="25"/>
  <c r="E1194" i="25"/>
  <c r="D1194" i="25"/>
  <c r="K1193" i="25"/>
  <c r="J1193" i="25"/>
  <c r="I1193" i="25"/>
  <c r="H1193" i="25"/>
  <c r="G1193" i="25"/>
  <c r="F1193" i="25"/>
  <c r="E1193" i="25"/>
  <c r="D1193" i="25"/>
  <c r="K1192" i="25"/>
  <c r="J1192" i="25"/>
  <c r="I1192" i="25"/>
  <c r="H1192" i="25"/>
  <c r="G1192" i="25"/>
  <c r="F1192" i="25"/>
  <c r="E1192" i="25"/>
  <c r="D1192" i="25"/>
  <c r="K1191" i="25"/>
  <c r="J1191" i="25"/>
  <c r="I1191" i="25"/>
  <c r="H1191" i="25"/>
  <c r="G1191" i="25"/>
  <c r="F1191" i="25"/>
  <c r="E1191" i="25"/>
  <c r="D1191" i="25"/>
  <c r="K1190" i="25"/>
  <c r="J1190" i="25"/>
  <c r="I1190" i="25"/>
  <c r="H1190" i="25"/>
  <c r="G1190" i="25"/>
  <c r="F1190" i="25"/>
  <c r="E1190" i="25"/>
  <c r="D1190" i="25"/>
  <c r="K1189" i="25"/>
  <c r="J1189" i="25"/>
  <c r="I1189" i="25"/>
  <c r="H1189" i="25"/>
  <c r="G1189" i="25"/>
  <c r="F1189" i="25"/>
  <c r="E1189" i="25"/>
  <c r="D1189" i="25"/>
  <c r="K1188" i="25"/>
  <c r="J1188" i="25"/>
  <c r="I1188" i="25"/>
  <c r="H1188" i="25"/>
  <c r="G1188" i="25"/>
  <c r="F1188" i="25"/>
  <c r="E1188" i="25"/>
  <c r="D1188" i="25"/>
  <c r="K1187" i="25"/>
  <c r="J1187" i="25"/>
  <c r="I1187" i="25"/>
  <c r="H1187" i="25"/>
  <c r="G1187" i="25"/>
  <c r="F1187" i="25"/>
  <c r="E1187" i="25"/>
  <c r="D1187" i="25"/>
  <c r="K1186" i="25"/>
  <c r="J1186" i="25"/>
  <c r="I1186" i="25"/>
  <c r="H1186" i="25"/>
  <c r="G1186" i="25"/>
  <c r="F1186" i="25"/>
  <c r="E1186" i="25"/>
  <c r="D1186" i="25"/>
  <c r="K1185" i="25"/>
  <c r="J1185" i="25"/>
  <c r="I1185" i="25"/>
  <c r="H1185" i="25"/>
  <c r="G1185" i="25"/>
  <c r="F1185" i="25"/>
  <c r="E1185" i="25"/>
  <c r="D1185" i="25"/>
  <c r="K1184" i="25"/>
  <c r="J1184" i="25"/>
  <c r="I1184" i="25"/>
  <c r="H1184" i="25"/>
  <c r="G1184" i="25"/>
  <c r="F1184" i="25"/>
  <c r="E1184" i="25"/>
  <c r="D1184" i="25"/>
  <c r="K1183" i="25"/>
  <c r="J1183" i="25"/>
  <c r="I1183" i="25"/>
  <c r="H1183" i="25"/>
  <c r="G1183" i="25"/>
  <c r="F1183" i="25"/>
  <c r="E1183" i="25"/>
  <c r="D1183" i="25"/>
  <c r="K1182" i="25"/>
  <c r="J1182" i="25"/>
  <c r="I1182" i="25"/>
  <c r="H1182" i="25"/>
  <c r="G1182" i="25"/>
  <c r="F1182" i="25"/>
  <c r="E1182" i="25"/>
  <c r="D1182" i="25"/>
  <c r="K1181" i="25"/>
  <c r="J1181" i="25"/>
  <c r="I1181" i="25"/>
  <c r="H1181" i="25"/>
  <c r="G1181" i="25"/>
  <c r="F1181" i="25"/>
  <c r="E1181" i="25"/>
  <c r="D1181" i="25"/>
  <c r="K1180" i="25"/>
  <c r="J1180" i="25"/>
  <c r="I1180" i="25"/>
  <c r="H1180" i="25"/>
  <c r="G1180" i="25"/>
  <c r="F1180" i="25"/>
  <c r="E1180" i="25"/>
  <c r="D1180" i="25"/>
  <c r="K1179" i="25"/>
  <c r="J1179" i="25"/>
  <c r="I1179" i="25"/>
  <c r="H1179" i="25"/>
  <c r="G1179" i="25"/>
  <c r="F1179" i="25"/>
  <c r="E1179" i="25"/>
  <c r="D1179" i="25"/>
  <c r="K1178" i="25"/>
  <c r="J1178" i="25"/>
  <c r="I1178" i="25"/>
  <c r="H1178" i="25"/>
  <c r="G1178" i="25"/>
  <c r="F1178" i="25"/>
  <c r="E1178" i="25"/>
  <c r="D1178" i="25"/>
  <c r="K1177" i="25"/>
  <c r="J1177" i="25"/>
  <c r="I1177" i="25"/>
  <c r="H1177" i="25"/>
  <c r="G1177" i="25"/>
  <c r="F1177" i="25"/>
  <c r="E1177" i="25"/>
  <c r="D1177" i="25"/>
  <c r="K1176" i="25"/>
  <c r="J1176" i="25"/>
  <c r="I1176" i="25"/>
  <c r="H1176" i="25"/>
  <c r="G1176" i="25"/>
  <c r="F1176" i="25"/>
  <c r="E1176" i="25"/>
  <c r="D1176" i="25"/>
  <c r="K1175" i="25"/>
  <c r="J1175" i="25"/>
  <c r="I1175" i="25"/>
  <c r="H1175" i="25"/>
  <c r="G1175" i="25"/>
  <c r="F1175" i="25"/>
  <c r="E1175" i="25"/>
  <c r="D1175" i="25"/>
  <c r="K1174" i="25"/>
  <c r="J1174" i="25"/>
  <c r="I1174" i="25"/>
  <c r="H1174" i="25"/>
  <c r="G1174" i="25"/>
  <c r="F1174" i="25"/>
  <c r="E1174" i="25"/>
  <c r="D1174" i="25"/>
  <c r="K1173" i="25"/>
  <c r="J1173" i="25"/>
  <c r="I1173" i="25"/>
  <c r="H1173" i="25"/>
  <c r="G1173" i="25"/>
  <c r="F1173" i="25"/>
  <c r="E1173" i="25"/>
  <c r="D1173" i="25"/>
  <c r="K1172" i="25"/>
  <c r="J1172" i="25"/>
  <c r="I1172" i="25"/>
  <c r="H1172" i="25"/>
  <c r="G1172" i="25"/>
  <c r="F1172" i="25"/>
  <c r="E1172" i="25"/>
  <c r="D1172" i="25"/>
  <c r="K1171" i="25"/>
  <c r="J1171" i="25"/>
  <c r="I1171" i="25"/>
  <c r="H1171" i="25"/>
  <c r="G1171" i="25"/>
  <c r="F1171" i="25"/>
  <c r="E1171" i="25"/>
  <c r="D1171" i="25"/>
  <c r="K1170" i="25"/>
  <c r="J1170" i="25"/>
  <c r="I1170" i="25"/>
  <c r="H1170" i="25"/>
  <c r="G1170" i="25"/>
  <c r="F1170" i="25"/>
  <c r="E1170" i="25"/>
  <c r="D1170" i="25"/>
  <c r="K1169" i="25"/>
  <c r="J1169" i="25"/>
  <c r="I1169" i="25"/>
  <c r="H1169" i="25"/>
  <c r="G1169" i="25"/>
  <c r="F1169" i="25"/>
  <c r="E1169" i="25"/>
  <c r="D1169" i="25"/>
  <c r="K1168" i="25"/>
  <c r="J1168" i="25"/>
  <c r="I1168" i="25"/>
  <c r="H1168" i="25"/>
  <c r="G1168" i="25"/>
  <c r="F1168" i="25"/>
  <c r="E1168" i="25"/>
  <c r="D1168" i="25"/>
  <c r="K1167" i="25"/>
  <c r="J1167" i="25"/>
  <c r="I1167" i="25"/>
  <c r="H1167" i="25"/>
  <c r="G1167" i="25"/>
  <c r="F1167" i="25"/>
  <c r="E1167" i="25"/>
  <c r="D1167" i="25"/>
  <c r="K1166" i="25"/>
  <c r="J1166" i="25"/>
  <c r="I1166" i="25"/>
  <c r="H1166" i="25"/>
  <c r="G1166" i="25"/>
  <c r="F1166" i="25"/>
  <c r="E1166" i="25"/>
  <c r="D1166" i="25"/>
  <c r="K1165" i="25"/>
  <c r="J1165" i="25"/>
  <c r="I1165" i="25"/>
  <c r="H1165" i="25"/>
  <c r="G1165" i="25"/>
  <c r="F1165" i="25"/>
  <c r="E1165" i="25"/>
  <c r="D1165" i="25"/>
  <c r="K1164" i="25"/>
  <c r="J1164" i="25"/>
  <c r="I1164" i="25"/>
  <c r="H1164" i="25"/>
  <c r="G1164" i="25"/>
  <c r="F1164" i="25"/>
  <c r="E1164" i="25"/>
  <c r="D1164" i="25"/>
  <c r="K1163" i="25"/>
  <c r="J1163" i="25"/>
  <c r="I1163" i="25"/>
  <c r="H1163" i="25"/>
  <c r="G1163" i="25"/>
  <c r="F1163" i="25"/>
  <c r="E1163" i="25"/>
  <c r="D1163" i="25"/>
  <c r="K1162" i="25"/>
  <c r="J1162" i="25"/>
  <c r="I1162" i="25"/>
  <c r="H1162" i="25"/>
  <c r="G1162" i="25"/>
  <c r="F1162" i="25"/>
  <c r="E1162" i="25"/>
  <c r="D1162" i="25"/>
  <c r="K1161" i="25"/>
  <c r="J1161" i="25"/>
  <c r="I1161" i="25"/>
  <c r="H1161" i="25"/>
  <c r="G1161" i="25"/>
  <c r="F1161" i="25"/>
  <c r="E1161" i="25"/>
  <c r="D1161" i="25"/>
  <c r="K1160" i="25"/>
  <c r="J1160" i="25"/>
  <c r="I1160" i="25"/>
  <c r="H1160" i="25"/>
  <c r="G1160" i="25"/>
  <c r="F1160" i="25"/>
  <c r="E1160" i="25"/>
  <c r="D1160" i="25"/>
  <c r="K1159" i="25"/>
  <c r="J1159" i="25"/>
  <c r="I1159" i="25"/>
  <c r="H1159" i="25"/>
  <c r="G1159" i="25"/>
  <c r="F1159" i="25"/>
  <c r="E1159" i="25"/>
  <c r="D1159" i="25"/>
  <c r="K1158" i="25"/>
  <c r="J1158" i="25"/>
  <c r="I1158" i="25"/>
  <c r="H1158" i="25"/>
  <c r="G1158" i="25"/>
  <c r="F1158" i="25"/>
  <c r="E1158" i="25"/>
  <c r="D1158" i="25"/>
  <c r="K1157" i="25"/>
  <c r="J1157" i="25"/>
  <c r="I1157" i="25"/>
  <c r="H1157" i="25"/>
  <c r="G1157" i="25"/>
  <c r="F1157" i="25"/>
  <c r="E1157" i="25"/>
  <c r="D1157" i="25"/>
  <c r="K1155" i="25"/>
  <c r="J1155" i="25"/>
  <c r="I1155" i="25"/>
  <c r="H1155" i="25"/>
  <c r="G1155" i="25"/>
  <c r="F1155" i="25"/>
  <c r="E1155" i="25"/>
  <c r="D1155" i="25"/>
  <c r="K1153" i="25"/>
  <c r="J1153" i="25"/>
  <c r="I1153" i="25"/>
  <c r="H1153" i="25"/>
  <c r="G1153" i="25"/>
  <c r="F1153" i="25"/>
  <c r="E1153" i="25"/>
  <c r="D1153" i="25"/>
  <c r="K1156" i="25"/>
  <c r="J1156" i="25"/>
  <c r="I1156" i="25"/>
  <c r="H1156" i="25"/>
  <c r="G1156" i="25"/>
  <c r="F1156" i="25"/>
  <c r="E1156" i="25"/>
  <c r="D1156" i="25"/>
  <c r="K1154" i="25"/>
  <c r="J1154" i="25"/>
  <c r="I1154" i="25"/>
  <c r="H1154" i="25"/>
  <c r="G1154" i="25"/>
  <c r="F1154" i="25"/>
  <c r="E1154" i="25"/>
  <c r="D1154" i="25"/>
  <c r="K1152" i="25"/>
  <c r="J1152" i="25"/>
  <c r="I1152" i="25"/>
  <c r="H1152" i="25"/>
  <c r="G1152" i="25"/>
  <c r="F1152" i="25"/>
  <c r="E1152" i="25"/>
  <c r="D1152" i="25"/>
  <c r="K1151" i="25"/>
  <c r="J1151" i="25"/>
  <c r="I1151" i="25"/>
  <c r="H1151" i="25"/>
  <c r="G1151" i="25"/>
  <c r="F1151" i="25"/>
  <c r="E1151" i="25"/>
  <c r="D1151" i="25"/>
  <c r="K1150" i="25"/>
  <c r="J1150" i="25"/>
  <c r="I1150" i="25"/>
  <c r="H1150" i="25"/>
  <c r="G1150" i="25"/>
  <c r="F1150" i="25"/>
  <c r="E1150" i="25"/>
  <c r="D1150" i="25"/>
  <c r="M1150" i="25" l="1"/>
  <c r="N1150" i="25" s="1"/>
  <c r="M1152" i="25"/>
  <c r="N1152" i="25" s="1"/>
  <c r="M1154" i="25"/>
  <c r="N1154" i="25" s="1"/>
  <c r="M1156" i="25"/>
  <c r="N1156" i="25" s="1"/>
  <c r="M1158" i="25"/>
  <c r="N1158" i="25" s="1"/>
  <c r="M1160" i="25"/>
  <c r="N1160" i="25" s="1"/>
  <c r="M1162" i="25"/>
  <c r="N1162" i="25" s="1"/>
  <c r="M1164" i="25"/>
  <c r="N1164" i="25" s="1"/>
  <c r="M1166" i="25"/>
  <c r="N1166" i="25" s="1"/>
  <c r="M1168" i="25"/>
  <c r="N1168" i="25" s="1"/>
  <c r="M1170" i="25"/>
  <c r="N1170" i="25" s="1"/>
  <c r="M1172" i="25"/>
  <c r="N1172" i="25" s="1"/>
  <c r="M1174" i="25"/>
  <c r="N1174" i="25" s="1"/>
  <c r="M1176" i="25"/>
  <c r="N1176" i="25" s="1"/>
  <c r="M1178" i="25"/>
  <c r="N1178" i="25" s="1"/>
  <c r="M1180" i="25"/>
  <c r="N1180" i="25" s="1"/>
  <c r="M1182" i="25"/>
  <c r="N1182" i="25" s="1"/>
  <c r="M1184" i="25"/>
  <c r="N1184" i="25" s="1"/>
  <c r="M1186" i="25"/>
  <c r="N1186" i="25" s="1"/>
  <c r="M1188" i="25"/>
  <c r="N1188" i="25" s="1"/>
  <c r="M1190" i="25"/>
  <c r="N1190" i="25" s="1"/>
  <c r="M1192" i="25"/>
  <c r="N1192" i="25" s="1"/>
  <c r="M1194" i="25"/>
  <c r="N1194" i="25" s="1"/>
  <c r="M1196" i="25"/>
  <c r="N1196" i="25" s="1"/>
  <c r="M1198" i="25"/>
  <c r="N1198" i="25" s="1"/>
  <c r="M1200" i="25"/>
  <c r="N1200" i="25" s="1"/>
  <c r="M1202" i="25"/>
  <c r="N1202" i="25" s="1"/>
  <c r="M1204" i="25"/>
  <c r="N1204" i="25" s="1"/>
  <c r="M1206" i="25"/>
  <c r="N1206" i="25" s="1"/>
  <c r="M1208" i="25"/>
  <c r="N1208" i="25" s="1"/>
  <c r="M1210" i="25"/>
  <c r="N1210" i="25" s="1"/>
  <c r="M1212" i="25"/>
  <c r="N1212" i="25" s="1"/>
  <c r="M1214" i="25"/>
  <c r="N1214" i="25" s="1"/>
  <c r="M1216" i="25"/>
  <c r="N1216" i="25" s="1"/>
  <c r="M1231" i="25"/>
  <c r="N1231" i="25" s="1"/>
  <c r="M1226" i="25"/>
  <c r="N1226" i="25" s="1"/>
  <c r="M1227" i="25"/>
  <c r="N1227" i="25" s="1"/>
  <c r="M1219" i="25"/>
  <c r="N1219" i="25" s="1"/>
  <c r="M1232" i="25"/>
  <c r="N1232" i="25" s="1"/>
  <c r="M1228" i="25"/>
  <c r="N1228" i="25" s="1"/>
  <c r="M1220" i="25"/>
  <c r="N1220" i="25" s="1"/>
  <c r="M1221" i="25"/>
  <c r="N1221" i="25" s="1"/>
  <c r="M1229" i="25"/>
  <c r="N1229" i="25" s="1"/>
  <c r="M1222" i="25"/>
  <c r="N1222" i="25" s="1"/>
  <c r="M1223" i="25"/>
  <c r="N1223" i="25" s="1"/>
  <c r="M1218" i="25"/>
  <c r="N1218" i="25" s="1"/>
  <c r="M1230" i="25"/>
  <c r="N1230" i="25" s="1"/>
  <c r="M1224" i="25"/>
  <c r="N1224" i="25" s="1"/>
  <c r="M1225" i="25"/>
  <c r="N1225" i="25" s="1"/>
  <c r="E1149" i="25"/>
  <c r="F1149" i="25"/>
  <c r="G1149" i="25"/>
  <c r="H1149" i="25"/>
  <c r="I1149" i="25"/>
  <c r="J1149" i="25"/>
  <c r="K1149" i="25"/>
  <c r="D1149" i="25"/>
  <c r="E1148" i="25"/>
  <c r="F1148" i="25"/>
  <c r="G1148" i="25"/>
  <c r="H1148" i="25"/>
  <c r="I1148" i="25"/>
  <c r="J1148" i="25"/>
  <c r="K1148" i="25"/>
  <c r="D1148" i="25"/>
  <c r="L1238" i="25"/>
  <c r="L1239" i="25"/>
  <c r="L1237" i="25"/>
  <c r="L1232" i="25"/>
  <c r="L1231" i="25"/>
  <c r="L1230" i="25"/>
  <c r="L1229" i="25"/>
  <c r="L1228" i="25"/>
  <c r="L1227" i="25"/>
  <c r="L1226" i="25"/>
  <c r="L1225" i="25"/>
  <c r="L1224" i="25"/>
  <c r="L1223" i="25"/>
  <c r="L1222" i="25"/>
  <c r="L1221" i="25"/>
  <c r="L1220" i="25"/>
  <c r="L1219" i="25"/>
  <c r="L1218" i="25"/>
  <c r="L1217" i="25"/>
  <c r="L1216" i="25"/>
  <c r="L1215" i="25"/>
  <c r="L1214" i="25"/>
  <c r="L1213" i="25"/>
  <c r="L1212" i="25"/>
  <c r="L1211" i="25"/>
  <c r="L1210" i="25"/>
  <c r="L1209" i="25"/>
  <c r="L1208" i="25"/>
  <c r="L1207" i="25"/>
  <c r="L1206" i="25"/>
  <c r="L1205" i="25"/>
  <c r="L1204" i="25"/>
  <c r="L1203" i="25"/>
  <c r="L1202" i="25"/>
  <c r="L1201" i="25"/>
  <c r="L1200" i="25"/>
  <c r="L1199" i="25"/>
  <c r="L1198" i="25"/>
  <c r="L1197" i="25"/>
  <c r="L1196" i="25"/>
  <c r="L1195" i="25"/>
  <c r="L1194" i="25"/>
  <c r="L1193" i="25"/>
  <c r="L1192" i="25"/>
  <c r="L1191" i="25"/>
  <c r="L1190" i="25"/>
  <c r="L1189" i="25"/>
  <c r="L1188" i="25"/>
  <c r="L1187" i="25"/>
  <c r="L1186" i="25"/>
  <c r="L1185" i="25"/>
  <c r="L1184" i="25"/>
  <c r="L1183" i="25"/>
  <c r="L1182" i="25"/>
  <c r="L1181" i="25"/>
  <c r="L1180" i="25"/>
  <c r="L1179" i="25"/>
  <c r="L1178" i="25"/>
  <c r="L1177" i="25"/>
  <c r="L1176" i="25"/>
  <c r="L1175" i="25"/>
  <c r="L1174" i="25"/>
  <c r="L1173" i="25"/>
  <c r="L1172" i="25"/>
  <c r="L1171" i="25"/>
  <c r="L1170" i="25"/>
  <c r="L1169" i="25"/>
  <c r="L1168" i="25"/>
  <c r="L1167" i="25"/>
  <c r="L1166" i="25"/>
  <c r="L1165" i="25"/>
  <c r="L1164" i="25"/>
  <c r="L1163" i="25"/>
  <c r="L1162" i="25"/>
  <c r="L1161" i="25"/>
  <c r="L1160" i="25"/>
  <c r="L1159" i="25"/>
  <c r="L1158" i="25"/>
  <c r="L1157" i="25"/>
  <c r="L1156" i="25"/>
  <c r="L1155" i="25"/>
  <c r="L1154" i="25"/>
  <c r="L1153" i="25"/>
  <c r="L1152" i="25"/>
  <c r="L1151" i="25"/>
  <c r="L1150" i="25"/>
  <c r="L1144" i="25"/>
  <c r="L1143" i="25"/>
  <c r="L1142" i="25"/>
  <c r="L1141" i="25"/>
  <c r="L1140" i="25"/>
  <c r="L1139" i="25"/>
  <c r="L1138" i="25"/>
  <c r="L1137" i="25"/>
  <c r="L1136" i="25"/>
  <c r="L1135" i="25"/>
  <c r="L1134" i="25"/>
  <c r="L1133" i="25"/>
  <c r="L1132" i="25"/>
  <c r="L1131" i="25"/>
  <c r="L1130" i="25"/>
  <c r="L1129" i="25"/>
  <c r="L1128" i="25"/>
  <c r="L1127" i="25"/>
  <c r="L1126" i="25"/>
  <c r="L1125" i="25"/>
  <c r="L1124" i="25"/>
  <c r="L1123" i="25"/>
  <c r="L1122" i="25"/>
  <c r="L1121" i="25"/>
  <c r="L1120" i="25"/>
  <c r="L1119" i="25"/>
  <c r="L1118" i="25"/>
  <c r="L1117" i="25"/>
  <c r="L1116" i="25"/>
  <c r="L1115" i="25"/>
  <c r="L1114" i="25"/>
  <c r="L1113" i="25"/>
  <c r="L1112" i="25"/>
  <c r="L1111" i="25"/>
  <c r="L1110" i="25"/>
  <c r="L1109" i="25"/>
  <c r="L1108" i="25"/>
  <c r="L1107" i="25"/>
  <c r="L1106" i="25"/>
  <c r="L1105" i="25"/>
  <c r="L1104" i="25"/>
  <c r="L1103" i="25"/>
  <c r="L1102" i="25"/>
  <c r="L1101" i="25"/>
  <c r="L1100" i="25"/>
  <c r="L1099" i="25"/>
  <c r="L1098" i="25"/>
  <c r="L1097" i="25"/>
  <c r="L1096" i="25"/>
  <c r="L1095" i="25"/>
  <c r="L1094" i="25"/>
  <c r="L1093" i="25"/>
  <c r="L1092" i="25"/>
  <c r="L1091" i="25"/>
  <c r="L1090" i="25"/>
  <c r="L1089" i="25"/>
  <c r="L1088" i="25"/>
  <c r="L1087" i="25"/>
  <c r="L1086" i="25"/>
  <c r="L1085" i="25"/>
  <c r="L1084" i="25"/>
  <c r="L1083" i="25"/>
  <c r="L1082" i="25"/>
  <c r="L1081" i="25"/>
  <c r="L1080" i="25"/>
  <c r="L1079" i="25"/>
  <c r="L1078" i="25"/>
  <c r="L1077" i="25"/>
  <c r="L1076" i="25"/>
  <c r="L1075" i="25"/>
  <c r="L1074" i="25"/>
  <c r="L1073" i="25"/>
  <c r="L1072" i="25"/>
  <c r="L1071" i="25"/>
  <c r="L1070" i="25"/>
  <c r="L1069" i="25"/>
  <c r="L1068" i="25"/>
  <c r="L1067" i="25"/>
  <c r="L1066" i="25"/>
  <c r="L1065" i="25"/>
  <c r="L1064" i="25"/>
  <c r="L1063" i="25"/>
  <c r="L1062" i="25"/>
  <c r="L1061" i="25"/>
  <c r="L1060" i="25"/>
  <c r="L1056" i="25"/>
  <c r="L1055" i="25"/>
  <c r="L1054" i="25"/>
  <c r="L1053" i="25"/>
  <c r="L1052" i="25"/>
  <c r="L1051" i="25"/>
  <c r="L1050" i="25"/>
  <c r="L1049" i="25"/>
  <c r="L1048" i="25"/>
  <c r="L1047" i="25"/>
  <c r="L1046" i="25"/>
  <c r="L1045" i="25"/>
  <c r="L1044" i="25"/>
  <c r="L1043" i="25"/>
  <c r="L1042" i="25"/>
  <c r="L1041" i="25"/>
  <c r="L1040" i="25"/>
  <c r="L1039" i="25"/>
  <c r="L1038" i="25"/>
  <c r="L1037" i="25"/>
  <c r="L1036" i="25"/>
  <c r="L1035" i="25"/>
  <c r="L1034" i="25"/>
  <c r="L1033" i="25"/>
  <c r="L1032" i="25"/>
  <c r="L1031" i="25"/>
  <c r="L1030" i="25"/>
  <c r="L1029" i="25"/>
  <c r="L1028" i="25"/>
  <c r="L1027" i="25"/>
  <c r="L1026" i="25"/>
  <c r="L1025" i="25"/>
  <c r="L1024" i="25"/>
  <c r="L1023" i="25"/>
  <c r="L1022" i="25"/>
  <c r="L1021" i="25"/>
  <c r="L1020" i="25"/>
  <c r="L1019" i="25"/>
  <c r="L1018" i="25"/>
  <c r="L1017" i="25"/>
  <c r="L1016" i="25"/>
  <c r="L1015" i="25"/>
  <c r="L1014" i="25"/>
  <c r="L1013" i="25"/>
  <c r="L1012" i="25"/>
  <c r="L1011" i="25"/>
  <c r="L1010" i="25"/>
  <c r="L1009" i="25"/>
  <c r="L1008" i="25"/>
  <c r="L1007" i="25"/>
  <c r="L1006" i="25"/>
  <c r="L1005" i="25"/>
  <c r="L1004" i="25"/>
  <c r="L1003" i="25"/>
  <c r="L1002" i="25"/>
  <c r="L1001" i="25"/>
  <c r="L1000" i="25"/>
  <c r="L999" i="25"/>
  <c r="L998" i="25"/>
  <c r="L997" i="25"/>
  <c r="L996" i="25"/>
  <c r="L995" i="25"/>
  <c r="L994" i="25"/>
  <c r="L993" i="25"/>
  <c r="L992" i="25"/>
  <c r="L991" i="25"/>
  <c r="L990" i="25"/>
  <c r="L989" i="25"/>
  <c r="L988" i="25"/>
  <c r="L987" i="25"/>
  <c r="L986" i="25"/>
  <c r="L985" i="25"/>
  <c r="L984" i="25"/>
  <c r="L983" i="25"/>
  <c r="L982" i="25"/>
  <c r="L981" i="25"/>
  <c r="L980" i="25"/>
  <c r="L979" i="25"/>
  <c r="L978" i="25"/>
  <c r="L977" i="25"/>
  <c r="L976" i="25"/>
  <c r="L975" i="25"/>
  <c r="L974" i="25"/>
  <c r="L973" i="25"/>
  <c r="L972" i="25"/>
  <c r="L968" i="25"/>
  <c r="L967" i="25"/>
  <c r="L966" i="25"/>
  <c r="L965" i="25"/>
  <c r="L964" i="25"/>
  <c r="L963" i="25"/>
  <c r="L962" i="25"/>
  <c r="L961" i="25"/>
  <c r="L960" i="25"/>
  <c r="L959" i="25"/>
  <c r="L958" i="25"/>
  <c r="L957" i="25"/>
  <c r="L956" i="25"/>
  <c r="L955" i="25"/>
  <c r="L954" i="25"/>
  <c r="L953" i="25"/>
  <c r="L952" i="25"/>
  <c r="L951" i="25"/>
  <c r="L950" i="25"/>
  <c r="L949" i="25"/>
  <c r="L948" i="25"/>
  <c r="L947" i="25"/>
  <c r="L946" i="25"/>
  <c r="L945" i="25"/>
  <c r="L944" i="25"/>
  <c r="L943" i="25"/>
  <c r="L942" i="25"/>
  <c r="L941" i="25"/>
  <c r="L940" i="25"/>
  <c r="L939" i="25"/>
  <c r="L938" i="25"/>
  <c r="L937" i="25"/>
  <c r="L936" i="25"/>
  <c r="L935" i="25"/>
  <c r="L934" i="25"/>
  <c r="L933" i="25"/>
  <c r="L932" i="25"/>
  <c r="L931" i="25"/>
  <c r="L930" i="25"/>
  <c r="L929" i="25"/>
  <c r="L928" i="25"/>
  <c r="L927" i="25"/>
  <c r="L926" i="25"/>
  <c r="L925" i="25"/>
  <c r="L924" i="25"/>
  <c r="L923" i="25"/>
  <c r="L922" i="25"/>
  <c r="L921" i="25"/>
  <c r="L920" i="25"/>
  <c r="L919" i="25"/>
  <c r="L918" i="25"/>
  <c r="L917" i="25"/>
  <c r="L916" i="25"/>
  <c r="L915" i="25"/>
  <c r="L914" i="25"/>
  <c r="L913" i="25"/>
  <c r="L912" i="25"/>
  <c r="L911" i="25"/>
  <c r="L910" i="25"/>
  <c r="L909" i="25"/>
  <c r="L908" i="25"/>
  <c r="L907" i="25"/>
  <c r="L906" i="25"/>
  <c r="L905" i="25"/>
  <c r="L904" i="25"/>
  <c r="L903" i="25"/>
  <c r="L902" i="25"/>
  <c r="L901" i="25"/>
  <c r="L900" i="25"/>
  <c r="L899" i="25"/>
  <c r="L898" i="25"/>
  <c r="L897" i="25"/>
  <c r="L896" i="25"/>
  <c r="L895" i="25"/>
  <c r="L894" i="25"/>
  <c r="L893" i="25"/>
  <c r="L892" i="25"/>
  <c r="L891" i="25"/>
  <c r="L890" i="25"/>
  <c r="L889" i="25"/>
  <c r="L888" i="25"/>
  <c r="L887" i="25"/>
  <c r="L886" i="25"/>
  <c r="L885" i="25"/>
  <c r="L884" i="25"/>
  <c r="L880" i="25"/>
  <c r="L879" i="25"/>
  <c r="L878" i="25"/>
  <c r="L877" i="25"/>
  <c r="L876" i="25"/>
  <c r="L875" i="25"/>
  <c r="L874" i="25"/>
  <c r="L873" i="25"/>
  <c r="L872" i="25"/>
  <c r="L871" i="25"/>
  <c r="L870" i="25"/>
  <c r="L869" i="25"/>
  <c r="L868" i="25"/>
  <c r="L867" i="25"/>
  <c r="L866" i="25"/>
  <c r="L865" i="25"/>
  <c r="L864" i="25"/>
  <c r="L863" i="25"/>
  <c r="L862" i="25"/>
  <c r="L861" i="25"/>
  <c r="L860" i="25"/>
  <c r="L859" i="25"/>
  <c r="L858" i="25"/>
  <c r="L857" i="25"/>
  <c r="L856" i="25"/>
  <c r="L855" i="25"/>
  <c r="L854" i="25"/>
  <c r="L853" i="25"/>
  <c r="L852" i="25"/>
  <c r="L851" i="25"/>
  <c r="L850" i="25"/>
  <c r="L849" i="25"/>
  <c r="L848" i="25"/>
  <c r="L847" i="25"/>
  <c r="L846" i="25"/>
  <c r="L845" i="25"/>
  <c r="L844" i="25"/>
  <c r="L843" i="25"/>
  <c r="L842" i="25"/>
  <c r="L841" i="25"/>
  <c r="L840" i="25"/>
  <c r="L839" i="25"/>
  <c r="L838" i="25"/>
  <c r="L837" i="25"/>
  <c r="L836" i="25"/>
  <c r="L835" i="25"/>
  <c r="L834" i="25"/>
  <c r="L833" i="25"/>
  <c r="L832" i="25"/>
  <c r="L831" i="25"/>
  <c r="L830" i="25"/>
  <c r="L829" i="25"/>
  <c r="L828" i="25"/>
  <c r="L827" i="25"/>
  <c r="L826" i="25"/>
  <c r="L825" i="25"/>
  <c r="L824" i="25"/>
  <c r="L823" i="25"/>
  <c r="L822" i="25"/>
  <c r="L821" i="25"/>
  <c r="L820" i="25"/>
  <c r="L819" i="25"/>
  <c r="L818" i="25"/>
  <c r="L817" i="25"/>
  <c r="L816" i="25"/>
  <c r="L815" i="25"/>
  <c r="L814" i="25"/>
  <c r="L813" i="25"/>
  <c r="L812" i="25"/>
  <c r="L811" i="25"/>
  <c r="L810" i="25"/>
  <c r="L809" i="25"/>
  <c r="L808" i="25"/>
  <c r="L807" i="25"/>
  <c r="L806" i="25"/>
  <c r="L805" i="25"/>
  <c r="L804" i="25"/>
  <c r="L803" i="25"/>
  <c r="L802" i="25"/>
  <c r="L801" i="25"/>
  <c r="L800" i="25"/>
  <c r="L799" i="25"/>
  <c r="L798" i="25"/>
  <c r="L797" i="25"/>
  <c r="L796" i="25"/>
  <c r="L792" i="25"/>
  <c r="L791" i="25"/>
  <c r="L790" i="25"/>
  <c r="L789" i="25"/>
  <c r="L788" i="25"/>
  <c r="L787" i="25"/>
  <c r="L786" i="25"/>
  <c r="L785" i="25"/>
  <c r="L784" i="25"/>
  <c r="L783" i="25"/>
  <c r="L782" i="25"/>
  <c r="L781" i="25"/>
  <c r="L780" i="25"/>
  <c r="L779" i="25"/>
  <c r="L778" i="25"/>
  <c r="L777" i="25"/>
  <c r="L776" i="25"/>
  <c r="L775" i="25"/>
  <c r="L774" i="25"/>
  <c r="L773" i="25"/>
  <c r="L772" i="25"/>
  <c r="L771" i="25"/>
  <c r="L770" i="25"/>
  <c r="L769" i="25"/>
  <c r="L768" i="25"/>
  <c r="L767" i="25"/>
  <c r="L766" i="25"/>
  <c r="L765" i="25"/>
  <c r="L764" i="25"/>
  <c r="L763" i="25"/>
  <c r="L762" i="25"/>
  <c r="L761" i="25"/>
  <c r="L760" i="25"/>
  <c r="L759" i="25"/>
  <c r="L758" i="25"/>
  <c r="L757" i="25"/>
  <c r="L756" i="25"/>
  <c r="L755" i="25"/>
  <c r="L754" i="25"/>
  <c r="L753" i="25"/>
  <c r="L752" i="25"/>
  <c r="L751" i="25"/>
  <c r="L750" i="25"/>
  <c r="L749" i="25"/>
  <c r="L748" i="25"/>
  <c r="L747" i="25"/>
  <c r="L746" i="25"/>
  <c r="L745" i="25"/>
  <c r="L744" i="25"/>
  <c r="L743" i="25"/>
  <c r="L742" i="25"/>
  <c r="L741" i="25"/>
  <c r="L740" i="25"/>
  <c r="L739" i="25"/>
  <c r="L738" i="25"/>
  <c r="L737" i="25"/>
  <c r="L736" i="25"/>
  <c r="L735" i="25"/>
  <c r="L734" i="25"/>
  <c r="L733" i="25"/>
  <c r="L732" i="25"/>
  <c r="L731" i="25"/>
  <c r="L730" i="25"/>
  <c r="L729" i="25"/>
  <c r="L728" i="25"/>
  <c r="L727" i="25"/>
  <c r="L726" i="25"/>
  <c r="L725" i="25"/>
  <c r="L724" i="25"/>
  <c r="L723" i="25"/>
  <c r="L722" i="25"/>
  <c r="L721" i="25"/>
  <c r="L720" i="25"/>
  <c r="L719" i="25"/>
  <c r="L718" i="25"/>
  <c r="L717" i="25"/>
  <c r="L716" i="25"/>
  <c r="L715" i="25"/>
  <c r="L714" i="25"/>
  <c r="L713" i="25"/>
  <c r="L712" i="25"/>
  <c r="L711" i="25"/>
  <c r="L710" i="25"/>
  <c r="L709" i="25"/>
  <c r="L708" i="25"/>
  <c r="L704" i="25"/>
  <c r="L703" i="25"/>
  <c r="L702" i="25"/>
  <c r="L701" i="25"/>
  <c r="L700" i="25"/>
  <c r="L699" i="25"/>
  <c r="L698" i="25"/>
  <c r="L697" i="25"/>
  <c r="L696" i="25"/>
  <c r="L695" i="25"/>
  <c r="L694" i="25"/>
  <c r="L693" i="25"/>
  <c r="L692" i="25"/>
  <c r="L691" i="25"/>
  <c r="L690" i="25"/>
  <c r="L689" i="25"/>
  <c r="L688" i="25"/>
  <c r="L687" i="25"/>
  <c r="L686" i="25"/>
  <c r="L685" i="25"/>
  <c r="L684" i="25"/>
  <c r="L683" i="25"/>
  <c r="L682" i="25"/>
  <c r="L681" i="25"/>
  <c r="L680" i="25"/>
  <c r="L679" i="25"/>
  <c r="L678" i="25"/>
  <c r="L677" i="25"/>
  <c r="L676" i="25"/>
  <c r="L675" i="25"/>
  <c r="L674" i="25"/>
  <c r="L673" i="25"/>
  <c r="L672" i="25"/>
  <c r="L671" i="25"/>
  <c r="L670" i="25"/>
  <c r="L669" i="25"/>
  <c r="L668" i="25"/>
  <c r="L667" i="25"/>
  <c r="L666" i="25"/>
  <c r="L665" i="25"/>
  <c r="L664" i="25"/>
  <c r="L663" i="25"/>
  <c r="L662" i="25"/>
  <c r="L661" i="25"/>
  <c r="L660" i="25"/>
  <c r="L659" i="25"/>
  <c r="L658" i="25"/>
  <c r="L657" i="25"/>
  <c r="L656" i="25"/>
  <c r="L655" i="25"/>
  <c r="L654" i="25"/>
  <c r="L653" i="25"/>
  <c r="L652" i="25"/>
  <c r="L651" i="25"/>
  <c r="L650" i="25"/>
  <c r="L649" i="25"/>
  <c r="L648" i="25"/>
  <c r="L647" i="25"/>
  <c r="L646" i="25"/>
  <c r="L645" i="25"/>
  <c r="L644" i="25"/>
  <c r="L643" i="25"/>
  <c r="L642" i="25"/>
  <c r="L641" i="25"/>
  <c r="L640" i="25"/>
  <c r="L639" i="25"/>
  <c r="L638" i="25"/>
  <c r="L637" i="25"/>
  <c r="L636" i="25"/>
  <c r="L635" i="25"/>
  <c r="L634" i="25"/>
  <c r="L633" i="25"/>
  <c r="L632" i="25"/>
  <c r="L631" i="25"/>
  <c r="L630" i="25"/>
  <c r="L629" i="25"/>
  <c r="L628" i="25"/>
  <c r="L627" i="25"/>
  <c r="L626" i="25"/>
  <c r="L625" i="25"/>
  <c r="L624" i="25"/>
  <c r="L623" i="25"/>
  <c r="L622" i="25"/>
  <c r="L621" i="25"/>
  <c r="L620" i="25"/>
  <c r="L616" i="25"/>
  <c r="L615" i="25"/>
  <c r="L614" i="25"/>
  <c r="L613" i="25"/>
  <c r="L612" i="25"/>
  <c r="L611" i="25"/>
  <c r="L610" i="25"/>
  <c r="L609" i="25"/>
  <c r="L608" i="25"/>
  <c r="L607" i="25"/>
  <c r="L606" i="25"/>
  <c r="L605" i="25"/>
  <c r="L604" i="25"/>
  <c r="L603" i="25"/>
  <c r="L602" i="25"/>
  <c r="L601" i="25"/>
  <c r="L600" i="25"/>
  <c r="L599" i="25"/>
  <c r="L598" i="25"/>
  <c r="L597" i="25"/>
  <c r="L596" i="25"/>
  <c r="L595" i="25"/>
  <c r="L594" i="25"/>
  <c r="L593" i="25"/>
  <c r="L592" i="25"/>
  <c r="L591" i="25"/>
  <c r="L590" i="25"/>
  <c r="L589" i="25"/>
  <c r="L588" i="25"/>
  <c r="L587" i="25"/>
  <c r="L586" i="25"/>
  <c r="L585" i="25"/>
  <c r="L584" i="25"/>
  <c r="L583" i="25"/>
  <c r="L582" i="25"/>
  <c r="L581" i="25"/>
  <c r="L580" i="25"/>
  <c r="L579" i="25"/>
  <c r="L578" i="25"/>
  <c r="L577" i="25"/>
  <c r="L576" i="25"/>
  <c r="L575" i="25"/>
  <c r="L574" i="25"/>
  <c r="L573" i="25"/>
  <c r="L572" i="25"/>
  <c r="L571" i="25"/>
  <c r="L570" i="25"/>
  <c r="L569" i="25"/>
  <c r="L568" i="25"/>
  <c r="L567" i="25"/>
  <c r="L566" i="25"/>
  <c r="L565" i="25"/>
  <c r="L564" i="25"/>
  <c r="L563" i="25"/>
  <c r="L562" i="25"/>
  <c r="L561" i="25"/>
  <c r="L560" i="25"/>
  <c r="L559" i="25"/>
  <c r="L558" i="25"/>
  <c r="L557" i="25"/>
  <c r="L556" i="25"/>
  <c r="L555" i="25"/>
  <c r="L554" i="25"/>
  <c r="L553" i="25"/>
  <c r="L552" i="25"/>
  <c r="L551" i="25"/>
  <c r="L550" i="25"/>
  <c r="L549" i="25"/>
  <c r="L548" i="25"/>
  <c r="L547" i="25"/>
  <c r="L546" i="25"/>
  <c r="L545" i="25"/>
  <c r="L544" i="25"/>
  <c r="L543" i="25"/>
  <c r="L542" i="25"/>
  <c r="L541" i="25"/>
  <c r="L540" i="25"/>
  <c r="L539" i="25"/>
  <c r="L538" i="25"/>
  <c r="L537" i="25"/>
  <c r="L536" i="25"/>
  <c r="L535" i="25"/>
  <c r="L528" i="25"/>
  <c r="L527" i="25"/>
  <c r="L526" i="25"/>
  <c r="L525" i="25"/>
  <c r="L524" i="25"/>
  <c r="L523" i="25"/>
  <c r="L522" i="25"/>
  <c r="L521" i="25"/>
  <c r="L520" i="25"/>
  <c r="L519" i="25"/>
  <c r="L518" i="25"/>
  <c r="L517" i="25"/>
  <c r="L516" i="25"/>
  <c r="L515" i="25"/>
  <c r="L514" i="25"/>
  <c r="L513" i="25"/>
  <c r="L512" i="25"/>
  <c r="L511" i="25"/>
  <c r="L510" i="25"/>
  <c r="L509" i="25"/>
  <c r="L508" i="25"/>
  <c r="L507" i="25"/>
  <c r="L506" i="25"/>
  <c r="L505" i="25"/>
  <c r="L504" i="25"/>
  <c r="L503" i="25"/>
  <c r="L502" i="25"/>
  <c r="L501" i="25"/>
  <c r="L500" i="25"/>
  <c r="L499" i="25"/>
  <c r="L498" i="25"/>
  <c r="L497" i="25"/>
  <c r="L496" i="25"/>
  <c r="L495" i="25"/>
  <c r="L494" i="25"/>
  <c r="L493" i="25"/>
  <c r="L492" i="25"/>
  <c r="L491" i="25"/>
  <c r="L490" i="25"/>
  <c r="L489" i="25"/>
  <c r="L488" i="25"/>
  <c r="L487" i="25"/>
  <c r="L486" i="25"/>
  <c r="L485" i="25"/>
  <c r="L484" i="25"/>
  <c r="L483" i="25"/>
  <c r="L482" i="25"/>
  <c r="L481" i="25"/>
  <c r="L480" i="25"/>
  <c r="L479" i="25"/>
  <c r="L478" i="25"/>
  <c r="L477" i="25"/>
  <c r="L476" i="25"/>
  <c r="L475" i="25"/>
  <c r="L474" i="25"/>
  <c r="L473" i="25"/>
  <c r="L472" i="25"/>
  <c r="L471" i="25"/>
  <c r="L470" i="25"/>
  <c r="L469" i="25"/>
  <c r="L468" i="25"/>
  <c r="L467" i="25"/>
  <c r="L466" i="25"/>
  <c r="L465" i="25"/>
  <c r="L464" i="25"/>
  <c r="L463" i="25"/>
  <c r="L462" i="25"/>
  <c r="L461" i="25"/>
  <c r="L460" i="25"/>
  <c r="L459" i="25"/>
  <c r="L458" i="25"/>
  <c r="L457" i="25"/>
  <c r="L456" i="25"/>
  <c r="L455" i="25"/>
  <c r="L454" i="25"/>
  <c r="L453" i="25"/>
  <c r="L452" i="25"/>
  <c r="L451" i="25"/>
  <c r="L450" i="25"/>
  <c r="L449" i="25"/>
  <c r="L448" i="25"/>
  <c r="L447" i="25"/>
  <c r="L446" i="25"/>
  <c r="L445" i="25"/>
  <c r="L444" i="25"/>
  <c r="L440" i="25"/>
  <c r="L439" i="25"/>
  <c r="L438" i="25"/>
  <c r="L437" i="25"/>
  <c r="L436" i="25"/>
  <c r="L435" i="25"/>
  <c r="L434" i="25"/>
  <c r="L433" i="25"/>
  <c r="L432" i="25"/>
  <c r="L431" i="25"/>
  <c r="L430" i="25"/>
  <c r="L429" i="25"/>
  <c r="L428" i="25"/>
  <c r="L427" i="25"/>
  <c r="L426" i="25"/>
  <c r="L425" i="25"/>
  <c r="L424" i="25"/>
  <c r="L423" i="25"/>
  <c r="L422" i="25"/>
  <c r="L421" i="25"/>
  <c r="L420" i="25"/>
  <c r="L419" i="25"/>
  <c r="L418" i="25"/>
  <c r="L417" i="25"/>
  <c r="L416" i="25"/>
  <c r="L415" i="25"/>
  <c r="L414" i="25"/>
  <c r="L413" i="25"/>
  <c r="L412" i="25"/>
  <c r="L411" i="25"/>
  <c r="L410" i="25"/>
  <c r="L409" i="25"/>
  <c r="L408" i="25"/>
  <c r="L407" i="25"/>
  <c r="L406" i="25"/>
  <c r="L405" i="25"/>
  <c r="L404" i="25"/>
  <c r="L403" i="25"/>
  <c r="L402" i="25"/>
  <c r="L401" i="25"/>
  <c r="L400" i="25"/>
  <c r="L399" i="25"/>
  <c r="L398" i="25"/>
  <c r="L397" i="25"/>
  <c r="L396" i="25"/>
  <c r="L395" i="25"/>
  <c r="L394" i="25"/>
  <c r="L393" i="25"/>
  <c r="L392" i="25"/>
  <c r="L391" i="25"/>
  <c r="L390" i="25"/>
  <c r="L389" i="25"/>
  <c r="L388" i="25"/>
  <c r="L387" i="25"/>
  <c r="L386" i="25"/>
  <c r="L385" i="25"/>
  <c r="L384" i="25"/>
  <c r="L383" i="25"/>
  <c r="L382" i="25"/>
  <c r="L381" i="25"/>
  <c r="L380" i="25"/>
  <c r="L379" i="25"/>
  <c r="L378" i="25"/>
  <c r="L377" i="25"/>
  <c r="L376" i="25"/>
  <c r="L375" i="25"/>
  <c r="L374" i="25"/>
  <c r="L373" i="25"/>
  <c r="L372" i="25"/>
  <c r="L371" i="25"/>
  <c r="L370" i="25"/>
  <c r="L369" i="25"/>
  <c r="L368" i="25"/>
  <c r="L367" i="25"/>
  <c r="L366" i="25"/>
  <c r="L365" i="25"/>
  <c r="L364" i="25"/>
  <c r="L363" i="25"/>
  <c r="L362" i="25"/>
  <c r="L361" i="25"/>
  <c r="L360" i="25"/>
  <c r="L359" i="25"/>
  <c r="L358" i="25"/>
  <c r="L357" i="25"/>
  <c r="L356" i="25"/>
  <c r="L352" i="25"/>
  <c r="L351" i="25"/>
  <c r="L350" i="25"/>
  <c r="L349" i="25"/>
  <c r="L348" i="25"/>
  <c r="L347" i="25"/>
  <c r="L346" i="25"/>
  <c r="L345" i="25"/>
  <c r="L344" i="25"/>
  <c r="L343" i="25"/>
  <c r="L342" i="25"/>
  <c r="L341" i="25"/>
  <c r="L340" i="25"/>
  <c r="L339" i="25"/>
  <c r="L338" i="25"/>
  <c r="L337" i="25"/>
  <c r="L336" i="25"/>
  <c r="L335" i="25"/>
  <c r="L334" i="25"/>
  <c r="L333" i="25"/>
  <c r="L332" i="25"/>
  <c r="L331" i="25"/>
  <c r="L330" i="25"/>
  <c r="L329" i="25"/>
  <c r="L328" i="25"/>
  <c r="L327" i="25"/>
  <c r="L326" i="25"/>
  <c r="L325" i="25"/>
  <c r="L324" i="25"/>
  <c r="L323" i="25"/>
  <c r="L322" i="25"/>
  <c r="L321" i="25"/>
  <c r="L320" i="25"/>
  <c r="L319" i="25"/>
  <c r="L318" i="25"/>
  <c r="L317" i="25"/>
  <c r="L316" i="25"/>
  <c r="L315" i="25"/>
  <c r="L314" i="25"/>
  <c r="L313" i="25"/>
  <c r="L312" i="25"/>
  <c r="L311" i="25"/>
  <c r="L310" i="25"/>
  <c r="L309" i="25"/>
  <c r="L308" i="25"/>
  <c r="L307" i="25"/>
  <c r="L306" i="25"/>
  <c r="L305" i="25"/>
  <c r="L304" i="25"/>
  <c r="L303" i="25"/>
  <c r="L302" i="25"/>
  <c r="L301" i="25"/>
  <c r="L300" i="25"/>
  <c r="L299" i="25"/>
  <c r="L298" i="25"/>
  <c r="L297" i="25"/>
  <c r="L296" i="25"/>
  <c r="L295" i="25"/>
  <c r="L294" i="25"/>
  <c r="L293" i="25"/>
  <c r="L292" i="25"/>
  <c r="L291" i="25"/>
  <c r="L290" i="25"/>
  <c r="L289" i="25"/>
  <c r="L288" i="25"/>
  <c r="L287" i="25"/>
  <c r="L286" i="25"/>
  <c r="L285" i="25"/>
  <c r="L284" i="25"/>
  <c r="L283" i="25"/>
  <c r="L282" i="25"/>
  <c r="L281" i="25"/>
  <c r="L280" i="25"/>
  <c r="L279" i="25"/>
  <c r="L278" i="25"/>
  <c r="L277" i="25"/>
  <c r="L276" i="25"/>
  <c r="L275" i="25"/>
  <c r="L274" i="25"/>
  <c r="L273" i="25"/>
  <c r="L272" i="25"/>
  <c r="L271" i="25"/>
  <c r="L270" i="25"/>
  <c r="L269" i="25"/>
  <c r="L268" i="25"/>
  <c r="L264" i="25"/>
  <c r="L263" i="25"/>
  <c r="L262" i="25"/>
  <c r="L261" i="25"/>
  <c r="L260" i="25"/>
  <c r="L259" i="25"/>
  <c r="L258" i="25"/>
  <c r="L257" i="25"/>
  <c r="L256" i="25"/>
  <c r="L255" i="25"/>
  <c r="L254" i="25"/>
  <c r="L253" i="25"/>
  <c r="L252" i="25"/>
  <c r="L251" i="25"/>
  <c r="L250" i="25"/>
  <c r="L249" i="25"/>
  <c r="L248" i="25"/>
  <c r="L247" i="25"/>
  <c r="L246" i="25"/>
  <c r="L245" i="25"/>
  <c r="L244" i="25"/>
  <c r="L243" i="25"/>
  <c r="L242" i="25"/>
  <c r="L241" i="25"/>
  <c r="L240" i="25"/>
  <c r="L239" i="25"/>
  <c r="L238" i="25"/>
  <c r="L237" i="25"/>
  <c r="L236" i="25"/>
  <c r="L235" i="25"/>
  <c r="L234" i="25"/>
  <c r="L233" i="25"/>
  <c r="L232" i="25"/>
  <c r="L231" i="25"/>
  <c r="L230" i="25"/>
  <c r="L229" i="25"/>
  <c r="L228" i="25"/>
  <c r="L227" i="25"/>
  <c r="L226" i="25"/>
  <c r="L225" i="25"/>
  <c r="L224" i="25"/>
  <c r="L223" i="25"/>
  <c r="L222" i="25"/>
  <c r="L221" i="25"/>
  <c r="L220" i="25"/>
  <c r="L219" i="25"/>
  <c r="L218" i="25"/>
  <c r="L217" i="25"/>
  <c r="L216" i="25"/>
  <c r="L215" i="25"/>
  <c r="L214" i="25"/>
  <c r="L213" i="25"/>
  <c r="L212" i="25"/>
  <c r="L211" i="25"/>
  <c r="L210" i="25"/>
  <c r="L209" i="25"/>
  <c r="L208" i="25"/>
  <c r="L207" i="25"/>
  <c r="L206" i="25"/>
  <c r="L205" i="25"/>
  <c r="L204" i="25"/>
  <c r="L203" i="25"/>
  <c r="L202" i="25"/>
  <c r="L201" i="25"/>
  <c r="L200" i="25"/>
  <c r="L199" i="25"/>
  <c r="L198" i="25"/>
  <c r="L197" i="25"/>
  <c r="L196" i="25"/>
  <c r="L195" i="25"/>
  <c r="L194" i="25"/>
  <c r="L193" i="25"/>
  <c r="L192" i="25"/>
  <c r="L191" i="25"/>
  <c r="L190" i="25"/>
  <c r="L189" i="25"/>
  <c r="L188" i="25"/>
  <c r="L187" i="25"/>
  <c r="L186" i="25"/>
  <c r="L185" i="25"/>
  <c r="L184" i="25"/>
  <c r="L183" i="25"/>
  <c r="L176" i="25"/>
  <c r="L175" i="25"/>
  <c r="L174" i="25"/>
  <c r="L173" i="25"/>
  <c r="L172" i="25"/>
  <c r="L171" i="25"/>
  <c r="L170" i="25"/>
  <c r="L169" i="25"/>
  <c r="L168" i="25"/>
  <c r="L167" i="25"/>
  <c r="L166" i="25"/>
  <c r="L165" i="25"/>
  <c r="L164" i="25"/>
  <c r="L163" i="25"/>
  <c r="L162" i="25"/>
  <c r="L161" i="25"/>
  <c r="L160" i="25"/>
  <c r="L159" i="25"/>
  <c r="L158" i="25"/>
  <c r="L157" i="25"/>
  <c r="L156" i="25"/>
  <c r="L155" i="25"/>
  <c r="L154" i="25"/>
  <c r="L153" i="25"/>
  <c r="L152" i="25"/>
  <c r="L151" i="25"/>
  <c r="L150" i="25"/>
  <c r="L149" i="25"/>
  <c r="L148" i="25"/>
  <c r="L147" i="25"/>
  <c r="L146" i="25"/>
  <c r="L145" i="25"/>
  <c r="L144" i="25"/>
  <c r="L143" i="25"/>
  <c r="L142" i="25"/>
  <c r="L141" i="25"/>
  <c r="L140" i="25"/>
  <c r="L139" i="25"/>
  <c r="L138" i="25"/>
  <c r="L137" i="25"/>
  <c r="L136" i="25"/>
  <c r="L135" i="25"/>
  <c r="L134" i="25"/>
  <c r="L133" i="25"/>
  <c r="L132" i="25"/>
  <c r="L131" i="25"/>
  <c r="L130" i="25"/>
  <c r="L129" i="25"/>
  <c r="L128" i="25"/>
  <c r="L127" i="25"/>
  <c r="L126" i="25"/>
  <c r="L125" i="25"/>
  <c r="L124" i="25"/>
  <c r="L123" i="25"/>
  <c r="L122" i="25"/>
  <c r="L121" i="25"/>
  <c r="L120" i="25"/>
  <c r="L119" i="25"/>
  <c r="L118" i="25"/>
  <c r="L117" i="25"/>
  <c r="L116" i="25"/>
  <c r="L115" i="25"/>
  <c r="L114" i="25"/>
  <c r="L113" i="25"/>
  <c r="L112" i="25"/>
  <c r="L111" i="25"/>
  <c r="L110" i="25"/>
  <c r="L109" i="25"/>
  <c r="L108" i="25"/>
  <c r="L107" i="25"/>
  <c r="L106" i="25"/>
  <c r="L105" i="25"/>
  <c r="L104" i="25"/>
  <c r="L103" i="25"/>
  <c r="L102" i="25"/>
  <c r="L101" i="25"/>
  <c r="L100" i="25"/>
  <c r="L99" i="25"/>
  <c r="L98" i="25"/>
  <c r="L97" i="25"/>
  <c r="L96" i="25"/>
  <c r="L95" i="25"/>
  <c r="L94" i="25"/>
  <c r="L93" i="25"/>
  <c r="L92" i="25"/>
  <c r="L75" i="25"/>
  <c r="L76" i="25"/>
  <c r="L77" i="25"/>
  <c r="L78" i="25"/>
  <c r="L79" i="25"/>
  <c r="L80" i="25"/>
  <c r="L81" i="25"/>
  <c r="L82" i="25"/>
  <c r="L83" i="25"/>
  <c r="L84" i="25"/>
  <c r="L85" i="25"/>
  <c r="L86" i="25"/>
  <c r="L87" i="25"/>
  <c r="L88" i="25"/>
  <c r="L74" i="25"/>
  <c r="L73" i="25"/>
  <c r="L72" i="25"/>
  <c r="L71" i="25"/>
  <c r="L70" i="25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L45" i="25"/>
  <c r="L44" i="25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1" i="25"/>
  <c r="L9" i="25"/>
  <c r="L7" i="25"/>
  <c r="L12" i="25"/>
  <c r="L10" i="25"/>
  <c r="L8" i="25"/>
  <c r="L6" i="25"/>
  <c r="L4" i="25"/>
  <c r="G689" i="21"/>
  <c r="F689" i="21"/>
  <c r="E689" i="21"/>
  <c r="D689" i="21"/>
  <c r="G688" i="21"/>
  <c r="F688" i="21"/>
  <c r="E688" i="21"/>
  <c r="D688" i="21"/>
  <c r="G687" i="21"/>
  <c r="F687" i="21"/>
  <c r="E687" i="21"/>
  <c r="D687" i="21"/>
  <c r="G686" i="21"/>
  <c r="F686" i="21"/>
  <c r="E686" i="21"/>
  <c r="D686" i="21"/>
  <c r="G685" i="21"/>
  <c r="F685" i="21"/>
  <c r="E685" i="21"/>
  <c r="D685" i="21"/>
  <c r="G684" i="21"/>
  <c r="F684" i="21"/>
  <c r="E684" i="21"/>
  <c r="D684" i="21"/>
  <c r="G683" i="21"/>
  <c r="F683" i="21"/>
  <c r="E683" i="21"/>
  <c r="D683" i="21"/>
  <c r="G682" i="21"/>
  <c r="F682" i="21"/>
  <c r="E682" i="21"/>
  <c r="D682" i="21"/>
  <c r="G681" i="21"/>
  <c r="F681" i="21"/>
  <c r="E681" i="21"/>
  <c r="D681" i="21"/>
  <c r="G680" i="21"/>
  <c r="F680" i="21"/>
  <c r="E680" i="21"/>
  <c r="D680" i="21"/>
  <c r="G679" i="21"/>
  <c r="F679" i="21"/>
  <c r="E679" i="21"/>
  <c r="D679" i="21"/>
  <c r="G678" i="21"/>
  <c r="F678" i="21"/>
  <c r="E678" i="21"/>
  <c r="D678" i="21"/>
  <c r="G677" i="21"/>
  <c r="F677" i="21"/>
  <c r="E677" i="21"/>
  <c r="D677" i="21"/>
  <c r="G676" i="21"/>
  <c r="F676" i="21"/>
  <c r="E676" i="21"/>
  <c r="D676" i="21"/>
  <c r="G675" i="21"/>
  <c r="F675" i="21"/>
  <c r="E675" i="21"/>
  <c r="D675" i="21"/>
  <c r="G674" i="21"/>
  <c r="F674" i="21"/>
  <c r="E674" i="21"/>
  <c r="D674" i="21"/>
  <c r="G673" i="21"/>
  <c r="F673" i="21"/>
  <c r="E673" i="21"/>
  <c r="D673" i="21"/>
  <c r="G672" i="21"/>
  <c r="F672" i="21"/>
  <c r="E672" i="21"/>
  <c r="D672" i="21"/>
  <c r="G671" i="21"/>
  <c r="F671" i="21"/>
  <c r="E671" i="21"/>
  <c r="D671" i="21"/>
  <c r="G670" i="21"/>
  <c r="F670" i="21"/>
  <c r="E670" i="21"/>
  <c r="D670" i="21"/>
  <c r="H601" i="21"/>
  <c r="H600" i="21"/>
  <c r="H599" i="21"/>
  <c r="H598" i="21"/>
  <c r="H597" i="21"/>
  <c r="H596" i="21"/>
  <c r="H595" i="21"/>
  <c r="H594" i="21"/>
  <c r="H593" i="21"/>
  <c r="H592" i="21"/>
  <c r="H591" i="21"/>
  <c r="H590" i="21"/>
  <c r="H589" i="21"/>
  <c r="H588" i="21"/>
  <c r="H587" i="21"/>
  <c r="H586" i="21"/>
  <c r="H585" i="21"/>
  <c r="H584" i="21"/>
  <c r="H583" i="21"/>
  <c r="H582" i="21"/>
  <c r="H513" i="21"/>
  <c r="H512" i="21"/>
  <c r="H511" i="21"/>
  <c r="H510" i="21"/>
  <c r="H509" i="21"/>
  <c r="H508" i="21"/>
  <c r="H507" i="21"/>
  <c r="H506" i="21"/>
  <c r="H505" i="21"/>
  <c r="H504" i="21"/>
  <c r="H503" i="21"/>
  <c r="H502" i="21"/>
  <c r="H501" i="21"/>
  <c r="H500" i="21"/>
  <c r="H499" i="21"/>
  <c r="H498" i="21"/>
  <c r="H497" i="21"/>
  <c r="H496" i="21"/>
  <c r="H495" i="21"/>
  <c r="H494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E691" i="21"/>
  <c r="E690" i="21"/>
  <c r="G513" i="23"/>
  <c r="F513" i="23"/>
  <c r="E513" i="23"/>
  <c r="D513" i="23"/>
  <c r="G512" i="23"/>
  <c r="F512" i="23"/>
  <c r="E512" i="23"/>
  <c r="D512" i="23"/>
  <c r="G511" i="23"/>
  <c r="F511" i="23"/>
  <c r="E511" i="23"/>
  <c r="D511" i="23"/>
  <c r="G510" i="23"/>
  <c r="F510" i="23"/>
  <c r="E510" i="23"/>
  <c r="D510" i="23"/>
  <c r="G509" i="23"/>
  <c r="F509" i="23"/>
  <c r="E509" i="23"/>
  <c r="D509" i="23"/>
  <c r="G508" i="23"/>
  <c r="F508" i="23"/>
  <c r="E508" i="23"/>
  <c r="D508" i="23"/>
  <c r="G507" i="23"/>
  <c r="F507" i="23"/>
  <c r="E507" i="23"/>
  <c r="D507" i="23"/>
  <c r="H507" i="23" s="1"/>
  <c r="G506" i="23"/>
  <c r="F506" i="23"/>
  <c r="E506" i="23"/>
  <c r="D506" i="23"/>
  <c r="G505" i="23"/>
  <c r="F505" i="23"/>
  <c r="E505" i="23"/>
  <c r="D505" i="23"/>
  <c r="G504" i="23"/>
  <c r="F504" i="23"/>
  <c r="E504" i="23"/>
  <c r="D504" i="23"/>
  <c r="G503" i="23"/>
  <c r="F503" i="23"/>
  <c r="E503" i="23"/>
  <c r="D503" i="23"/>
  <c r="H503" i="23" s="1"/>
  <c r="G502" i="23"/>
  <c r="F502" i="23"/>
  <c r="E502" i="23"/>
  <c r="D502" i="23"/>
  <c r="G501" i="23"/>
  <c r="F501" i="23"/>
  <c r="E501" i="23"/>
  <c r="D501" i="23"/>
  <c r="G500" i="23"/>
  <c r="F500" i="23"/>
  <c r="E500" i="23"/>
  <c r="D500" i="23"/>
  <c r="G499" i="23"/>
  <c r="F499" i="23"/>
  <c r="E499" i="23"/>
  <c r="D499" i="23"/>
  <c r="G523" i="23"/>
  <c r="F523" i="23"/>
  <c r="E523" i="23"/>
  <c r="D523" i="23"/>
  <c r="G522" i="23"/>
  <c r="F522" i="23"/>
  <c r="E522" i="23"/>
  <c r="D522" i="23"/>
  <c r="G521" i="23"/>
  <c r="F521" i="23"/>
  <c r="E521" i="23"/>
  <c r="D521" i="23"/>
  <c r="G520" i="23"/>
  <c r="F520" i="23"/>
  <c r="E520" i="23"/>
  <c r="D520" i="23"/>
  <c r="G519" i="23"/>
  <c r="F519" i="23"/>
  <c r="E519" i="23"/>
  <c r="D519" i="23"/>
  <c r="G518" i="23"/>
  <c r="F518" i="23"/>
  <c r="E518" i="23"/>
  <c r="D518" i="23"/>
  <c r="G517" i="23"/>
  <c r="F517" i="23"/>
  <c r="E517" i="23"/>
  <c r="D517" i="23"/>
  <c r="G516" i="23"/>
  <c r="F516" i="23"/>
  <c r="E516" i="23"/>
  <c r="D516" i="23"/>
  <c r="H516" i="23" s="1"/>
  <c r="G515" i="23"/>
  <c r="F515" i="23"/>
  <c r="E515" i="23"/>
  <c r="D515" i="23"/>
  <c r="G514" i="23"/>
  <c r="F514" i="23"/>
  <c r="E514" i="23"/>
  <c r="D514" i="23"/>
  <c r="H514" i="23" s="1"/>
  <c r="G498" i="23"/>
  <c r="F498" i="23"/>
  <c r="E498" i="23"/>
  <c r="D498" i="23"/>
  <c r="G497" i="23"/>
  <c r="F497" i="23"/>
  <c r="E497" i="23"/>
  <c r="D497" i="23"/>
  <c r="G496" i="23"/>
  <c r="F496" i="23"/>
  <c r="E496" i="23"/>
  <c r="D496" i="23"/>
  <c r="G495" i="23"/>
  <c r="F495" i="23"/>
  <c r="E495" i="23"/>
  <c r="D495" i="23"/>
  <c r="G494" i="23"/>
  <c r="F494" i="23"/>
  <c r="E494" i="23"/>
  <c r="D494" i="23"/>
  <c r="G493" i="23"/>
  <c r="F493" i="23"/>
  <c r="E493" i="23"/>
  <c r="D493" i="23"/>
  <c r="G492" i="23"/>
  <c r="F492" i="23"/>
  <c r="E492" i="23"/>
  <c r="D492" i="23"/>
  <c r="G491" i="23"/>
  <c r="F491" i="23"/>
  <c r="E491" i="23"/>
  <c r="D491" i="23"/>
  <c r="G490" i="23"/>
  <c r="F490" i="23"/>
  <c r="E490" i="23"/>
  <c r="D490" i="23"/>
  <c r="G489" i="23"/>
  <c r="F489" i="23"/>
  <c r="E489" i="23"/>
  <c r="D489" i="23"/>
  <c r="G488" i="23"/>
  <c r="F488" i="23"/>
  <c r="E488" i="23"/>
  <c r="D488" i="23"/>
  <c r="G487" i="23"/>
  <c r="F487" i="23"/>
  <c r="E487" i="23"/>
  <c r="D487" i="23"/>
  <c r="G486" i="23"/>
  <c r="F486" i="23"/>
  <c r="E486" i="23"/>
  <c r="D486" i="23"/>
  <c r="G485" i="23"/>
  <c r="F485" i="23"/>
  <c r="E485" i="23"/>
  <c r="D485" i="23"/>
  <c r="G484" i="23"/>
  <c r="F484" i="23"/>
  <c r="E484" i="23"/>
  <c r="D484" i="23"/>
  <c r="G483" i="23"/>
  <c r="F483" i="23"/>
  <c r="E483" i="23"/>
  <c r="D483" i="23"/>
  <c r="G482" i="23"/>
  <c r="F482" i="23"/>
  <c r="E482" i="23"/>
  <c r="D482" i="23"/>
  <c r="G481" i="23"/>
  <c r="F481" i="23"/>
  <c r="E481" i="23"/>
  <c r="D481" i="23"/>
  <c r="G480" i="23"/>
  <c r="F480" i="23"/>
  <c r="E480" i="23"/>
  <c r="D480" i="23"/>
  <c r="G479" i="23"/>
  <c r="F479" i="23"/>
  <c r="E479" i="23"/>
  <c r="D479" i="23"/>
  <c r="G478" i="23"/>
  <c r="F478" i="23"/>
  <c r="E478" i="23"/>
  <c r="D478" i="23"/>
  <c r="G477" i="23"/>
  <c r="F477" i="23"/>
  <c r="E477" i="23"/>
  <c r="D477" i="23"/>
  <c r="G476" i="23"/>
  <c r="F476" i="23"/>
  <c r="E476" i="23"/>
  <c r="D476" i="23"/>
  <c r="G475" i="23"/>
  <c r="F475" i="23"/>
  <c r="E475" i="23"/>
  <c r="D475" i="23"/>
  <c r="G474" i="23"/>
  <c r="F474" i="23"/>
  <c r="E474" i="23"/>
  <c r="D474" i="23"/>
  <c r="G473" i="23"/>
  <c r="F473" i="23"/>
  <c r="E473" i="23"/>
  <c r="D473" i="23"/>
  <c r="G472" i="23"/>
  <c r="F472" i="23"/>
  <c r="E472" i="23"/>
  <c r="D472" i="23"/>
  <c r="G471" i="23"/>
  <c r="F471" i="23"/>
  <c r="E471" i="23"/>
  <c r="D471" i="23"/>
  <c r="G470" i="23"/>
  <c r="F470" i="23"/>
  <c r="E470" i="23"/>
  <c r="D470" i="23"/>
  <c r="G469" i="23"/>
  <c r="F469" i="23"/>
  <c r="E469" i="23"/>
  <c r="D469" i="23"/>
  <c r="G468" i="23"/>
  <c r="F468" i="23"/>
  <c r="E468" i="23"/>
  <c r="D468" i="23"/>
  <c r="G467" i="23"/>
  <c r="F467" i="23"/>
  <c r="E467" i="23"/>
  <c r="D467" i="23"/>
  <c r="G466" i="23"/>
  <c r="F466" i="23"/>
  <c r="E466" i="23"/>
  <c r="D466" i="23"/>
  <c r="G465" i="23"/>
  <c r="F465" i="23"/>
  <c r="E465" i="23"/>
  <c r="D465" i="23"/>
  <c r="G464" i="23"/>
  <c r="F464" i="23"/>
  <c r="E464" i="23"/>
  <c r="D464" i="23"/>
  <c r="G463" i="23"/>
  <c r="F463" i="23"/>
  <c r="E463" i="23"/>
  <c r="D463" i="23"/>
  <c r="G462" i="23"/>
  <c r="F462" i="23"/>
  <c r="E462" i="23"/>
  <c r="D462" i="23"/>
  <c r="G461" i="23"/>
  <c r="F461" i="23"/>
  <c r="E461" i="23"/>
  <c r="D461" i="23"/>
  <c r="G460" i="23"/>
  <c r="F460" i="23"/>
  <c r="E460" i="23"/>
  <c r="D460" i="23"/>
  <c r="G459" i="23"/>
  <c r="F459" i="23"/>
  <c r="E459" i="23"/>
  <c r="D459" i="23"/>
  <c r="H458" i="23"/>
  <c r="H457" i="23"/>
  <c r="H456" i="23"/>
  <c r="H455" i="23"/>
  <c r="H454" i="23"/>
  <c r="H453" i="23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Q388" i="23" a="1"/>
  <c r="Q388" i="23" s="1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Q323" i="23" a="1"/>
  <c r="Q323" i="23" s="1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Q258" i="23" a="1"/>
  <c r="Q258" i="23" s="1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Q193" i="23" a="1"/>
  <c r="Q193" i="23" s="1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Q128" i="23" a="1"/>
  <c r="Q128" i="23" s="1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Q63" i="23" a="1"/>
  <c r="Q63" i="23" s="1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G704" i="21"/>
  <c r="F704" i="21"/>
  <c r="E704" i="21"/>
  <c r="D704" i="21"/>
  <c r="G703" i="21"/>
  <c r="F703" i="21"/>
  <c r="E703" i="21"/>
  <c r="D703" i="21"/>
  <c r="G702" i="21"/>
  <c r="F702" i="21"/>
  <c r="E702" i="21"/>
  <c r="D702" i="21"/>
  <c r="G701" i="21"/>
  <c r="F701" i="21"/>
  <c r="E701" i="21"/>
  <c r="D701" i="21"/>
  <c r="G700" i="21"/>
  <c r="F700" i="21"/>
  <c r="E700" i="21"/>
  <c r="D700" i="21"/>
  <c r="G699" i="21"/>
  <c r="F699" i="21"/>
  <c r="E699" i="21"/>
  <c r="D699" i="21"/>
  <c r="G698" i="21"/>
  <c r="F698" i="21"/>
  <c r="E698" i="21"/>
  <c r="D698" i="21"/>
  <c r="G697" i="21"/>
  <c r="F697" i="21"/>
  <c r="E697" i="21"/>
  <c r="D697" i="21"/>
  <c r="G696" i="21"/>
  <c r="F696" i="21"/>
  <c r="E696" i="21"/>
  <c r="D696" i="21"/>
  <c r="G695" i="21"/>
  <c r="F695" i="21"/>
  <c r="E695" i="21"/>
  <c r="D695" i="21"/>
  <c r="G694" i="21"/>
  <c r="F694" i="21"/>
  <c r="E694" i="21"/>
  <c r="D694" i="21"/>
  <c r="G693" i="21"/>
  <c r="F693" i="21"/>
  <c r="E693" i="21"/>
  <c r="D693" i="21"/>
  <c r="G692" i="21"/>
  <c r="F692" i="21"/>
  <c r="E692" i="21"/>
  <c r="D692" i="21"/>
  <c r="G691" i="21"/>
  <c r="F691" i="21"/>
  <c r="D691" i="21"/>
  <c r="G690" i="21"/>
  <c r="F690" i="21"/>
  <c r="D690" i="21"/>
  <c r="G669" i="21"/>
  <c r="F669" i="21"/>
  <c r="E669" i="21"/>
  <c r="D669" i="21"/>
  <c r="G668" i="21"/>
  <c r="F668" i="21"/>
  <c r="E668" i="21"/>
  <c r="D668" i="21"/>
  <c r="G667" i="21"/>
  <c r="F667" i="21"/>
  <c r="E667" i="21"/>
  <c r="D667" i="21"/>
  <c r="G666" i="21"/>
  <c r="F666" i="21"/>
  <c r="E666" i="21"/>
  <c r="D666" i="21"/>
  <c r="G665" i="21"/>
  <c r="F665" i="21"/>
  <c r="E665" i="21"/>
  <c r="D665" i="21"/>
  <c r="G664" i="21"/>
  <c r="F664" i="21"/>
  <c r="E664" i="21"/>
  <c r="D664" i="21"/>
  <c r="G663" i="21"/>
  <c r="F663" i="21"/>
  <c r="E663" i="21"/>
  <c r="D663" i="21"/>
  <c r="G662" i="21"/>
  <c r="F662" i="21"/>
  <c r="E662" i="21"/>
  <c r="D662" i="21"/>
  <c r="G661" i="21"/>
  <c r="F661" i="21"/>
  <c r="E661" i="21"/>
  <c r="D661" i="21"/>
  <c r="G660" i="21"/>
  <c r="F660" i="21"/>
  <c r="E660" i="21"/>
  <c r="D660" i="21"/>
  <c r="G659" i="21"/>
  <c r="F659" i="21"/>
  <c r="E659" i="21"/>
  <c r="D659" i="21"/>
  <c r="G658" i="21"/>
  <c r="F658" i="21"/>
  <c r="E658" i="21"/>
  <c r="D658" i="21"/>
  <c r="G657" i="21"/>
  <c r="F657" i="21"/>
  <c r="E657" i="21"/>
  <c r="D657" i="21"/>
  <c r="G656" i="21"/>
  <c r="F656" i="21"/>
  <c r="E656" i="21"/>
  <c r="D656" i="21"/>
  <c r="G655" i="21"/>
  <c r="F655" i="21"/>
  <c r="E655" i="21"/>
  <c r="D655" i="21"/>
  <c r="G654" i="21"/>
  <c r="F654" i="21"/>
  <c r="E654" i="21"/>
  <c r="D654" i="21"/>
  <c r="G653" i="21"/>
  <c r="F653" i="21"/>
  <c r="E653" i="21"/>
  <c r="D653" i="21"/>
  <c r="G652" i="21"/>
  <c r="F652" i="21"/>
  <c r="E652" i="21"/>
  <c r="D652" i="21"/>
  <c r="G651" i="21"/>
  <c r="F651" i="21"/>
  <c r="E651" i="21"/>
  <c r="D651" i="21"/>
  <c r="G650" i="21"/>
  <c r="F650" i="21"/>
  <c r="E650" i="21"/>
  <c r="D650" i="21"/>
  <c r="G649" i="21"/>
  <c r="F649" i="21"/>
  <c r="E649" i="21"/>
  <c r="D649" i="21"/>
  <c r="G648" i="21"/>
  <c r="F648" i="21"/>
  <c r="E648" i="21"/>
  <c r="D648" i="21"/>
  <c r="G647" i="21"/>
  <c r="F647" i="21"/>
  <c r="E647" i="21"/>
  <c r="D647" i="21"/>
  <c r="G646" i="21"/>
  <c r="F646" i="21"/>
  <c r="E646" i="21"/>
  <c r="D646" i="21"/>
  <c r="G645" i="21"/>
  <c r="F645" i="21"/>
  <c r="E645" i="21"/>
  <c r="D645" i="21"/>
  <c r="G644" i="21"/>
  <c r="F644" i="21"/>
  <c r="E644" i="21"/>
  <c r="D644" i="21"/>
  <c r="G643" i="21"/>
  <c r="F643" i="21"/>
  <c r="E643" i="21"/>
  <c r="D643" i="21"/>
  <c r="G642" i="21"/>
  <c r="F642" i="21"/>
  <c r="E642" i="21"/>
  <c r="D642" i="21"/>
  <c r="G641" i="21"/>
  <c r="F641" i="21"/>
  <c r="E641" i="21"/>
  <c r="D641" i="21"/>
  <c r="G640" i="21"/>
  <c r="F640" i="21"/>
  <c r="E640" i="21"/>
  <c r="D640" i="21"/>
  <c r="G639" i="21"/>
  <c r="F639" i="21"/>
  <c r="E639" i="21"/>
  <c r="D639" i="21"/>
  <c r="G638" i="21"/>
  <c r="F638" i="21"/>
  <c r="E638" i="21"/>
  <c r="D638" i="21"/>
  <c r="G637" i="21"/>
  <c r="F637" i="21"/>
  <c r="E637" i="21"/>
  <c r="D637" i="21"/>
  <c r="G636" i="21"/>
  <c r="F636" i="21"/>
  <c r="E636" i="21"/>
  <c r="D636" i="21"/>
  <c r="G635" i="21"/>
  <c r="F635" i="21"/>
  <c r="E635" i="21"/>
  <c r="D635" i="21"/>
  <c r="G634" i="21"/>
  <c r="F634" i="21"/>
  <c r="E634" i="21"/>
  <c r="D634" i="21"/>
  <c r="G633" i="21"/>
  <c r="F633" i="21"/>
  <c r="E633" i="21"/>
  <c r="D633" i="21"/>
  <c r="G632" i="21"/>
  <c r="F632" i="21"/>
  <c r="E632" i="21"/>
  <c r="D632" i="21"/>
  <c r="G631" i="21"/>
  <c r="F631" i="21"/>
  <c r="E631" i="21"/>
  <c r="D631" i="21"/>
  <c r="G630" i="21"/>
  <c r="F630" i="21"/>
  <c r="E630" i="21"/>
  <c r="D630" i="21"/>
  <c r="G629" i="21"/>
  <c r="F629" i="21"/>
  <c r="E629" i="21"/>
  <c r="D629" i="21"/>
  <c r="G628" i="21"/>
  <c r="F628" i="21"/>
  <c r="E628" i="21"/>
  <c r="D628" i="21"/>
  <c r="G627" i="21"/>
  <c r="F627" i="21"/>
  <c r="E627" i="21"/>
  <c r="D627" i="21"/>
  <c r="G626" i="21"/>
  <c r="F626" i="21"/>
  <c r="E626" i="21"/>
  <c r="D626" i="21"/>
  <c r="G625" i="21"/>
  <c r="F625" i="21"/>
  <c r="E625" i="21"/>
  <c r="D625" i="21"/>
  <c r="G624" i="21"/>
  <c r="F624" i="21"/>
  <c r="E624" i="21"/>
  <c r="D624" i="21"/>
  <c r="G623" i="21"/>
  <c r="F623" i="21"/>
  <c r="E623" i="21"/>
  <c r="D623" i="21"/>
  <c r="G622" i="21"/>
  <c r="F622" i="21"/>
  <c r="E622" i="21"/>
  <c r="D622" i="21"/>
  <c r="G621" i="21"/>
  <c r="F621" i="21"/>
  <c r="E621" i="21"/>
  <c r="D621" i="21"/>
  <c r="G620" i="21"/>
  <c r="F620" i="21"/>
  <c r="E620" i="21"/>
  <c r="D620" i="21"/>
  <c r="H616" i="21"/>
  <c r="H615" i="21"/>
  <c r="H614" i="21"/>
  <c r="H613" i="21"/>
  <c r="H612" i="21"/>
  <c r="H611" i="21"/>
  <c r="H610" i="21"/>
  <c r="H609" i="21"/>
  <c r="H608" i="21"/>
  <c r="H607" i="21"/>
  <c r="H606" i="21"/>
  <c r="H605" i="21"/>
  <c r="H604" i="21"/>
  <c r="H603" i="21"/>
  <c r="H602" i="21"/>
  <c r="H581" i="21"/>
  <c r="H580" i="21"/>
  <c r="H579" i="21"/>
  <c r="H578" i="21"/>
  <c r="H577" i="21"/>
  <c r="H576" i="21"/>
  <c r="H575" i="21"/>
  <c r="H574" i="21"/>
  <c r="H573" i="21"/>
  <c r="H572" i="21"/>
  <c r="H571" i="21"/>
  <c r="H570" i="21"/>
  <c r="H569" i="21"/>
  <c r="H568" i="21"/>
  <c r="H567" i="21"/>
  <c r="H566" i="21"/>
  <c r="H565" i="21"/>
  <c r="H564" i="21"/>
  <c r="H563" i="21"/>
  <c r="H562" i="21"/>
  <c r="H561" i="21"/>
  <c r="H560" i="21"/>
  <c r="H559" i="21"/>
  <c r="H558" i="21"/>
  <c r="H557" i="21"/>
  <c r="H556" i="21"/>
  <c r="H555" i="21"/>
  <c r="H554" i="21"/>
  <c r="H553" i="21"/>
  <c r="H552" i="21"/>
  <c r="H551" i="21"/>
  <c r="H550" i="21"/>
  <c r="H549" i="21"/>
  <c r="H548" i="21"/>
  <c r="H547" i="21"/>
  <c r="H546" i="21"/>
  <c r="H545" i="21"/>
  <c r="H544" i="21"/>
  <c r="H543" i="21"/>
  <c r="H542" i="21"/>
  <c r="H541" i="21"/>
  <c r="H540" i="21"/>
  <c r="H539" i="21"/>
  <c r="H538" i="21"/>
  <c r="H537" i="21"/>
  <c r="H536" i="21"/>
  <c r="H535" i="21"/>
  <c r="H528" i="21"/>
  <c r="H527" i="21"/>
  <c r="H526" i="21"/>
  <c r="H525" i="21"/>
  <c r="H524" i="21"/>
  <c r="Q523" i="21" a="1"/>
  <c r="Q523" i="21" s="1"/>
  <c r="H523" i="21"/>
  <c r="H522" i="21"/>
  <c r="H521" i="21"/>
  <c r="H520" i="21"/>
  <c r="H519" i="21"/>
  <c r="H518" i="21"/>
  <c r="H517" i="21"/>
  <c r="H516" i="21"/>
  <c r="H515" i="21"/>
  <c r="H514" i="21"/>
  <c r="H493" i="21"/>
  <c r="H492" i="21"/>
  <c r="H491" i="21"/>
  <c r="H490" i="21"/>
  <c r="H489" i="21"/>
  <c r="H488" i="21"/>
  <c r="H487" i="21"/>
  <c r="H486" i="21"/>
  <c r="H485" i="21"/>
  <c r="H484" i="21"/>
  <c r="H483" i="21"/>
  <c r="H482" i="21"/>
  <c r="H481" i="21"/>
  <c r="H480" i="21"/>
  <c r="H479" i="21"/>
  <c r="H478" i="21"/>
  <c r="H477" i="21"/>
  <c r="H476" i="21"/>
  <c r="H475" i="21"/>
  <c r="H474" i="21"/>
  <c r="H473" i="21"/>
  <c r="H472" i="21"/>
  <c r="H471" i="21"/>
  <c r="H470" i="21"/>
  <c r="H469" i="21"/>
  <c r="H468" i="21"/>
  <c r="H467" i="21"/>
  <c r="H466" i="21"/>
  <c r="H465" i="21"/>
  <c r="H464" i="21"/>
  <c r="H463" i="21"/>
  <c r="H462" i="21"/>
  <c r="H461" i="21"/>
  <c r="H460" i="21"/>
  <c r="H459" i="21"/>
  <c r="H458" i="21"/>
  <c r="H457" i="21"/>
  <c r="H456" i="21"/>
  <c r="H455" i="21"/>
  <c r="H454" i="21"/>
  <c r="H453" i="21"/>
  <c r="H452" i="21"/>
  <c r="H451" i="21"/>
  <c r="H450" i="21"/>
  <c r="H449" i="21"/>
  <c r="H448" i="21"/>
  <c r="H447" i="21"/>
  <c r="H446" i="21"/>
  <c r="H445" i="21"/>
  <c r="H444" i="21"/>
  <c r="H440" i="21"/>
  <c r="H439" i="21"/>
  <c r="H438" i="21"/>
  <c r="H437" i="21"/>
  <c r="H436" i="21"/>
  <c r="Q435" i="21" a="1"/>
  <c r="Q435" i="21" s="1"/>
  <c r="H435" i="21"/>
  <c r="H434" i="21"/>
  <c r="H433" i="21"/>
  <c r="H432" i="21"/>
  <c r="H431" i="21"/>
  <c r="H430" i="21"/>
  <c r="H429" i="21"/>
  <c r="H428" i="21"/>
  <c r="H427" i="21"/>
  <c r="H42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2" i="21"/>
  <c r="H351" i="21"/>
  <c r="H350" i="21"/>
  <c r="H349" i="21"/>
  <c r="H348" i="21"/>
  <c r="Q347" i="21" a="1"/>
  <c r="Q347" i="21" s="1"/>
  <c r="H347" i="21"/>
  <c r="H346" i="21"/>
  <c r="H345" i="21"/>
  <c r="H344" i="21"/>
  <c r="H343" i="21"/>
  <c r="H342" i="21"/>
  <c r="H341" i="21"/>
  <c r="H340" i="21"/>
  <c r="H339" i="21"/>
  <c r="H33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4" i="21"/>
  <c r="H263" i="21"/>
  <c r="H262" i="21"/>
  <c r="H261" i="21"/>
  <c r="H260" i="21"/>
  <c r="Q259" i="21" a="1"/>
  <c r="Q259" i="21" s="1"/>
  <c r="H259" i="21"/>
  <c r="H258" i="21"/>
  <c r="H257" i="21"/>
  <c r="H256" i="21"/>
  <c r="H255" i="21"/>
  <c r="H254" i="21"/>
  <c r="H253" i="21"/>
  <c r="H252" i="21"/>
  <c r="H251" i="21"/>
  <c r="H25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6" i="21"/>
  <c r="H175" i="21"/>
  <c r="H174" i="21"/>
  <c r="H173" i="21"/>
  <c r="H172" i="21"/>
  <c r="Q171" i="21" a="1"/>
  <c r="Q171" i="21" s="1"/>
  <c r="H171" i="21"/>
  <c r="H170" i="21"/>
  <c r="H169" i="21"/>
  <c r="H168" i="21"/>
  <c r="H167" i="21"/>
  <c r="H166" i="21"/>
  <c r="H165" i="21"/>
  <c r="H164" i="21"/>
  <c r="H163" i="21"/>
  <c r="H16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88" i="21"/>
  <c r="H87" i="21"/>
  <c r="H86" i="21"/>
  <c r="H85" i="21"/>
  <c r="H84" i="21"/>
  <c r="Q83" i="21" a="1"/>
  <c r="Q83" i="21" s="1"/>
  <c r="H83" i="21"/>
  <c r="H82" i="21"/>
  <c r="H81" i="21"/>
  <c r="H80" i="21"/>
  <c r="H79" i="21"/>
  <c r="H78" i="21"/>
  <c r="H77" i="21"/>
  <c r="H76" i="21"/>
  <c r="H75" i="21"/>
  <c r="H7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M1148" i="25" l="1"/>
  <c r="N1148" i="25" s="1"/>
  <c r="I670" i="21"/>
  <c r="J670" i="21" s="1"/>
  <c r="I672" i="21"/>
  <c r="J672" i="21" s="1"/>
  <c r="I674" i="21"/>
  <c r="J674" i="21" s="1"/>
  <c r="I676" i="21"/>
  <c r="J676" i="21" s="1"/>
  <c r="I678" i="21"/>
  <c r="J678" i="21" s="1"/>
  <c r="I680" i="21"/>
  <c r="J680" i="21" s="1"/>
  <c r="I693" i="21"/>
  <c r="J693" i="21" s="1"/>
  <c r="I695" i="21"/>
  <c r="J695" i="21" s="1"/>
  <c r="I697" i="21"/>
  <c r="J697" i="21" s="1"/>
  <c r="I699" i="21"/>
  <c r="J699" i="21" s="1"/>
  <c r="I701" i="21"/>
  <c r="J701" i="21" s="1"/>
  <c r="I703" i="21"/>
  <c r="J703" i="21" s="1"/>
  <c r="I620" i="21"/>
  <c r="J620" i="21" s="1"/>
  <c r="I622" i="21"/>
  <c r="J622" i="21" s="1"/>
  <c r="I624" i="21"/>
  <c r="J624" i="21" s="1"/>
  <c r="I626" i="21"/>
  <c r="J626" i="21" s="1"/>
  <c r="I628" i="21"/>
  <c r="J628" i="21" s="1"/>
  <c r="I630" i="21"/>
  <c r="J630" i="21" s="1"/>
  <c r="I632" i="21"/>
  <c r="J632" i="21" s="1"/>
  <c r="I634" i="21"/>
  <c r="J634" i="21" s="1"/>
  <c r="I636" i="21"/>
  <c r="J636" i="21" s="1"/>
  <c r="I638" i="21"/>
  <c r="J638" i="21" s="1"/>
  <c r="I640" i="21"/>
  <c r="J640" i="21" s="1"/>
  <c r="I642" i="21"/>
  <c r="J642" i="21" s="1"/>
  <c r="I644" i="21"/>
  <c r="J644" i="21" s="1"/>
  <c r="I646" i="21"/>
  <c r="J646" i="21" s="1"/>
  <c r="I648" i="21"/>
  <c r="J648" i="21" s="1"/>
  <c r="I650" i="21"/>
  <c r="J650" i="21" s="1"/>
  <c r="I652" i="21"/>
  <c r="J652" i="21" s="1"/>
  <c r="I654" i="21"/>
  <c r="J654" i="21" s="1"/>
  <c r="I656" i="21"/>
  <c r="J656" i="21" s="1"/>
  <c r="I658" i="21"/>
  <c r="J658" i="21" s="1"/>
  <c r="I660" i="21"/>
  <c r="J660" i="21" s="1"/>
  <c r="I662" i="21"/>
  <c r="J662" i="21" s="1"/>
  <c r="I664" i="21"/>
  <c r="J664" i="21" s="1"/>
  <c r="I666" i="21"/>
  <c r="J666" i="21" s="1"/>
  <c r="I668" i="21"/>
  <c r="J668" i="21" s="1"/>
  <c r="I690" i="21"/>
  <c r="J690" i="21" s="1"/>
  <c r="H682" i="21"/>
  <c r="I682" i="21"/>
  <c r="J682" i="21" s="1"/>
  <c r="H684" i="21"/>
  <c r="I684" i="21"/>
  <c r="J684" i="21" s="1"/>
  <c r="I686" i="21"/>
  <c r="J686" i="21" s="1"/>
  <c r="H688" i="21"/>
  <c r="I688" i="21"/>
  <c r="J688" i="21" s="1"/>
  <c r="I691" i="21"/>
  <c r="J691" i="21" s="1"/>
  <c r="H680" i="21"/>
  <c r="H681" i="21"/>
  <c r="H685" i="21"/>
  <c r="H686" i="21"/>
  <c r="H683" i="21"/>
  <c r="H687" i="21"/>
  <c r="H689" i="21"/>
  <c r="I692" i="21"/>
  <c r="J692" i="21" s="1"/>
  <c r="I694" i="21"/>
  <c r="J694" i="21" s="1"/>
  <c r="I696" i="21"/>
  <c r="J696" i="21" s="1"/>
  <c r="I698" i="21"/>
  <c r="J698" i="21" s="1"/>
  <c r="I700" i="21"/>
  <c r="J700" i="21" s="1"/>
  <c r="I702" i="21"/>
  <c r="J702" i="21" s="1"/>
  <c r="I704" i="21"/>
  <c r="J704" i="21" s="1"/>
  <c r="L1148" i="25"/>
  <c r="L1149" i="25"/>
  <c r="H671" i="21"/>
  <c r="H675" i="21"/>
  <c r="H679" i="21"/>
  <c r="H670" i="21"/>
  <c r="H674" i="21"/>
  <c r="H672" i="21"/>
  <c r="H676" i="21"/>
  <c r="H677" i="21"/>
  <c r="H678" i="21"/>
  <c r="H673" i="21"/>
  <c r="H499" i="23"/>
  <c r="H518" i="23"/>
  <c r="H517" i="23"/>
  <c r="H515" i="23"/>
  <c r="H511" i="23"/>
  <c r="H509" i="23"/>
  <c r="H513" i="23"/>
  <c r="H510" i="23"/>
  <c r="H501" i="23"/>
  <c r="H505" i="23"/>
  <c r="H504" i="23"/>
  <c r="H476" i="23"/>
  <c r="H475" i="23"/>
  <c r="H469" i="23"/>
  <c r="H473" i="23"/>
  <c r="H477" i="23"/>
  <c r="H472" i="23"/>
  <c r="H489" i="23"/>
  <c r="H493" i="23"/>
  <c r="H497" i="23"/>
  <c r="H494" i="23"/>
  <c r="H491" i="23"/>
  <c r="H495" i="23"/>
  <c r="H498" i="23"/>
  <c r="H481" i="23"/>
  <c r="H485" i="23"/>
  <c r="H486" i="23"/>
  <c r="H479" i="23"/>
  <c r="H483" i="23"/>
  <c r="H487" i="23"/>
  <c r="H488" i="23"/>
  <c r="H482" i="23"/>
  <c r="H521" i="23"/>
  <c r="H519" i="23"/>
  <c r="H523" i="23"/>
  <c r="H461" i="23"/>
  <c r="H465" i="23"/>
  <c r="H462" i="23"/>
  <c r="H459" i="23"/>
  <c r="H463" i="23"/>
  <c r="H467" i="23"/>
  <c r="H466" i="23"/>
  <c r="H460" i="23"/>
  <c r="H520" i="23"/>
  <c r="H471" i="23"/>
  <c r="H464" i="23"/>
  <c r="H490" i="23"/>
  <c r="H468" i="23"/>
  <c r="H502" i="23"/>
  <c r="H480" i="23"/>
  <c r="H506" i="23"/>
  <c r="H484" i="23"/>
  <c r="H492" i="23"/>
  <c r="H496" i="23"/>
  <c r="H522" i="23"/>
  <c r="H470" i="23"/>
  <c r="H500" i="23"/>
  <c r="H508" i="23"/>
  <c r="H478" i="23"/>
  <c r="H474" i="23"/>
  <c r="H512" i="23"/>
  <c r="H622" i="21"/>
  <c r="H626" i="21"/>
  <c r="H620" i="21"/>
  <c r="H624" i="21"/>
  <c r="H628" i="21"/>
  <c r="H621" i="21"/>
  <c r="H625" i="21"/>
  <c r="H629" i="21"/>
  <c r="H630" i="21"/>
  <c r="H634" i="21"/>
  <c r="H638" i="21"/>
  <c r="H632" i="21"/>
  <c r="H636" i="21"/>
  <c r="H641" i="21"/>
  <c r="H645" i="21"/>
  <c r="H646" i="21"/>
  <c r="H647" i="21"/>
  <c r="H640" i="21"/>
  <c r="H644" i="21"/>
  <c r="H648" i="21"/>
  <c r="H695" i="21"/>
  <c r="H696" i="21"/>
  <c r="H697" i="21"/>
  <c r="H698" i="21"/>
  <c r="H691" i="21"/>
  <c r="H693" i="21"/>
  <c r="H690" i="21"/>
  <c r="H692" i="21"/>
  <c r="H703" i="21"/>
  <c r="H701" i="21"/>
  <c r="H702" i="21"/>
  <c r="H700" i="21"/>
  <c r="H660" i="21"/>
  <c r="H664" i="21"/>
  <c r="H668" i="21"/>
  <c r="H662" i="21"/>
  <c r="H666" i="21"/>
  <c r="H663" i="21"/>
  <c r="H667" i="21"/>
  <c r="H655" i="21"/>
  <c r="H659" i="21"/>
  <c r="H651" i="21"/>
  <c r="H652" i="21"/>
  <c r="H650" i="21"/>
  <c r="H658" i="21"/>
  <c r="H656" i="21"/>
  <c r="H639" i="21"/>
  <c r="H631" i="21"/>
  <c r="H642" i="21"/>
  <c r="H704" i="21"/>
  <c r="H665" i="21"/>
  <c r="H654" i="21"/>
  <c r="H643" i="21"/>
  <c r="H694" i="21"/>
  <c r="H637" i="21"/>
  <c r="H633" i="21"/>
  <c r="H699" i="21"/>
  <c r="H653" i="21"/>
  <c r="H649" i="21"/>
  <c r="H623" i="21"/>
  <c r="H627" i="21"/>
  <c r="H657" i="21"/>
  <c r="H661" i="21"/>
  <c r="H635" i="21"/>
  <c r="H669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<sst xmlns="http://schemas.openxmlformats.org/spreadsheetml/2006/main" count="4304" uniqueCount="65">
  <si>
    <t>XL Toolbox Settings</t>
  </si>
  <si>
    <t>export_preset</t>
  </si>
  <si>
    <t>&lt;?xml version="1.0" encoding="utf-16"?&gt;_x000D_
&lt;Preset xmlns:xsd="http://www.w3.org/2001/XMLSchema" xmlns:xsi="http://www.w3.org/2001/XMLSchema-instance"&gt;_x000D_
  &lt;Name&gt;Png, 300 dpi, RGB, Transparent canvas&lt;/Name&gt;_x000D_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&lt;ColorProfile&gt;Dell_Inspiron_16_7610_UHD_AUOC99E&lt;/ColorProfile&gt;_x000D_
&lt;/Preset&gt;</t>
  </si>
  <si>
    <t>export_path</t>
  </si>
  <si>
    <t>C:\Users\miche\Downloads\SSIM_cor_versus_horizon_v6.png</t>
  </si>
  <si>
    <t>XLToolbox.Export.Models.BatchExportSettings</t>
  </si>
  <si>
    <t>&lt;?xml version="1.0" encoding="utf-16"?&gt;_x000D_
&lt;BatchExportSettings xmlns:xsd="http://www.w3.org/2001/XMLSchema" xmlns:xsi="http://www.w3.org/2001/XMLSchema-instance"&gt;_x000D_
  &lt;Preset&gt;_x000D_
    &lt;Name&gt;Png, 300 dpi, RGB, Transparent canvas&lt;/Name&gt;_x000D_
    &lt;Dpi&gt;300&lt;/Dpi&gt;_x000D_
    &lt;FileType&gt;Png&lt;/FileType&gt;_x000D_
    &lt;ColorSpace&gt;Rgb&lt;/ColorSpace&gt;_x000D_
    &lt;Transparency&gt;TransparentCanvas&lt;/Transparency&gt;_x000D_
    &lt;UseColorProfile&gt;false&lt;/UseColorProfile&gt;_x000D_
    &lt;ColorProfile&gt;Dell_Inspiron_16_7610_UHD_AUOC99E&lt;/ColorProfile&gt;_x000D_
  &lt;/Preset&gt;_x000D_
  &lt;FileName&gt;{workbook}_{worksheet}_{index}&lt;/FileName&gt;_x000D_
  &lt;Scope&gt;ActiveSheet&lt;/Scope&gt;_x000D_
  &lt;Objects&gt;Charts&lt;/Objects&gt;_x000D_
  &lt;Layout&gt;SingleItems&lt;/Layout&gt;_x000D_
  &lt;Path&gt;C:\Users\miche\Downloads&lt;/Path&gt;_x000D_
  &lt;Screenshot&gt;false&lt;/Screenshot&gt;_x000D_
&lt;/BatchExportSettings&gt;</t>
  </si>
  <si>
    <t>New run on 14/04/2024 including ROI evaluation</t>
  </si>
  <si>
    <t>I want to double check my copy-paste</t>
  </si>
  <si>
    <t>Sequence index (in the paper)</t>
  </si>
  <si>
    <t>eta in [0.005, 0.01, 0.015, 0.02]</t>
  </si>
  <si>
    <t>Paper version!</t>
  </si>
  <si>
    <t>Sequence name</t>
  </si>
  <si>
    <t>2. sq sl010 sag Xcs=125</t>
  </si>
  <si>
    <t>3. sq sl010 sag Xcs=80</t>
  </si>
  <si>
    <t>4. sq sl014 sag Xcs=165</t>
  </si>
  <si>
    <t>5. sq sl014 sag Xcs=95</t>
  </si>
  <si>
    <t>Evaluation in the whole image</t>
  </si>
  <si>
    <t>Characteristics</t>
  </si>
  <si>
    <t>contains cardiac motion</t>
  </si>
  <si>
    <t>Horizon (s)</t>
  </si>
  <si>
    <t>RNN with RTRL</t>
  </si>
  <si>
    <t>cross-correlation</t>
  </si>
  <si>
    <t>cross-correlation confidence</t>
  </si>
  <si>
    <t>nRMSE</t>
  </si>
  <si>
    <t>nRMSE confidence</t>
  </si>
  <si>
    <t>SSIM</t>
  </si>
  <si>
    <t>SSIM confidence</t>
  </si>
  <si>
    <t>mean DVF error</t>
  </si>
  <si>
    <t>mean DVF error confidence</t>
  </si>
  <si>
    <t>max DVF error</t>
  </si>
  <si>
    <t>max DVF error confidence</t>
  </si>
  <si>
    <t>RNN with UORO</t>
  </si>
  <si>
    <t>RNN with SnAp1</t>
  </si>
  <si>
    <t>RNN with DNI</t>
  </si>
  <si>
    <t>RNN with fixed W</t>
  </si>
  <si>
    <t>Linear prediction</t>
  </si>
  <si>
    <t>No prediction</t>
  </si>
  <si>
    <t>sigma</t>
  </si>
  <si>
    <t>multivariate LMS</t>
  </si>
  <si>
    <t>Average over all horizons</t>
  </si>
  <si>
    <t>Horizons value (s)</t>
  </si>
  <si>
    <t>Black and white</t>
  </si>
  <si>
    <t>Without error bars</t>
  </si>
  <si>
    <t>With error bars</t>
  </si>
  <si>
    <t>sequence-specific transformer</t>
  </si>
  <si>
    <t>population transformer</t>
  </si>
  <si>
    <t>original DVF</t>
  </si>
  <si>
    <t>2020-11-10_KS81_Nav_Pur_1</t>
  </si>
  <si>
    <t>2020-11-12_QN76_Nav_Pur_1</t>
  </si>
  <si>
    <t>2020-11-17_CS31_Nav_Pur_2</t>
  </si>
  <si>
    <t>2020-11-17_JY02_Nav_Pur_2</t>
  </si>
  <si>
    <t>2020-11-23_ON65_Nav_Pur_2</t>
  </si>
  <si>
    <t>2020-11-23_PS11_Nav_Pur_1</t>
  </si>
  <si>
    <t>2020-11-25_II29_Nav_Pur_1</t>
  </si>
  <si>
    <t>2020-11-26_NE38_Nav_Pur_1</t>
  </si>
  <si>
    <t>Average for all sequences - to correct because the 1/COUNT needs to be inside SQRT()</t>
  </si>
  <si>
    <t>Confidence interval percentage</t>
  </si>
  <si>
    <t>Two-tailed critical t-value</t>
  </si>
  <si>
    <t>Standard error</t>
  </si>
  <si>
    <t>Confidence range half width (using sample mean as single point)</t>
  </si>
  <si>
    <t>Previous image as prediction</t>
  </si>
  <si>
    <t>No prediction (lastest PCA weight)</t>
  </si>
  <si>
    <t>Trying to add confidence error bars for linear regression - that would not work</t>
  </si>
  <si>
    <t>Trying to add confidence error bars for linear regression - that would not work, even if that's better than for the ETH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</si>
</sst>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2" borderId="1"/>
    <xf numFmtId="0" fontId="1" fillId="3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1" xfId="1"/>
    <xf numFmtId="0" fontId="1" fillId="2" borderId="1" xfId="1" applyAlignment="1">
      <alignment wrapText="1"/>
    </xf>
    <xf numFmtId="0" fontId="2" fillId="2" borderId="1" xfId="1" applyFont="1"/>
    <xf numFmtId="0" fontId="1" fillId="2" borderId="6" xfId="1" applyBorder="1" applyAlignment="1">
      <alignment wrapText="1"/>
    </xf>
    <xf numFmtId="0" fontId="1" fillId="2" borderId="7" xfId="1" applyBorder="1"/>
    <xf numFmtId="0" fontId="1" fillId="2" borderId="4" xfId="1" applyBorder="1"/>
    <xf numFmtId="0" fontId="1" fillId="2" borderId="5" xfId="1" applyBorder="1" applyAlignment="1">
      <alignment horizontal="center"/>
    </xf>
    <xf numFmtId="0" fontId="1" fillId="2" borderId="2" xfId="1" applyBorder="1" applyAlignment="1">
      <alignment horizontal="right"/>
    </xf>
    <xf numFmtId="0" fontId="1" fillId="2" borderId="5" xfId="1" applyBorder="1" applyAlignment="1">
      <alignment horizontal="left" wrapText="1"/>
    </xf>
    <xf numFmtId="0" fontId="1" fillId="2" borderId="7" xfId="1" applyBorder="1" applyAlignment="1">
      <alignment horizontal="left" wrapText="1"/>
    </xf>
    <xf numFmtId="0" fontId="1" fillId="2" borderId="1" xfId="1" applyAlignment="1">
      <alignment horizontal="left" wrapText="1"/>
    </xf>
    <xf numFmtId="0" fontId="1" fillId="2" borderId="2" xfId="1" applyBorder="1" applyAlignment="1">
      <alignment horizontal="center" wrapText="1"/>
    </xf>
    <xf numFmtId="0" fontId="1" fillId="2" borderId="3" xfId="1" applyBorder="1" applyAlignment="1">
      <alignment horizontal="center" wrapText="1"/>
    </xf>
    <xf numFmtId="0" fontId="1" fillId="2" borderId="4" xfId="1" applyBorder="1" applyAlignment="1">
      <alignment horizontal="center" wrapText="1"/>
    </xf>
    <xf numFmtId="0" fontId="1" fillId="2" borderId="1" xfId="1"/>
  </cellXfs>
  <cellStyles count="3">
    <cellStyle name="Black background" xfId="1" xr:uid="{BD8813AA-B76F-4147-9758-FD2302CBF707}"/>
    <cellStyle name="Normal" xfId="0" builtinId="0"/>
    <cellStyle name="スタイル 1" xfId="2" xr:uid="{36DD855D-4739-48DB-9799-F11210E2A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2700" cap="rnd">
              <a:solidFill>
                <a:srgbClr val="00000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ROI'!$H$8,'qmax=110 eta in 0.002, 0.02 ROI'!$H$73,'qmax=110 eta in 0.002, 0.02 ROI'!$H$138,'qmax=110 eta in 0.002, 0.02 ROI'!$H$203,'qmax=110 eta in 0.002, 0.02 ROI'!$H$268,'qmax=110 eta in 0.002, 0.02 ROI'!$H$333,'qmax=110 eta in 0.002, 0.02 ROI'!$H$398)</c:f>
              <c:numCache>
                <c:formatCode>General</c:formatCode>
                <c:ptCount val="7"/>
                <c:pt idx="0">
                  <c:v>0.82031425000000002</c:v>
                </c:pt>
                <c:pt idx="1">
                  <c:v>0.81284325000000002</c:v>
                </c:pt>
                <c:pt idx="2">
                  <c:v>0.80636649999999999</c:v>
                </c:pt>
                <c:pt idx="3">
                  <c:v>0.80624874999999996</c:v>
                </c:pt>
                <c:pt idx="4">
                  <c:v>0.80199774999999995</c:v>
                </c:pt>
                <c:pt idx="5">
                  <c:v>0.80328025000000003</c:v>
                </c:pt>
                <c:pt idx="6">
                  <c:v>0.80108924999999997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7-423F-97A6-4408258E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</c:scatterChart>
      <c:scatterChart>
        <c:scatterStyle val="lineMarker"/>
        <c:varyColors val="0"/>
        <c:ser>
          <c:idx val="4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ROI'!$H$56,'qmax=110 eta in 0.002, 0.02 ROI'!$H$121,'qmax=110 eta in 0.002, 0.02 ROI'!$H$186,'qmax=110 eta in 0.002, 0.02 ROI'!$H$251,'qmax=110 eta in 0.002, 0.02 ROI'!$H$316,'qmax=110 eta in 0.002, 0.02 ROI'!$H$381,'qmax=110 eta in 0.002, 0.02 ROI'!$H$446)</c:f>
              <c:numCache>
                <c:formatCode>General</c:formatCode>
                <c:ptCount val="7"/>
                <c:pt idx="0">
                  <c:v>0.82528675000000007</c:v>
                </c:pt>
                <c:pt idx="1">
                  <c:v>0.80839250000000007</c:v>
                </c:pt>
                <c:pt idx="2">
                  <c:v>0.79694374999999995</c:v>
                </c:pt>
                <c:pt idx="3">
                  <c:v>0.79009550000000006</c:v>
                </c:pt>
                <c:pt idx="4">
                  <c:v>0.78314300000000003</c:v>
                </c:pt>
                <c:pt idx="5">
                  <c:v>0.779976</c:v>
                </c:pt>
                <c:pt idx="6">
                  <c:v>0.77937649999999992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7-423F-97A6-4408258E2BF5}"/>
            </c:ext>
          </c:extLst>
        </c:ser>
        <c:ser>
          <c:idx val="3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ROI'!$H$61,'qmax=110 eta in 0.002, 0.02 ROI'!$H$126,'qmax=110 eta in 0.002, 0.02 ROI'!$H$191,'qmax=110 eta in 0.002, 0.02 ROI'!$H$256,'qmax=110 eta in 0.002, 0.02 ROI'!$H$321,'qmax=110 eta in 0.002, 0.02 ROI'!$H$386,'qmax=110 eta in 0.002, 0.02 ROI'!$H$451)</c:f>
              <c:numCache>
                <c:formatCode>General</c:formatCode>
                <c:ptCount val="7"/>
                <c:pt idx="0">
                  <c:v>0.77120275000000005</c:v>
                </c:pt>
                <c:pt idx="1">
                  <c:v>0.71871125000000002</c:v>
                </c:pt>
                <c:pt idx="2">
                  <c:v>0.69098874999999993</c:v>
                </c:pt>
                <c:pt idx="3">
                  <c:v>0.67424400000000007</c:v>
                </c:pt>
                <c:pt idx="4">
                  <c:v>0.68203674999999997</c:v>
                </c:pt>
                <c:pt idx="5">
                  <c:v>0.68839450000000002</c:v>
                </c:pt>
                <c:pt idx="6">
                  <c:v>0.71515550000000006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C7-423F-97A6-4408258E2BF5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ROI'!$H$66,'qmax=110 eta in 0.002, 0.02 ROI'!$H$131,'qmax=110 eta in 0.002, 0.02 ROI'!$H$196,'qmax=110 eta in 0.002, 0.02 ROI'!$H$261,'qmax=110 eta in 0.002, 0.02 ROI'!$H$326,'qmax=110 eta in 0.002, 0.02 ROI'!$H$391,'qmax=110 eta in 0.002, 0.02 ROI'!$H$456)</c:f>
              <c:numCache>
                <c:formatCode>General</c:formatCode>
                <c:ptCount val="7"/>
                <c:pt idx="0">
                  <c:v>0.82514425000000002</c:v>
                </c:pt>
                <c:pt idx="1">
                  <c:v>0.81572075000000011</c:v>
                </c:pt>
                <c:pt idx="2">
                  <c:v>0.81135325000000003</c:v>
                </c:pt>
                <c:pt idx="3">
                  <c:v>0.81218100000000004</c:v>
                </c:pt>
                <c:pt idx="4">
                  <c:v>0.80606549999999999</c:v>
                </c:pt>
                <c:pt idx="5">
                  <c:v>0.80488625000000003</c:v>
                </c:pt>
                <c:pt idx="6">
                  <c:v>0.80351700000000004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C7-423F-97A6-4408258E2BF5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ROI'!$H$18,'qmax=110 eta in 0.002, 0.02 ROI'!$H$83,'qmax=110 eta in 0.002, 0.02 ROI'!$H$148,'qmax=110 eta in 0.002, 0.02 ROI'!$H$213,'qmax=110 eta in 0.002, 0.02 ROI'!$H$278,'qmax=110 eta in 0.002, 0.02 ROI'!$H$343,'qmax=110 eta in 0.002, 0.02 ROI'!$H$408)</c:f>
              <c:numCache>
                <c:formatCode>General</c:formatCode>
                <c:ptCount val="7"/>
                <c:pt idx="0">
                  <c:v>0.80524249999999997</c:v>
                </c:pt>
                <c:pt idx="1">
                  <c:v>0.80210550000000003</c:v>
                </c:pt>
                <c:pt idx="2">
                  <c:v>0.80074999999999996</c:v>
                </c:pt>
                <c:pt idx="3">
                  <c:v>0.80065149999999996</c:v>
                </c:pt>
                <c:pt idx="4">
                  <c:v>0.80253975</c:v>
                </c:pt>
                <c:pt idx="5">
                  <c:v>0.80221399999999998</c:v>
                </c:pt>
                <c:pt idx="6">
                  <c:v>0.80210250000000005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C7-423F-97A6-4408258E2BF5}"/>
            </c:ext>
          </c:extLst>
        </c:ser>
        <c:ser>
          <c:idx val="2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ROI'!$H$28,'qmax=110 eta in 0.002, 0.02 ROI'!$H$93,'qmax=110 eta in 0.002, 0.02 ROI'!$H$158,'qmax=110 eta in 0.002, 0.02 ROI'!$H$223,'qmax=110 eta in 0.002, 0.02 ROI'!$H$288,'qmax=110 eta in 0.002, 0.02 ROI'!$H$353,'qmax=110 eta in 0.002, 0.02 ROI'!$H$418)</c:f>
              <c:numCache>
                <c:formatCode>General</c:formatCode>
                <c:ptCount val="7"/>
                <c:pt idx="0">
                  <c:v>0.82121124999999995</c:v>
                </c:pt>
                <c:pt idx="1">
                  <c:v>0.81105975000000008</c:v>
                </c:pt>
                <c:pt idx="2">
                  <c:v>0.80751925000000002</c:v>
                </c:pt>
                <c:pt idx="3">
                  <c:v>0.80583450000000001</c:v>
                </c:pt>
                <c:pt idx="4">
                  <c:v>0.80234074999999994</c:v>
                </c:pt>
                <c:pt idx="5">
                  <c:v>0.80233975000000002</c:v>
                </c:pt>
                <c:pt idx="6">
                  <c:v>0.80088300000000001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C7-423F-97A6-4408258E2BF5}"/>
            </c:ext>
          </c:extLst>
        </c:ser>
        <c:ser>
          <c:idx val="5"/>
          <c:order val="6"/>
          <c:tx>
            <c:v>RNN DNI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ROI'!$H$38,'qmax=110 eta in 0.002, 0.02 ROI'!$H$103,'qmax=110 eta in 0.002, 0.02 ROI'!$H$168,'qmax=110 eta in 0.002, 0.02 ROI'!$H$233,'qmax=110 eta in 0.002, 0.02 ROI'!$H$298,'qmax=110 eta in 0.002, 0.02 ROI'!$H$363,'qmax=110 eta in 0.002, 0.02 ROI'!$H$428)</c:f>
              <c:numCache>
                <c:formatCode>General</c:formatCode>
                <c:ptCount val="7"/>
                <c:pt idx="0">
                  <c:v>0.80776349999999997</c:v>
                </c:pt>
                <c:pt idx="1">
                  <c:v>0.80329150000000005</c:v>
                </c:pt>
                <c:pt idx="2">
                  <c:v>0.80393150000000002</c:v>
                </c:pt>
                <c:pt idx="3">
                  <c:v>0.80345149999999999</c:v>
                </c:pt>
                <c:pt idx="4">
                  <c:v>0.79627000000000003</c:v>
                </c:pt>
                <c:pt idx="5">
                  <c:v>0.79658974999999999</c:v>
                </c:pt>
                <c:pt idx="6">
                  <c:v>0.79513450000000008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C7-423F-97A6-4408258E2BF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ROI'!$H$48,'qmax=110 eta in 0.002, 0.02 ROI'!$H$113,'qmax=110 eta in 0.002, 0.02 ROI'!$H$178,'qmax=110 eta in 0.002, 0.02 ROI'!$H$243,'qmax=110 eta in 0.002, 0.02 ROI'!$H$308,'qmax=110 eta in 0.002, 0.02 ROI'!$H$373,'qmax=110 eta in 0.002, 0.02 ROI'!$H$438)</c:f>
              <c:numCache>
                <c:formatCode>General</c:formatCode>
                <c:ptCount val="7"/>
                <c:pt idx="0">
                  <c:v>0.79547066666666666</c:v>
                </c:pt>
                <c:pt idx="1">
                  <c:v>0.78393000000000013</c:v>
                </c:pt>
                <c:pt idx="2">
                  <c:v>0.78230133333333329</c:v>
                </c:pt>
                <c:pt idx="3">
                  <c:v>0.77598566666666668</c:v>
                </c:pt>
                <c:pt idx="4">
                  <c:v>0.77734866666666669</c:v>
                </c:pt>
                <c:pt idx="5">
                  <c:v>0.77524999999999988</c:v>
                </c:pt>
                <c:pt idx="6">
                  <c:v>0.77320066666666654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C7-423F-97A6-4408258E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ROI'!$H$4,'qmax=110 eta in 0.002, 0.02 ROI'!$H$69,'qmax=110 eta in 0.002, 0.02 ROI'!$H$134,'qmax=110 eta in 0.002, 0.02 ROI'!$H$199,'qmax=110 eta in 0.002, 0.02 ROI'!$H$264,'qmax=110 eta in 0.002, 0.02 ROI'!$H$329,'qmax=110 eta in 0.002, 0.02 ROI'!$H$394)</c:f>
              <c:numCache>
                <c:formatCode>General</c:formatCode>
                <c:ptCount val="7"/>
                <c:pt idx="0">
                  <c:v>0.96430824999999998</c:v>
                </c:pt>
                <c:pt idx="1">
                  <c:v>0.96081949999999994</c:v>
                </c:pt>
                <c:pt idx="2">
                  <c:v>0.95772649999999993</c:v>
                </c:pt>
                <c:pt idx="3">
                  <c:v>0.95798300000000003</c:v>
                </c:pt>
                <c:pt idx="4">
                  <c:v>0.95605224999999994</c:v>
                </c:pt>
                <c:pt idx="5">
                  <c:v>0.95682849999999997</c:v>
                </c:pt>
                <c:pt idx="6">
                  <c:v>0.95573125000000003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F-4F98-BB65-41C5D46015CB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ROI'!$H$54,'qmax=110 eta in 0.002, 0.02 ROI'!$H$119,'qmax=110 eta in 0.002, 0.02 ROI'!$H$184,'qmax=110 eta in 0.002, 0.02 ROI'!$H$249,'qmax=110 eta in 0.002, 0.02 ROI'!$H$314,'qmax=110 eta in 0.002, 0.02 ROI'!$H$379,'qmax=110 eta in 0.002, 0.02 ROI'!$H$444)</c:f>
              <c:numCache>
                <c:formatCode>General</c:formatCode>
                <c:ptCount val="7"/>
                <c:pt idx="0">
                  <c:v>0.96768725</c:v>
                </c:pt>
                <c:pt idx="1">
                  <c:v>0.96148850000000008</c:v>
                </c:pt>
                <c:pt idx="2">
                  <c:v>0.95580750000000003</c:v>
                </c:pt>
                <c:pt idx="3">
                  <c:v>0.95055349999999994</c:v>
                </c:pt>
                <c:pt idx="4">
                  <c:v>0.94661799999999996</c:v>
                </c:pt>
                <c:pt idx="5">
                  <c:v>0.94438350000000004</c:v>
                </c:pt>
                <c:pt idx="6">
                  <c:v>0.94379649999999993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EF-4F98-BB65-41C5D46015CB}"/>
            </c:ext>
          </c:extLst>
        </c:ser>
        <c:ser>
          <c:idx val="4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ROI'!$H$59,'qmax=110 eta in 0.002, 0.02 ROI'!$H$124,'qmax=110 eta in 0.002, 0.02 ROI'!$H$189,'qmax=110 eta in 0.002, 0.02 ROI'!$H$254,'qmax=110 eta in 0.002, 0.02 ROI'!$H$319,'qmax=110 eta in 0.002, 0.02 ROI'!$H$384,'qmax=110 eta in 0.002, 0.02 ROI'!$H$449)</c:f>
              <c:numCache>
                <c:formatCode>General</c:formatCode>
                <c:ptCount val="7"/>
                <c:pt idx="0">
                  <c:v>0.94453875000000009</c:v>
                </c:pt>
                <c:pt idx="1">
                  <c:v>0.91287249999999998</c:v>
                </c:pt>
                <c:pt idx="2">
                  <c:v>0.89148775000000002</c:v>
                </c:pt>
                <c:pt idx="3">
                  <c:v>0.875502</c:v>
                </c:pt>
                <c:pt idx="4">
                  <c:v>0.87337324999999999</c:v>
                </c:pt>
                <c:pt idx="5">
                  <c:v>0.87464900000000001</c:v>
                </c:pt>
                <c:pt idx="6">
                  <c:v>0.88650149999999994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EF-4F98-BB65-41C5D46015CB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ROI'!$H$64,'qmax=110 eta in 0.002, 0.02 ROI'!$H$129,'qmax=110 eta in 0.002, 0.02 ROI'!$H$194,'qmax=110 eta in 0.002, 0.02 ROI'!$H$259,'qmax=110 eta in 0.002, 0.02 ROI'!$H$324,'qmax=110 eta in 0.002, 0.02 ROI'!$H$389,'qmax=110 eta in 0.002, 0.02 ROI'!$H$454)</c:f>
              <c:numCache>
                <c:formatCode>General</c:formatCode>
                <c:ptCount val="7"/>
                <c:pt idx="0">
                  <c:v>0.96704924999999997</c:v>
                </c:pt>
                <c:pt idx="1">
                  <c:v>0.96380474999999999</c:v>
                </c:pt>
                <c:pt idx="2">
                  <c:v>0.96145999999999998</c:v>
                </c:pt>
                <c:pt idx="3">
                  <c:v>0.9609605</c:v>
                </c:pt>
                <c:pt idx="4">
                  <c:v>0.95868600000000004</c:v>
                </c:pt>
                <c:pt idx="5">
                  <c:v>0.958785</c:v>
                </c:pt>
                <c:pt idx="6">
                  <c:v>0.95764774999999991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EF-4F98-BB65-41C5D46015CB}"/>
            </c:ext>
          </c:extLst>
        </c:ser>
        <c:ser>
          <c:idx val="2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ROI'!$H$14,'qmax=110 eta in 0.002, 0.02 ROI'!$H$79,'qmax=110 eta in 0.002, 0.02 ROI'!$H$144,'qmax=110 eta in 0.002, 0.02 ROI'!$H$209,'qmax=110 eta in 0.002, 0.02 ROI'!$H$274,'qmax=110 eta in 0.002, 0.02 ROI'!$H$339,'qmax=110 eta in 0.002, 0.02 ROI'!$H$404)</c:f>
              <c:numCache>
                <c:formatCode>General</c:formatCode>
                <c:ptCount val="7"/>
                <c:pt idx="0">
                  <c:v>0.95708075000000004</c:v>
                </c:pt>
                <c:pt idx="1">
                  <c:v>0.95551900000000001</c:v>
                </c:pt>
                <c:pt idx="2">
                  <c:v>0.95484349999999996</c:v>
                </c:pt>
                <c:pt idx="3">
                  <c:v>0.95503650000000007</c:v>
                </c:pt>
                <c:pt idx="4">
                  <c:v>0.95658124999999994</c:v>
                </c:pt>
                <c:pt idx="5">
                  <c:v>0.95670949999999999</c:v>
                </c:pt>
                <c:pt idx="6">
                  <c:v>0.95666675000000001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EF-4F98-BB65-41C5D46015CB}"/>
            </c:ext>
          </c:extLst>
        </c:ser>
        <c:ser>
          <c:idx val="3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ROI'!$H$24,'qmax=110 eta in 0.002, 0.02 ROI'!$H$89,'qmax=110 eta in 0.002, 0.02 ROI'!$H$154,'qmax=110 eta in 0.002, 0.02 ROI'!$H$219,'qmax=110 eta in 0.002, 0.02 ROI'!$H$284,'qmax=110 eta in 0.002, 0.02 ROI'!$H$349,'qmax=110 eta in 0.002, 0.02 ROI'!$H$414)</c:f>
              <c:numCache>
                <c:formatCode>General</c:formatCode>
                <c:ptCount val="7"/>
                <c:pt idx="0">
                  <c:v>0.96502499999999991</c:v>
                </c:pt>
                <c:pt idx="1">
                  <c:v>0.95974174999999995</c:v>
                </c:pt>
                <c:pt idx="2">
                  <c:v>0.9581377499999999</c:v>
                </c:pt>
                <c:pt idx="3">
                  <c:v>0.95721049999999996</c:v>
                </c:pt>
                <c:pt idx="4">
                  <c:v>0.95601249999999993</c:v>
                </c:pt>
                <c:pt idx="5">
                  <c:v>0.95623225000000001</c:v>
                </c:pt>
                <c:pt idx="6">
                  <c:v>0.95565424999999993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EF-4F98-BB65-41C5D46015CB}"/>
            </c:ext>
          </c:extLst>
        </c:ser>
        <c:ser>
          <c:idx val="5"/>
          <c:order val="6"/>
          <c:tx>
            <c:v>RNN DNI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ROI'!$H$34,'qmax=110 eta in 0.002, 0.02 ROI'!$H$99,'qmax=110 eta in 0.002, 0.02 ROI'!$H$164,'qmax=110 eta in 0.002, 0.02 ROI'!$H$229,'qmax=110 eta in 0.002, 0.02 ROI'!$H$294,'qmax=110 eta in 0.002, 0.02 ROI'!$H$359,'qmax=110 eta in 0.002, 0.02 ROI'!$H$424)</c:f>
              <c:numCache>
                <c:formatCode>General</c:formatCode>
                <c:ptCount val="7"/>
                <c:pt idx="0">
                  <c:v>0.95785500000000001</c:v>
                </c:pt>
                <c:pt idx="1">
                  <c:v>0.95647674999999999</c:v>
                </c:pt>
                <c:pt idx="2">
                  <c:v>0.95715050000000002</c:v>
                </c:pt>
                <c:pt idx="3">
                  <c:v>0.95711049999999998</c:v>
                </c:pt>
                <c:pt idx="4">
                  <c:v>0.95285074999999997</c:v>
                </c:pt>
                <c:pt idx="5">
                  <c:v>0.95316025000000004</c:v>
                </c:pt>
                <c:pt idx="6">
                  <c:v>0.95277049999999996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EF-4F98-BB65-41C5D46015CB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ROI'!$H$44,'qmax=110 eta in 0.002, 0.02 ROI'!$H$109,'qmax=110 eta in 0.002, 0.02 ROI'!$H$174,'qmax=110 eta in 0.002, 0.02 ROI'!$H$239,'qmax=110 eta in 0.002, 0.02 ROI'!$H$304,'qmax=110 eta in 0.002, 0.02 ROI'!$H$369,'qmax=110 eta in 0.002, 0.02 ROI'!$H$434)</c:f>
              <c:numCache>
                <c:formatCode>General</c:formatCode>
                <c:ptCount val="7"/>
                <c:pt idx="0">
                  <c:v>0.94259266666666675</c:v>
                </c:pt>
                <c:pt idx="1">
                  <c:v>0.93367166666666668</c:v>
                </c:pt>
                <c:pt idx="2">
                  <c:v>0.93202499999999999</c:v>
                </c:pt>
                <c:pt idx="3">
                  <c:v>0.92955433333333337</c:v>
                </c:pt>
                <c:pt idx="4">
                  <c:v>0.92922633333333327</c:v>
                </c:pt>
                <c:pt idx="5">
                  <c:v>0.92768933333333337</c:v>
                </c:pt>
                <c:pt idx="6">
                  <c:v>0.92619966666666675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EF-4F98-BB65-41C5D4601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ROI'!$H$10,'qmax=110 eta in 0.002, 0.02 ROI'!$H$75,'qmax=110 eta in 0.002, 0.02 ROI'!$H$140,'qmax=110 eta in 0.002, 0.02 ROI'!$H$205,'qmax=110 eta in 0.002, 0.02 ROI'!$H$270,'qmax=110 eta in 0.002, 0.02 ROI'!$H$335,'qmax=110 eta in 0.002, 0.02 ROI'!$H$400)</c:f>
              <c:numCache>
                <c:formatCode>General</c:formatCode>
                <c:ptCount val="7"/>
                <c:pt idx="0">
                  <c:v>1.7479210000000001</c:v>
                </c:pt>
                <c:pt idx="1">
                  <c:v>1.8239320000000001</c:v>
                </c:pt>
                <c:pt idx="2">
                  <c:v>1.8828530000000003</c:v>
                </c:pt>
                <c:pt idx="3">
                  <c:v>1.9212629999999999</c:v>
                </c:pt>
                <c:pt idx="4">
                  <c:v>1.9698275000000001</c:v>
                </c:pt>
                <c:pt idx="5">
                  <c:v>1.9556472499999999</c:v>
                </c:pt>
                <c:pt idx="6">
                  <c:v>1.9751217500000002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B-4E48-97DA-95EB15E6078D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ROI'!$H$57,'qmax=110 eta in 0.002, 0.02 ROI'!$H$122,'qmax=110 eta in 0.002, 0.02 ROI'!$H$187,'qmax=110 eta in 0.002, 0.02 ROI'!$H$252,'qmax=110 eta in 0.002, 0.02 ROI'!$H$317,'qmax=110 eta in 0.002, 0.02 ROI'!$H$382,'qmax=110 eta in 0.002, 0.02 ROI'!$H$447)</c:f>
              <c:numCache>
                <c:formatCode>General</c:formatCode>
                <c:ptCount val="7"/>
                <c:pt idx="0">
                  <c:v>1.63753875</c:v>
                </c:pt>
                <c:pt idx="1">
                  <c:v>1.9099005000000002</c:v>
                </c:pt>
                <c:pt idx="2">
                  <c:v>2.0280377500000002</c:v>
                </c:pt>
                <c:pt idx="3">
                  <c:v>2.083075</c:v>
                </c:pt>
                <c:pt idx="4">
                  <c:v>2.2120060000000001</c:v>
                </c:pt>
                <c:pt idx="5">
                  <c:v>2.22464225</c:v>
                </c:pt>
                <c:pt idx="6">
                  <c:v>2.2803070000000001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FB-4E48-97DA-95EB15E6078D}"/>
            </c:ext>
          </c:extLst>
        </c:ser>
        <c:ser>
          <c:idx val="5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ROI'!$H$62,'qmax=110 eta in 0.002, 0.02 ROI'!$H$127,'qmax=110 eta in 0.002, 0.02 ROI'!$H$192,'qmax=110 eta in 0.002, 0.02 ROI'!$H$257,'qmax=110 eta in 0.002, 0.02 ROI'!$H$322,'qmax=110 eta in 0.002, 0.02 ROI'!$H$387,'qmax=110 eta in 0.002, 0.02 ROI'!$H$452)</c:f>
              <c:numCache>
                <c:formatCode>General</c:formatCode>
                <c:ptCount val="7"/>
                <c:pt idx="0">
                  <c:v>2.4267175000000001</c:v>
                </c:pt>
                <c:pt idx="1">
                  <c:v>3.0916709999999998</c:v>
                </c:pt>
                <c:pt idx="2">
                  <c:v>3.43324425</c:v>
                </c:pt>
                <c:pt idx="3">
                  <c:v>3.77557425</c:v>
                </c:pt>
                <c:pt idx="4">
                  <c:v>3.8026099999999996</c:v>
                </c:pt>
                <c:pt idx="5">
                  <c:v>3.7678030000000002</c:v>
                </c:pt>
                <c:pt idx="6">
                  <c:v>3.4531149999999999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FB-4E48-97DA-95EB15E6078D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ROI'!$H$67,'qmax=110 eta in 0.002, 0.02 ROI'!$H$132,'qmax=110 eta in 0.002, 0.02 ROI'!$H$197,'qmax=110 eta in 0.002, 0.02 ROI'!$H$262,'qmax=110 eta in 0.002, 0.02 ROI'!$H$327,'qmax=110 eta in 0.002, 0.02 ROI'!$H$392,'qmax=110 eta in 0.002, 0.02 ROI'!$H$457)</c:f>
              <c:numCache>
                <c:formatCode>General</c:formatCode>
                <c:ptCount val="7"/>
                <c:pt idx="0">
                  <c:v>1.7496505</c:v>
                </c:pt>
                <c:pt idx="1">
                  <c:v>1.8917855000000001</c:v>
                </c:pt>
                <c:pt idx="2">
                  <c:v>1.9152985</c:v>
                </c:pt>
                <c:pt idx="3">
                  <c:v>1.9673307499999999</c:v>
                </c:pt>
                <c:pt idx="4">
                  <c:v>1.992496</c:v>
                </c:pt>
                <c:pt idx="5">
                  <c:v>2.0283375000000001</c:v>
                </c:pt>
                <c:pt idx="6">
                  <c:v>2.0603687500000003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FB-4E48-97DA-95EB15E6078D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ROI'!$H$20,'qmax=110 eta in 0.002, 0.02 ROI'!$H$85,'qmax=110 eta in 0.002, 0.02 ROI'!$H$150,'qmax=110 eta in 0.002, 0.02 ROI'!$H$215,'qmax=110 eta in 0.002, 0.02 ROI'!$H$280,'qmax=110 eta in 0.002, 0.02 ROI'!$H$345,'qmax=110 eta in 0.002, 0.02 ROI'!$H$410)</c:f>
              <c:numCache>
                <c:formatCode>General</c:formatCode>
                <c:ptCount val="7"/>
                <c:pt idx="0">
                  <c:v>1.9386034999999999</c:v>
                </c:pt>
                <c:pt idx="1">
                  <c:v>1.97501075</c:v>
                </c:pt>
                <c:pt idx="2">
                  <c:v>1.98921675</c:v>
                </c:pt>
                <c:pt idx="3">
                  <c:v>2.0083345000000001</c:v>
                </c:pt>
                <c:pt idx="4">
                  <c:v>1.9926787500000001</c:v>
                </c:pt>
                <c:pt idx="5">
                  <c:v>1.9940267500000002</c:v>
                </c:pt>
                <c:pt idx="6">
                  <c:v>2.0068592499999998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FB-4E48-97DA-95EB15E6078D}"/>
            </c:ext>
          </c:extLst>
        </c:ser>
        <c:ser>
          <c:idx val="3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ROI'!$H$30,'qmax=110 eta in 0.002, 0.02 ROI'!$H$95,'qmax=110 eta in 0.002, 0.02 ROI'!$H$160,'qmax=110 eta in 0.002, 0.02 ROI'!$H$225,'qmax=110 eta in 0.002, 0.02 ROI'!$H$290,'qmax=110 eta in 0.002, 0.02 ROI'!$H$355,'qmax=110 eta in 0.002, 0.02 ROI'!$H$420)</c:f>
              <c:numCache>
                <c:formatCode>General</c:formatCode>
                <c:ptCount val="7"/>
                <c:pt idx="0">
                  <c:v>1.7365520000000001</c:v>
                </c:pt>
                <c:pt idx="1">
                  <c:v>1.8418627499999998</c:v>
                </c:pt>
                <c:pt idx="2">
                  <c:v>1.87490275</c:v>
                </c:pt>
                <c:pt idx="3">
                  <c:v>1.9262055</c:v>
                </c:pt>
                <c:pt idx="4">
                  <c:v>1.9644677500000001</c:v>
                </c:pt>
                <c:pt idx="5">
                  <c:v>1.97239225</c:v>
                </c:pt>
                <c:pt idx="6">
                  <c:v>1.9782722499999998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FB-4E48-97DA-95EB15E6078D}"/>
            </c:ext>
          </c:extLst>
        </c:ser>
        <c:ser>
          <c:idx val="4"/>
          <c:order val="6"/>
          <c:tx>
            <c:v>RNN DNI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ROI'!$H$40,'qmax=110 eta in 0.002, 0.02 ROI'!$H$105,'qmax=110 eta in 0.002, 0.02 ROI'!$H$170,'qmax=110 eta in 0.002, 0.02 ROI'!$H$235,'qmax=110 eta in 0.002, 0.02 ROI'!$H$300,'qmax=110 eta in 0.002, 0.02 ROI'!$H$365,'qmax=110 eta in 0.002, 0.02 ROI'!$H$430)</c:f>
              <c:numCache>
                <c:formatCode>General</c:formatCode>
                <c:ptCount val="7"/>
                <c:pt idx="0">
                  <c:v>1.8955372500000001</c:v>
                </c:pt>
                <c:pt idx="1">
                  <c:v>1.9743167500000001</c:v>
                </c:pt>
                <c:pt idx="2">
                  <c:v>1.9848222499999999</c:v>
                </c:pt>
                <c:pt idx="3">
                  <c:v>1.9969774999999998</c:v>
                </c:pt>
                <c:pt idx="4">
                  <c:v>2.0567567499999999</c:v>
                </c:pt>
                <c:pt idx="5">
                  <c:v>2.0446084999999998</c:v>
                </c:pt>
                <c:pt idx="6">
                  <c:v>2.058284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FB-4E48-97DA-95EB15E6078D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ROI'!$H$50,'qmax=110 eta in 0.002, 0.02 ROI'!$H$115,'qmax=110 eta in 0.002, 0.02 ROI'!$H$180,'qmax=110 eta in 0.002, 0.02 ROI'!$H$245,'qmax=110 eta in 0.002, 0.02 ROI'!$H$310,'qmax=110 eta in 0.002, 0.02 ROI'!$H$375,'qmax=110 eta in 0.002, 0.02 ROI'!$H$440)</c:f>
              <c:numCache>
                <c:formatCode>General</c:formatCode>
                <c:ptCount val="7"/>
                <c:pt idx="0">
                  <c:v>2.0639993333333333</c:v>
                </c:pt>
                <c:pt idx="1">
                  <c:v>2.2334806666666664</c:v>
                </c:pt>
                <c:pt idx="2">
                  <c:v>2.2540026666666666</c:v>
                </c:pt>
                <c:pt idx="3">
                  <c:v>2.3211759999999999</c:v>
                </c:pt>
                <c:pt idx="4">
                  <c:v>2.3260126666666667</c:v>
                </c:pt>
                <c:pt idx="5">
                  <c:v>2.3656486666666665</c:v>
                </c:pt>
                <c:pt idx="6">
                  <c:v>2.3789946666666668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FB-4E48-97DA-95EB15E60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ROI'!$H$6,'qmax=110 eta in 0.002, 0.02 ROI'!$H$71,'qmax=110 eta in 0.002, 0.02 ROI'!$H$136,'qmax=110 eta in 0.002, 0.02 ROI'!$H$201,'qmax=110 eta in 0.002, 0.02 ROI'!$H$266,'qmax=110 eta in 0.002, 0.02 ROI'!$H$331,'qmax=110 eta in 0.002, 0.02 ROI'!$H$396)</c:f>
              <c:numCache>
                <c:formatCode>General</c:formatCode>
                <c:ptCount val="7"/>
                <c:pt idx="0">
                  <c:v>0.31065549999999997</c:v>
                </c:pt>
                <c:pt idx="1">
                  <c:v>0.32002900000000001</c:v>
                </c:pt>
                <c:pt idx="2">
                  <c:v>0.32863500000000001</c:v>
                </c:pt>
                <c:pt idx="3">
                  <c:v>0.32903474999999999</c:v>
                </c:pt>
                <c:pt idx="4">
                  <c:v>0.33435399999999998</c:v>
                </c:pt>
                <c:pt idx="5">
                  <c:v>0.33241925</c:v>
                </c:pt>
                <c:pt idx="6">
                  <c:v>0.33492425000000003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8-417A-BEAA-B3E6D9A69CE4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ROI'!$H$55,'qmax=110 eta in 0.002, 0.02 ROI'!$H$120,'qmax=110 eta in 0.002, 0.02 ROI'!$H$185,'qmax=110 eta in 0.002, 0.02 ROI'!$H$250,'qmax=110 eta in 0.002, 0.02 ROI'!$H$315,'qmax=110 eta in 0.002, 0.02 ROI'!$H$380,'qmax=110 eta in 0.002, 0.02 ROI'!$H$445)</c:f>
              <c:numCache>
                <c:formatCode>General</c:formatCode>
                <c:ptCount val="7"/>
                <c:pt idx="0">
                  <c:v>0.29726174999999999</c:v>
                </c:pt>
                <c:pt idx="1">
                  <c:v>0.32031824999999997</c:v>
                </c:pt>
                <c:pt idx="2">
                  <c:v>0.33726824999999999</c:v>
                </c:pt>
                <c:pt idx="3">
                  <c:v>0.34828250000000005</c:v>
                </c:pt>
                <c:pt idx="4">
                  <c:v>0.358902</c:v>
                </c:pt>
                <c:pt idx="5">
                  <c:v>0.36248850000000005</c:v>
                </c:pt>
                <c:pt idx="6">
                  <c:v>0.36365200000000003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58-417A-BEAA-B3E6D9A69CE4}"/>
            </c:ext>
          </c:extLst>
        </c:ser>
        <c:ser>
          <c:idx val="5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ROI'!$H$60,'qmax=110 eta in 0.002, 0.02 ROI'!$H$125,'qmax=110 eta in 0.002, 0.02 ROI'!$H$190,'qmax=110 eta in 0.002, 0.02 ROI'!$H$255,'qmax=110 eta in 0.002, 0.02 ROI'!$H$320,'qmax=110 eta in 0.002, 0.02 ROI'!$H$385,'qmax=110 eta in 0.002, 0.02 ROI'!$H$450)</c:f>
              <c:numCache>
                <c:formatCode>General</c:formatCode>
                <c:ptCount val="7"/>
                <c:pt idx="0">
                  <c:v>0.3860595</c:v>
                </c:pt>
                <c:pt idx="1">
                  <c:v>0.44687949999999999</c:v>
                </c:pt>
                <c:pt idx="2">
                  <c:v>0.48181550000000001</c:v>
                </c:pt>
                <c:pt idx="3">
                  <c:v>0.51147125000000004</c:v>
                </c:pt>
                <c:pt idx="4">
                  <c:v>0.50401625000000005</c:v>
                </c:pt>
                <c:pt idx="5">
                  <c:v>0.49723975000000004</c:v>
                </c:pt>
                <c:pt idx="6">
                  <c:v>0.46201400000000004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58-417A-BEAA-B3E6D9A69CE4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ROI'!$H$65,'qmax=110 eta in 0.002, 0.02 ROI'!$H$130,'qmax=110 eta in 0.002, 0.02 ROI'!$H$195,'qmax=110 eta in 0.002, 0.02 ROI'!$H$260,'qmax=110 eta in 0.002, 0.02 ROI'!$H$325,'qmax=110 eta in 0.002, 0.02 ROI'!$H$390,'qmax=110 eta in 0.002, 0.02 ROI'!$H$455)</c:f>
              <c:numCache>
                <c:formatCode>General</c:formatCode>
                <c:ptCount val="7"/>
                <c:pt idx="0">
                  <c:v>0.30771399999999999</c:v>
                </c:pt>
                <c:pt idx="1">
                  <c:v>0.32316575000000003</c:v>
                </c:pt>
                <c:pt idx="2">
                  <c:v>0.32656299999999999</c:v>
                </c:pt>
                <c:pt idx="3">
                  <c:v>0.32495299999999999</c:v>
                </c:pt>
                <c:pt idx="4">
                  <c:v>0.33173350000000001</c:v>
                </c:pt>
                <c:pt idx="5">
                  <c:v>0.33255999999999997</c:v>
                </c:pt>
                <c:pt idx="6">
                  <c:v>0.33288875000000001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58-417A-BEAA-B3E6D9A69CE4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ROI'!$H$16,'qmax=110 eta in 0.002, 0.02 ROI'!$H$81,'qmax=110 eta in 0.002, 0.02 ROI'!$H$146,'qmax=110 eta in 0.002, 0.02 ROI'!$H$211,'qmax=110 eta in 0.002, 0.02 ROI'!$H$276,'qmax=110 eta in 0.002, 0.02 ROI'!$H$341,'qmax=110 eta in 0.002, 0.02 ROI'!$H$406)</c:f>
              <c:numCache>
                <c:formatCode>General</c:formatCode>
                <c:ptCount val="7"/>
                <c:pt idx="0">
                  <c:v>0.33047474999999998</c:v>
                </c:pt>
                <c:pt idx="1">
                  <c:v>0.33499950000000001</c:v>
                </c:pt>
                <c:pt idx="2">
                  <c:v>0.33719100000000002</c:v>
                </c:pt>
                <c:pt idx="3">
                  <c:v>0.33668424999999996</c:v>
                </c:pt>
                <c:pt idx="4">
                  <c:v>0.33386175000000001</c:v>
                </c:pt>
                <c:pt idx="5">
                  <c:v>0.33362249999999999</c:v>
                </c:pt>
                <c:pt idx="6">
                  <c:v>0.33406524999999998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58-417A-BEAA-B3E6D9A69CE4}"/>
            </c:ext>
          </c:extLst>
        </c:ser>
        <c:ser>
          <c:idx val="3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ROI'!$H$26,'qmax=110 eta in 0.002, 0.02 ROI'!$H$91,'qmax=110 eta in 0.002, 0.02 ROI'!$H$156,'qmax=110 eta in 0.002, 0.02 ROI'!$H$221,'qmax=110 eta in 0.002, 0.02 ROI'!$H$286,'qmax=110 eta in 0.002, 0.02 ROI'!$H$351,'qmax=110 eta in 0.002, 0.02 ROI'!$H$416)</c:f>
              <c:numCache>
                <c:formatCode>General</c:formatCode>
                <c:ptCount val="7"/>
                <c:pt idx="0">
                  <c:v>0.30922349999999998</c:v>
                </c:pt>
                <c:pt idx="1">
                  <c:v>0.32256675000000001</c:v>
                </c:pt>
                <c:pt idx="2">
                  <c:v>0.32763224999999996</c:v>
                </c:pt>
                <c:pt idx="3">
                  <c:v>0.32995500000000005</c:v>
                </c:pt>
                <c:pt idx="4">
                  <c:v>0.33408899999999997</c:v>
                </c:pt>
                <c:pt idx="5">
                  <c:v>0.33396749999999997</c:v>
                </c:pt>
                <c:pt idx="6">
                  <c:v>0.33535899999999996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58-417A-BEAA-B3E6D9A69CE4}"/>
            </c:ext>
          </c:extLst>
        </c:ser>
        <c:ser>
          <c:idx val="4"/>
          <c:order val="6"/>
          <c:tx>
            <c:v>RNN DNI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ROI'!$H$36,'qmax=110 eta in 0.002, 0.02 ROI'!$H$101,'qmax=110 eta in 0.002, 0.02 ROI'!$H$166,'qmax=110 eta in 0.002, 0.02 ROI'!$H$231,'qmax=110 eta in 0.002, 0.02 ROI'!$H$296,'qmax=110 eta in 0.002, 0.02 ROI'!$H$361,'qmax=110 eta in 0.002, 0.02 ROI'!$H$426)</c:f>
              <c:numCache>
                <c:formatCode>General</c:formatCode>
                <c:ptCount val="7"/>
                <c:pt idx="0">
                  <c:v>0.32735075000000002</c:v>
                </c:pt>
                <c:pt idx="1">
                  <c:v>0.33421650000000003</c:v>
                </c:pt>
                <c:pt idx="2">
                  <c:v>0.33261875000000002</c:v>
                </c:pt>
                <c:pt idx="3">
                  <c:v>0.33280900000000002</c:v>
                </c:pt>
                <c:pt idx="4">
                  <c:v>0.34324449999999995</c:v>
                </c:pt>
                <c:pt idx="5">
                  <c:v>0.34252824999999998</c:v>
                </c:pt>
                <c:pt idx="6">
                  <c:v>0.34439775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E58-417A-BEAA-B3E6D9A69CE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ROI'!$H$46,'qmax=110 eta in 0.002, 0.02 ROI'!$H$111,'qmax=110 eta in 0.002, 0.02 ROI'!$H$176,'qmax=110 eta in 0.002, 0.02 ROI'!$H$241,'qmax=110 eta in 0.002, 0.02 ROI'!$H$306,'qmax=110 eta in 0.002, 0.02 ROI'!$H$371,'qmax=110 eta in 0.002, 0.02 ROI'!$H$436)</c:f>
              <c:numCache>
                <c:formatCode>General</c:formatCode>
                <c:ptCount val="7"/>
                <c:pt idx="0">
                  <c:v>0.37318000000000001</c:v>
                </c:pt>
                <c:pt idx="1">
                  <c:v>0.39010166666666662</c:v>
                </c:pt>
                <c:pt idx="2">
                  <c:v>0.39289533333333337</c:v>
                </c:pt>
                <c:pt idx="3">
                  <c:v>0.39998800000000001</c:v>
                </c:pt>
                <c:pt idx="4">
                  <c:v>0.39963799999999999</c:v>
                </c:pt>
                <c:pt idx="5">
                  <c:v>0.40263833333333338</c:v>
                </c:pt>
                <c:pt idx="6">
                  <c:v>0.40506766666666666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E58-417A-BEAA-B3E6D9A69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ROI'!$H$12,'qmax=110 eta in 0.002, 0.02 ROI'!$H$77,'qmax=110 eta in 0.002, 0.02 ROI'!$H$142,'qmax=110 eta in 0.002, 0.02 ROI'!$H$207,'qmax=110 eta in 0.002, 0.02 ROI'!$H$272,'qmax=110 eta in 0.002, 0.02 ROI'!$H$337,'qmax=110 eta in 0.002, 0.02 ROI'!$H$402)</c:f>
              <c:numCache>
                <c:formatCode>General</c:formatCode>
                <c:ptCount val="7"/>
                <c:pt idx="0">
                  <c:v>9.5265837500000004</c:v>
                </c:pt>
                <c:pt idx="1">
                  <c:v>9.6743832500000018</c:v>
                </c:pt>
                <c:pt idx="2">
                  <c:v>9.7064922500000002</c:v>
                </c:pt>
                <c:pt idx="3">
                  <c:v>9.9888062499999997</c:v>
                </c:pt>
                <c:pt idx="4">
                  <c:v>9.9253742500000008</c:v>
                </c:pt>
                <c:pt idx="5">
                  <c:v>9.9099435000000007</c:v>
                </c:pt>
                <c:pt idx="6">
                  <c:v>10.040689250000002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68E-451F-8FB4-F0AF62591324}"/>
            </c:ext>
          </c:extLst>
        </c:ser>
        <c:ser>
          <c:idx val="0"/>
          <c:order val="1"/>
          <c:tx>
            <c:v>Lin. regression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triangle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ROI'!$H$58,'qmax=110 eta in 0.002, 0.02 ROI'!$H$123,'qmax=110 eta in 0.002, 0.02 ROI'!$H$188,'qmax=110 eta in 0.002, 0.02 ROI'!$H$253,'qmax=110 eta in 0.002, 0.02 ROI'!$H$318,'qmax=110 eta in 0.002, 0.02 ROI'!$H$383,'qmax=110 eta in 0.002, 0.02 ROI'!$H$448)</c:f>
              <c:numCache>
                <c:formatCode>General</c:formatCode>
                <c:ptCount val="7"/>
                <c:pt idx="0">
                  <c:v>8.9587415000000004</c:v>
                </c:pt>
                <c:pt idx="1">
                  <c:v>10.33983825</c:v>
                </c:pt>
                <c:pt idx="2">
                  <c:v>10.393083750000001</c:v>
                </c:pt>
                <c:pt idx="3">
                  <c:v>10.8321535</c:v>
                </c:pt>
                <c:pt idx="4">
                  <c:v>11.904903000000001</c:v>
                </c:pt>
                <c:pt idx="5">
                  <c:v>11.887137749999999</c:v>
                </c:pt>
                <c:pt idx="6">
                  <c:v>12.186042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68E-451F-8FB4-F0AF62591324}"/>
            </c:ext>
          </c:extLst>
        </c:ser>
        <c:ser>
          <c:idx val="4"/>
          <c:order val="2"/>
          <c:tx>
            <c:v>No prediction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000000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ROI'!$H$63,'qmax=110 eta in 0.002, 0.02 ROI'!$H$128,'qmax=110 eta in 0.002, 0.02 ROI'!$H$193,'qmax=110 eta in 0.002, 0.02 ROI'!$H$258,'qmax=110 eta in 0.002, 0.02 ROI'!$H$323,'qmax=110 eta in 0.002, 0.02 ROI'!$H$388,'qmax=110 eta in 0.002, 0.02 ROI'!$H$453)</c:f>
              <c:numCache>
                <c:formatCode>General</c:formatCode>
                <c:ptCount val="7"/>
                <c:pt idx="0">
                  <c:v>12.4921965</c:v>
                </c:pt>
                <c:pt idx="1">
                  <c:v>15.753681749999998</c:v>
                </c:pt>
                <c:pt idx="2">
                  <c:v>16.376758499999998</c:v>
                </c:pt>
                <c:pt idx="3">
                  <c:v>17.3930905</c:v>
                </c:pt>
                <c:pt idx="4">
                  <c:v>16.9551205</c:v>
                </c:pt>
                <c:pt idx="5">
                  <c:v>16.048672500000002</c:v>
                </c:pt>
                <c:pt idx="6">
                  <c:v>14.607619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68E-451F-8FB4-F0AF62591324}"/>
            </c:ext>
          </c:extLst>
        </c:ser>
        <c:ser>
          <c:idx val="6"/>
          <c:order val="3"/>
          <c:tx>
            <c:v>LMS</c:v>
          </c:tx>
          <c:spPr>
            <a:ln w="127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diamond"/>
            <c:size val="8"/>
            <c:spPr>
              <a:solidFill>
                <a:srgbClr val="FFFFFF"/>
              </a:solidFill>
              <a:ln w="1905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ROI'!$H$68,'qmax=110 eta in 0.002, 0.02 ROI'!$H$133,'qmax=110 eta in 0.002, 0.02 ROI'!$H$198,'qmax=110 eta in 0.002, 0.02 ROI'!$H$263,'qmax=110 eta in 0.002, 0.02 ROI'!$H$328,'qmax=110 eta in 0.002, 0.02 ROI'!$H$393,'qmax=110 eta in 0.002, 0.02 ROI'!$H$458)</c:f>
              <c:numCache>
                <c:formatCode>General</c:formatCode>
                <c:ptCount val="7"/>
                <c:pt idx="0">
                  <c:v>9.9760867499999986</c:v>
                </c:pt>
                <c:pt idx="1">
                  <c:v>10.425444000000001</c:v>
                </c:pt>
                <c:pt idx="2">
                  <c:v>10.369811</c:v>
                </c:pt>
                <c:pt idx="3">
                  <c:v>11.468548500000001</c:v>
                </c:pt>
                <c:pt idx="4">
                  <c:v>10.548895750000002</c:v>
                </c:pt>
                <c:pt idx="5">
                  <c:v>10.497407749999999</c:v>
                </c:pt>
                <c:pt idx="6">
                  <c:v>11.433662500000001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68E-451F-8FB4-F0AF62591324}"/>
            </c:ext>
          </c:extLst>
        </c:ser>
        <c:ser>
          <c:idx val="1"/>
          <c:order val="4"/>
          <c:tx>
            <c:v>RNN UORO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ROI'!$H$22,'qmax=110 eta in 0.002, 0.02 ROI'!$H$87,'qmax=110 eta in 0.002, 0.02 ROI'!$H$152,'qmax=110 eta in 0.002, 0.02 ROI'!$H$217,'qmax=110 eta in 0.002, 0.02 ROI'!$H$282,'qmax=110 eta in 0.002, 0.02 ROI'!$H$347,'qmax=110 eta in 0.002, 0.02 ROI'!$H$412)</c:f>
              <c:numCache>
                <c:formatCode>General</c:formatCode>
                <c:ptCount val="7"/>
                <c:pt idx="0">
                  <c:v>10.200294249999999</c:v>
                </c:pt>
                <c:pt idx="1">
                  <c:v>10.202742499999999</c:v>
                </c:pt>
                <c:pt idx="2">
                  <c:v>10.2989145</c:v>
                </c:pt>
                <c:pt idx="3">
                  <c:v>10.657810250000001</c:v>
                </c:pt>
                <c:pt idx="4">
                  <c:v>10.4203055</c:v>
                </c:pt>
                <c:pt idx="5">
                  <c:v>10.415454749999999</c:v>
                </c:pt>
                <c:pt idx="6">
                  <c:v>10.5414295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8E-451F-8FB4-F0AF62591324}"/>
            </c:ext>
          </c:extLst>
        </c:ser>
        <c:ser>
          <c:idx val="2"/>
          <c:order val="5"/>
          <c:tx>
            <c:v>RNN SnAp-1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ROI'!$H$32,'qmax=110 eta in 0.002, 0.02 ROI'!$H$97,'qmax=110 eta in 0.002, 0.02 ROI'!$H$162,'qmax=110 eta in 0.002, 0.02 ROI'!$H$227,'qmax=110 eta in 0.002, 0.02 ROI'!$H$292,'qmax=110 eta in 0.002, 0.02 ROI'!$H$357,'qmax=110 eta in 0.002, 0.02 ROI'!$H$422)</c:f>
              <c:numCache>
                <c:formatCode>General</c:formatCode>
                <c:ptCount val="7"/>
                <c:pt idx="0">
                  <c:v>9.4990394999999985</c:v>
                </c:pt>
                <c:pt idx="1">
                  <c:v>9.6463210000000004</c:v>
                </c:pt>
                <c:pt idx="2">
                  <c:v>9.7069107500000005</c:v>
                </c:pt>
                <c:pt idx="3">
                  <c:v>9.8046790000000001</c:v>
                </c:pt>
                <c:pt idx="4">
                  <c:v>9.9107404999999993</c:v>
                </c:pt>
                <c:pt idx="5">
                  <c:v>9.9981402499999987</c:v>
                </c:pt>
                <c:pt idx="6">
                  <c:v>10.038715249999999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8E-451F-8FB4-F0AF62591324}"/>
            </c:ext>
          </c:extLst>
        </c:ser>
        <c:ser>
          <c:idx val="5"/>
          <c:order val="6"/>
          <c:tx>
            <c:v>RNN DNI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ROI'!$H$42,'qmax=110 eta in 0.002, 0.02 ROI'!$H$107,'qmax=110 eta in 0.002, 0.02 ROI'!$H$172,'qmax=110 eta in 0.002, 0.02 ROI'!$H$237,'qmax=110 eta in 0.002, 0.02 ROI'!$H$302,'qmax=110 eta in 0.002, 0.02 ROI'!$H$367,'qmax=110 eta in 0.002, 0.02 ROI'!$H$432)</c:f>
              <c:numCache>
                <c:formatCode>General</c:formatCode>
                <c:ptCount val="7"/>
                <c:pt idx="0">
                  <c:v>9.9817464999999999</c:v>
                </c:pt>
                <c:pt idx="1">
                  <c:v>10.267654</c:v>
                </c:pt>
                <c:pt idx="2">
                  <c:v>10.2663995</c:v>
                </c:pt>
                <c:pt idx="3">
                  <c:v>10.49302175</c:v>
                </c:pt>
                <c:pt idx="4">
                  <c:v>10.437351249999999</c:v>
                </c:pt>
                <c:pt idx="5">
                  <c:v>10.461160749999999</c:v>
                </c:pt>
                <c:pt idx="6">
                  <c:v>10.573418250000001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8E-451F-8FB4-F0AF6259132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ROI'!$H$52,'qmax=110 eta in 0.002, 0.02 ROI'!$H$117,'qmax=110 eta in 0.002, 0.02 ROI'!$H$182,'qmax=110 eta in 0.002, 0.02 ROI'!$H$247,'qmax=110 eta in 0.002, 0.02 ROI'!$H$312,'qmax=110 eta in 0.002, 0.02 ROI'!$H$377,'qmax=110 eta in 0.002, 0.02 ROI'!$H$442)</c:f>
              <c:numCache>
                <c:formatCode>General</c:formatCode>
                <c:ptCount val="7"/>
                <c:pt idx="0">
                  <c:v>11.117156</c:v>
                </c:pt>
                <c:pt idx="1">
                  <c:v>11.849270666666667</c:v>
                </c:pt>
                <c:pt idx="2">
                  <c:v>11.865678333333333</c:v>
                </c:pt>
                <c:pt idx="3">
                  <c:v>12.113765666666668</c:v>
                </c:pt>
                <c:pt idx="4">
                  <c:v>12.212772333333334</c:v>
                </c:pt>
                <c:pt idx="5">
                  <c:v>12.433428999999999</c:v>
                </c:pt>
                <c:pt idx="6">
                  <c:v>12.398801999999998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8E-451F-8FB4-F0AF62591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/>
      </c:scatterChart>
      <c:valAx>
        <c:axId val="-185953104"/>
        <c:scaling>
          <c:orientation val="minMax"/>
          <c:max val="2.5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RNN RTRL</c:v>
                </c:tx>
                <c:spPr>
                  <a:ln w="19050" cap="rnd">
                    <a:solidFill>
                      <a:srgbClr val="00B050">
                        <a:alpha val="98000"/>
                      </a:srgbClr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ROI'!$H$8,'qmax=110 eta in 0.002, 0.02 ROI'!$H$73,'qmax=110 eta in 0.002, 0.02 ROI'!$H$138,'qmax=110 eta in 0.002, 0.02 ROI'!$H$203,'qmax=110 eta in 0.002, 0.02 ROI'!$H$268,'qmax=110 eta in 0.002, 0.02 ROI'!$H$333,'qmax=110 eta in 0.002, 0.02 ROI'!$H$398)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0.82031425000000002</c:v>
                      </c:pt>
                      <c:pt idx="1">
                        <c:v>0.81284325000000002</c:v>
                      </c:pt>
                      <c:pt idx="2">
                        <c:v>0.80636649999999999</c:v>
                      </c:pt>
                      <c:pt idx="3">
                        <c:v>0.80624874999999996</c:v>
                      </c:pt>
                      <c:pt idx="4">
                        <c:v>0.80199774999999995</c:v>
                      </c:pt>
                      <c:pt idx="5">
                        <c:v>0.80328025000000003</c:v>
                      </c:pt>
                      <c:pt idx="6">
                        <c:v>0.80108924999999997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EFDA-40FF-A204-594FBEE77B60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ROI'!$H$18,'qmax=110 eta in 0.002, 0.02 ROI'!$H$83,'qmax=110 eta in 0.002, 0.02 ROI'!$H$148,'qmax=110 eta in 0.002, 0.02 ROI'!$H$213,'qmax=110 eta in 0.002, 0.02 ROI'!$H$278,'qmax=110 eta in 0.002, 0.02 ROI'!$H$343,'qmax=110 eta in 0.002, 0.02 ROI'!$H$408)</c:f>
              <c:numCache>
                <c:formatCode>General</c:formatCode>
                <c:ptCount val="7"/>
                <c:pt idx="0">
                  <c:v>0.80524249999999997</c:v>
                </c:pt>
                <c:pt idx="1">
                  <c:v>0.80210550000000003</c:v>
                </c:pt>
                <c:pt idx="2">
                  <c:v>0.80074999999999996</c:v>
                </c:pt>
                <c:pt idx="3">
                  <c:v>0.80065149999999996</c:v>
                </c:pt>
                <c:pt idx="4">
                  <c:v>0.80253975</c:v>
                </c:pt>
                <c:pt idx="5">
                  <c:v>0.80221399999999998</c:v>
                </c:pt>
                <c:pt idx="6">
                  <c:v>0.80210250000000005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A-40FF-A204-594FBEE77B60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ROI'!$H$38,'qmax=110 eta in 0.002, 0.02 ROI'!$H$103,'qmax=110 eta in 0.002, 0.02 ROI'!$H$168,'qmax=110 eta in 0.002, 0.02 ROI'!$H$233,'qmax=110 eta in 0.002, 0.02 ROI'!$H$298,'qmax=110 eta in 0.002, 0.02 ROI'!$H$363,'qmax=110 eta in 0.002, 0.02 ROI'!$H$428)</c:f>
              <c:numCache>
                <c:formatCode>General</c:formatCode>
                <c:ptCount val="7"/>
                <c:pt idx="0">
                  <c:v>0.80776349999999997</c:v>
                </c:pt>
                <c:pt idx="1">
                  <c:v>0.80329150000000005</c:v>
                </c:pt>
                <c:pt idx="2">
                  <c:v>0.80393150000000002</c:v>
                </c:pt>
                <c:pt idx="3">
                  <c:v>0.80345149999999999</c:v>
                </c:pt>
                <c:pt idx="4">
                  <c:v>0.79627000000000003</c:v>
                </c:pt>
                <c:pt idx="5">
                  <c:v>0.79658974999999999</c:v>
                </c:pt>
                <c:pt idx="6">
                  <c:v>0.79513450000000008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DA-40FF-A204-594FBEE77B60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ROI'!$H$28,'qmax=110 eta in 0.002, 0.02 ROI'!$H$93,'qmax=110 eta in 0.002, 0.02 ROI'!$H$158,'qmax=110 eta in 0.002, 0.02 ROI'!$H$223,'qmax=110 eta in 0.002, 0.02 ROI'!$H$288,'qmax=110 eta in 0.002, 0.02 ROI'!$H$353,'qmax=110 eta in 0.002, 0.02 ROI'!$H$418)</c:f>
              <c:numCache>
                <c:formatCode>General</c:formatCode>
                <c:ptCount val="7"/>
                <c:pt idx="0">
                  <c:v>0.82121124999999995</c:v>
                </c:pt>
                <c:pt idx="1">
                  <c:v>0.81105975000000008</c:v>
                </c:pt>
                <c:pt idx="2">
                  <c:v>0.80751925000000002</c:v>
                </c:pt>
                <c:pt idx="3">
                  <c:v>0.80583450000000001</c:v>
                </c:pt>
                <c:pt idx="4">
                  <c:v>0.80234074999999994</c:v>
                </c:pt>
                <c:pt idx="5">
                  <c:v>0.80233975000000002</c:v>
                </c:pt>
                <c:pt idx="6">
                  <c:v>0.80088300000000001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DA-40FF-A204-594FBEE77B60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ROI'!$H$56,'qmax=110 eta in 0.002, 0.02 ROI'!$H$121,'qmax=110 eta in 0.002, 0.02 ROI'!$H$186,'qmax=110 eta in 0.002, 0.02 ROI'!$H$251,'qmax=110 eta in 0.002, 0.02 ROI'!$H$316,'qmax=110 eta in 0.002, 0.02 ROI'!$H$381,'qmax=110 eta in 0.002, 0.02 ROI'!$H$446)</c:f>
              <c:numCache>
                <c:formatCode>General</c:formatCode>
                <c:ptCount val="7"/>
                <c:pt idx="0">
                  <c:v>0.82528675000000007</c:v>
                </c:pt>
                <c:pt idx="1">
                  <c:v>0.80839250000000007</c:v>
                </c:pt>
                <c:pt idx="2">
                  <c:v>0.79694374999999995</c:v>
                </c:pt>
                <c:pt idx="3">
                  <c:v>0.79009550000000006</c:v>
                </c:pt>
                <c:pt idx="4">
                  <c:v>0.78314300000000003</c:v>
                </c:pt>
                <c:pt idx="5">
                  <c:v>0.779976</c:v>
                </c:pt>
                <c:pt idx="6">
                  <c:v>0.77937649999999992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DA-40FF-A204-594FBEE77B60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ROI'!$H$66,'qmax=110 eta in 0.002, 0.02 ROI'!$H$131,'qmax=110 eta in 0.002, 0.02 ROI'!$H$196,'qmax=110 eta in 0.002, 0.02 ROI'!$H$261,'qmax=110 eta in 0.002, 0.02 ROI'!$H$326,'qmax=110 eta in 0.002, 0.02 ROI'!$H$391,'qmax=110 eta in 0.002, 0.02 ROI'!$H$456)</c:f>
              <c:numCache>
                <c:formatCode>General</c:formatCode>
                <c:ptCount val="7"/>
                <c:pt idx="0">
                  <c:v>0.82514425000000002</c:v>
                </c:pt>
                <c:pt idx="1">
                  <c:v>0.81572075000000011</c:v>
                </c:pt>
                <c:pt idx="2">
                  <c:v>0.81135325000000003</c:v>
                </c:pt>
                <c:pt idx="3">
                  <c:v>0.81218100000000004</c:v>
                </c:pt>
                <c:pt idx="4">
                  <c:v>0.80606549999999999</c:v>
                </c:pt>
                <c:pt idx="5">
                  <c:v>0.80488625000000003</c:v>
                </c:pt>
                <c:pt idx="6">
                  <c:v>0.80351700000000004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DA-40FF-A204-594FBEE77B60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ROI'!$H$48,'qmax=110 eta in 0.002, 0.02 ROI'!$H$113,'qmax=110 eta in 0.002, 0.02 ROI'!$H$178,'qmax=110 eta in 0.002, 0.02 ROI'!$H$243,'qmax=110 eta in 0.002, 0.02 ROI'!$H$308,'qmax=110 eta in 0.002, 0.02 ROI'!$H$373,'qmax=110 eta in 0.002, 0.02 ROI'!$H$438)</c:f>
              <c:numCache>
                <c:formatCode>General</c:formatCode>
                <c:ptCount val="7"/>
                <c:pt idx="0">
                  <c:v>0.79547066666666666</c:v>
                </c:pt>
                <c:pt idx="1">
                  <c:v>0.78393000000000013</c:v>
                </c:pt>
                <c:pt idx="2">
                  <c:v>0.78230133333333329</c:v>
                </c:pt>
                <c:pt idx="3">
                  <c:v>0.77598566666666668</c:v>
                </c:pt>
                <c:pt idx="4">
                  <c:v>0.77734866666666669</c:v>
                </c:pt>
                <c:pt idx="5">
                  <c:v>0.77524999999999988</c:v>
                </c:pt>
                <c:pt idx="6">
                  <c:v>0.77320066666666654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DA-40FF-A204-594FBEE7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ROI'!$H$61,'qmax=110 eta in 0.002, 0.02 ROI'!$H$126,'qmax=110 eta in 0.002, 0.02 ROI'!$H$191,'qmax=110 eta in 0.002, 0.02 ROI'!$H$256,'qmax=110 eta in 0.002, 0.02 ROI'!$H$321,'qmax=110 eta in 0.002, 0.02 ROI'!$H$386,'qmax=110 eta in 0.002, 0.02 ROI'!$H$451)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0.77120275000000005</c:v>
                      </c:pt>
                      <c:pt idx="1">
                        <c:v>0.71871125000000002</c:v>
                      </c:pt>
                      <c:pt idx="2">
                        <c:v>0.69098874999999993</c:v>
                      </c:pt>
                      <c:pt idx="3">
                        <c:v>0.67424400000000007</c:v>
                      </c:pt>
                      <c:pt idx="4">
                        <c:v>0.68203674999999997</c:v>
                      </c:pt>
                      <c:pt idx="5">
                        <c:v>0.68839450000000002</c:v>
                      </c:pt>
                      <c:pt idx="6">
                        <c:v>0.71515550000000006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EFDA-40FF-A204-594FBEE77B60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4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ROI'!$H$14,'qmax=110 eta in 0.002, 0.02 ROI'!$H$79,'qmax=110 eta in 0.002, 0.02 ROI'!$H$144,'qmax=110 eta in 0.002, 0.02 ROI'!$H$209,'qmax=110 eta in 0.002, 0.02 ROI'!$H$274,'qmax=110 eta in 0.002, 0.02 ROI'!$H$339,'qmax=110 eta in 0.002, 0.02 ROI'!$H$404)</c:f>
              <c:numCache>
                <c:formatCode>General</c:formatCode>
                <c:ptCount val="7"/>
                <c:pt idx="0">
                  <c:v>0.95708075000000004</c:v>
                </c:pt>
                <c:pt idx="1">
                  <c:v>0.95551900000000001</c:v>
                </c:pt>
                <c:pt idx="2">
                  <c:v>0.95484349999999996</c:v>
                </c:pt>
                <c:pt idx="3">
                  <c:v>0.95503650000000007</c:v>
                </c:pt>
                <c:pt idx="4">
                  <c:v>0.95658124999999994</c:v>
                </c:pt>
                <c:pt idx="5">
                  <c:v>0.95670949999999999</c:v>
                </c:pt>
                <c:pt idx="6">
                  <c:v>0.95666675000000001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A-47CD-B3CA-96A7D4F95713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ROI'!$H$34,'qmax=110 eta in 0.002, 0.02 ROI'!$H$99,'qmax=110 eta in 0.002, 0.02 ROI'!$H$164,'qmax=110 eta in 0.002, 0.02 ROI'!$H$229,'qmax=110 eta in 0.002, 0.02 ROI'!$H$294,'qmax=110 eta in 0.002, 0.02 ROI'!$H$359,'qmax=110 eta in 0.002, 0.02 ROI'!$H$424)</c:f>
              <c:numCache>
                <c:formatCode>General</c:formatCode>
                <c:ptCount val="7"/>
                <c:pt idx="0">
                  <c:v>0.95785500000000001</c:v>
                </c:pt>
                <c:pt idx="1">
                  <c:v>0.95647674999999999</c:v>
                </c:pt>
                <c:pt idx="2">
                  <c:v>0.95715050000000002</c:v>
                </c:pt>
                <c:pt idx="3">
                  <c:v>0.95711049999999998</c:v>
                </c:pt>
                <c:pt idx="4">
                  <c:v>0.95285074999999997</c:v>
                </c:pt>
                <c:pt idx="5">
                  <c:v>0.95316025000000004</c:v>
                </c:pt>
                <c:pt idx="6">
                  <c:v>0.95277049999999996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BA-47CD-B3CA-96A7D4F95713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ROI'!$H$24,'qmax=110 eta in 0.002, 0.02 ROI'!$H$89,'qmax=110 eta in 0.002, 0.02 ROI'!$H$154,'qmax=110 eta in 0.002, 0.02 ROI'!$H$219,'qmax=110 eta in 0.002, 0.02 ROI'!$H$284,'qmax=110 eta in 0.002, 0.02 ROI'!$H$349,'qmax=110 eta in 0.002, 0.02 ROI'!$H$414)</c:f>
              <c:numCache>
                <c:formatCode>General</c:formatCode>
                <c:ptCount val="7"/>
                <c:pt idx="0">
                  <c:v>0.96502499999999991</c:v>
                </c:pt>
                <c:pt idx="1">
                  <c:v>0.95974174999999995</c:v>
                </c:pt>
                <c:pt idx="2">
                  <c:v>0.9581377499999999</c:v>
                </c:pt>
                <c:pt idx="3">
                  <c:v>0.95721049999999996</c:v>
                </c:pt>
                <c:pt idx="4">
                  <c:v>0.95601249999999993</c:v>
                </c:pt>
                <c:pt idx="5">
                  <c:v>0.95623225000000001</c:v>
                </c:pt>
                <c:pt idx="6">
                  <c:v>0.95565424999999993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BA-47CD-B3CA-96A7D4F95713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ROI'!$H$54,'qmax=110 eta in 0.002, 0.02 ROI'!$H$119,'qmax=110 eta in 0.002, 0.02 ROI'!$H$184,'qmax=110 eta in 0.002, 0.02 ROI'!$H$249,'qmax=110 eta in 0.002, 0.02 ROI'!$H$314,'qmax=110 eta in 0.002, 0.02 ROI'!$H$379,'qmax=110 eta in 0.002, 0.02 ROI'!$H$444)</c:f>
              <c:numCache>
                <c:formatCode>General</c:formatCode>
                <c:ptCount val="7"/>
                <c:pt idx="0">
                  <c:v>0.96768725</c:v>
                </c:pt>
                <c:pt idx="1">
                  <c:v>0.96148850000000008</c:v>
                </c:pt>
                <c:pt idx="2">
                  <c:v>0.95580750000000003</c:v>
                </c:pt>
                <c:pt idx="3">
                  <c:v>0.95055349999999994</c:v>
                </c:pt>
                <c:pt idx="4">
                  <c:v>0.94661799999999996</c:v>
                </c:pt>
                <c:pt idx="5">
                  <c:v>0.94438350000000004</c:v>
                </c:pt>
                <c:pt idx="6">
                  <c:v>0.94379649999999993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BA-47CD-B3CA-96A7D4F95713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ROI'!$H$64,'qmax=110 eta in 0.002, 0.02 ROI'!$H$129,'qmax=110 eta in 0.002, 0.02 ROI'!$H$194,'qmax=110 eta in 0.002, 0.02 ROI'!$H$259,'qmax=110 eta in 0.002, 0.02 ROI'!$H$324,'qmax=110 eta in 0.002, 0.02 ROI'!$H$389,'qmax=110 eta in 0.002, 0.02 ROI'!$H$454)</c:f>
              <c:numCache>
                <c:formatCode>General</c:formatCode>
                <c:ptCount val="7"/>
                <c:pt idx="0">
                  <c:v>0.96704924999999997</c:v>
                </c:pt>
                <c:pt idx="1">
                  <c:v>0.96380474999999999</c:v>
                </c:pt>
                <c:pt idx="2">
                  <c:v>0.96145999999999998</c:v>
                </c:pt>
                <c:pt idx="3">
                  <c:v>0.9609605</c:v>
                </c:pt>
                <c:pt idx="4">
                  <c:v>0.95868600000000004</c:v>
                </c:pt>
                <c:pt idx="5">
                  <c:v>0.958785</c:v>
                </c:pt>
                <c:pt idx="6">
                  <c:v>0.95764774999999991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BA-47CD-B3CA-96A7D4F95713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ROI'!$H$44,'qmax=110 eta in 0.002, 0.02 ROI'!$H$109,'qmax=110 eta in 0.002, 0.02 ROI'!$H$174,'qmax=110 eta in 0.002, 0.02 ROI'!$H$239,'qmax=110 eta in 0.002, 0.02 ROI'!$H$304,'qmax=110 eta in 0.002, 0.02 ROI'!$H$369,'qmax=110 eta in 0.002, 0.02 ROI'!$H$434)</c:f>
              <c:numCache>
                <c:formatCode>General</c:formatCode>
                <c:ptCount val="7"/>
                <c:pt idx="0">
                  <c:v>0.94259266666666675</c:v>
                </c:pt>
                <c:pt idx="1">
                  <c:v>0.93367166666666668</c:v>
                </c:pt>
                <c:pt idx="2">
                  <c:v>0.93202499999999999</c:v>
                </c:pt>
                <c:pt idx="3">
                  <c:v>0.92955433333333337</c:v>
                </c:pt>
                <c:pt idx="4">
                  <c:v>0.92922633333333327</c:v>
                </c:pt>
                <c:pt idx="5">
                  <c:v>0.92768933333333337</c:v>
                </c:pt>
                <c:pt idx="6">
                  <c:v>0.92619966666666675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BA-47CD-B3CA-96A7D4F95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ROI'!$H$4,'qmax=110 eta in 0.002, 0.02 ROI'!$H$69,'qmax=110 eta in 0.002, 0.02 ROI'!$H$134,'qmax=110 eta in 0.002, 0.02 ROI'!$H$199,'qmax=110 eta in 0.002, 0.02 ROI'!$H$264,'qmax=110 eta in 0.002, 0.02 ROI'!$H$329,'qmax=110 eta in 0.002, 0.02 ROI'!$H$394)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0.96430824999999998</c:v>
                      </c:pt>
                      <c:pt idx="1">
                        <c:v>0.96081949999999994</c:v>
                      </c:pt>
                      <c:pt idx="2">
                        <c:v>0.95772649999999993</c:v>
                      </c:pt>
                      <c:pt idx="3">
                        <c:v>0.95798300000000003</c:v>
                      </c:pt>
                      <c:pt idx="4">
                        <c:v>0.95605224999999994</c:v>
                      </c:pt>
                      <c:pt idx="5">
                        <c:v>0.95682849999999997</c:v>
                      </c:pt>
                      <c:pt idx="6">
                        <c:v>0.95573125000000003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57BA-47CD-B3CA-96A7D4F95713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ROI'!$H$59,'qmax=110 eta in 0.002, 0.02 ROI'!$H$124,'qmax=110 eta in 0.002, 0.02 ROI'!$H$189,'qmax=110 eta in 0.002, 0.02 ROI'!$H$254,'qmax=110 eta in 0.002, 0.02 ROI'!$H$319,'qmax=110 eta in 0.002, 0.02 ROI'!$H$384,'qmax=110 eta in 0.002, 0.02 ROI'!$H$449)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0.94453875000000009</c:v>
                      </c:pt>
                      <c:pt idx="1">
                        <c:v>0.91287249999999998</c:v>
                      </c:pt>
                      <c:pt idx="2">
                        <c:v>0.89148775000000002</c:v>
                      </c:pt>
                      <c:pt idx="3">
                        <c:v>0.875502</c:v>
                      </c:pt>
                      <c:pt idx="4">
                        <c:v>0.87337324999999999</c:v>
                      </c:pt>
                      <c:pt idx="5">
                        <c:v>0.87464900000000001</c:v>
                      </c:pt>
                      <c:pt idx="6">
                        <c:v>0.88650149999999994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7BA-47CD-B3CA-96A7D4F95713}"/>
                  </c:ext>
                </c:extLst>
              </c15:ser>
            </c15:filteredScatterSeries>
          </c:ext>
        </c:extLst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88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ROI'!$H$20,'qmax=110 eta in 0.002, 0.02 ROI'!$H$85,'qmax=110 eta in 0.002, 0.02 ROI'!$H$150,'qmax=110 eta in 0.002, 0.02 ROI'!$H$215,'qmax=110 eta in 0.002, 0.02 ROI'!$H$280,'qmax=110 eta in 0.002, 0.02 ROI'!$H$345,'qmax=110 eta in 0.002, 0.02 ROI'!$H$410)</c:f>
              <c:numCache>
                <c:formatCode>General</c:formatCode>
                <c:ptCount val="7"/>
                <c:pt idx="0">
                  <c:v>1.9386034999999999</c:v>
                </c:pt>
                <c:pt idx="1">
                  <c:v>1.97501075</c:v>
                </c:pt>
                <c:pt idx="2">
                  <c:v>1.98921675</c:v>
                </c:pt>
                <c:pt idx="3">
                  <c:v>2.0083345000000001</c:v>
                </c:pt>
                <c:pt idx="4">
                  <c:v>1.9926787500000001</c:v>
                </c:pt>
                <c:pt idx="5">
                  <c:v>1.9940267500000002</c:v>
                </c:pt>
                <c:pt idx="6">
                  <c:v>2.0068592499999998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8-4F29-8495-71FA101D8C36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ROI'!$H$40,'qmax=110 eta in 0.002, 0.02 ROI'!$H$105,'qmax=110 eta in 0.002, 0.02 ROI'!$H$170,'qmax=110 eta in 0.002, 0.02 ROI'!$H$235,'qmax=110 eta in 0.002, 0.02 ROI'!$H$300,'qmax=110 eta in 0.002, 0.02 ROI'!$H$365,'qmax=110 eta in 0.002, 0.02 ROI'!$H$430)</c:f>
              <c:numCache>
                <c:formatCode>General</c:formatCode>
                <c:ptCount val="7"/>
                <c:pt idx="0">
                  <c:v>1.8955372500000001</c:v>
                </c:pt>
                <c:pt idx="1">
                  <c:v>1.9743167500000001</c:v>
                </c:pt>
                <c:pt idx="2">
                  <c:v>1.9848222499999999</c:v>
                </c:pt>
                <c:pt idx="3">
                  <c:v>1.9969774999999998</c:v>
                </c:pt>
                <c:pt idx="4">
                  <c:v>2.0567567499999999</c:v>
                </c:pt>
                <c:pt idx="5">
                  <c:v>2.0446084999999998</c:v>
                </c:pt>
                <c:pt idx="6">
                  <c:v>2.058284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8-4F29-8495-71FA101D8C36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ROI'!$H$30,'qmax=110 eta in 0.002, 0.02 ROI'!$H$95,'qmax=110 eta in 0.002, 0.02 ROI'!$H$160,'qmax=110 eta in 0.002, 0.02 ROI'!$H$225,'qmax=110 eta in 0.002, 0.02 ROI'!$H$290,'qmax=110 eta in 0.002, 0.02 ROI'!$H$355,'qmax=110 eta in 0.002, 0.02 ROI'!$H$420)</c:f>
              <c:numCache>
                <c:formatCode>General</c:formatCode>
                <c:ptCount val="7"/>
                <c:pt idx="0">
                  <c:v>1.7365520000000001</c:v>
                </c:pt>
                <c:pt idx="1">
                  <c:v>1.8418627499999998</c:v>
                </c:pt>
                <c:pt idx="2">
                  <c:v>1.87490275</c:v>
                </c:pt>
                <c:pt idx="3">
                  <c:v>1.9262055</c:v>
                </c:pt>
                <c:pt idx="4">
                  <c:v>1.9644677500000001</c:v>
                </c:pt>
                <c:pt idx="5">
                  <c:v>1.97239225</c:v>
                </c:pt>
                <c:pt idx="6">
                  <c:v>1.9782722499999998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28-4F29-8495-71FA101D8C36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ROI'!$H$57,'qmax=110 eta in 0.002, 0.02 ROI'!$H$122,'qmax=110 eta in 0.002, 0.02 ROI'!$H$187,'qmax=110 eta in 0.002, 0.02 ROI'!$H$252,'qmax=110 eta in 0.002, 0.02 ROI'!$H$317,'qmax=110 eta in 0.002, 0.02 ROI'!$H$382,'qmax=110 eta in 0.002, 0.02 ROI'!$H$447)</c:f>
              <c:numCache>
                <c:formatCode>General</c:formatCode>
                <c:ptCount val="7"/>
                <c:pt idx="0">
                  <c:v>1.63753875</c:v>
                </c:pt>
                <c:pt idx="1">
                  <c:v>1.9099005000000002</c:v>
                </c:pt>
                <c:pt idx="2">
                  <c:v>2.0280377500000002</c:v>
                </c:pt>
                <c:pt idx="3">
                  <c:v>2.083075</c:v>
                </c:pt>
                <c:pt idx="4">
                  <c:v>2.2120060000000001</c:v>
                </c:pt>
                <c:pt idx="5">
                  <c:v>2.22464225</c:v>
                </c:pt>
                <c:pt idx="6">
                  <c:v>2.2803070000000001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28-4F29-8495-71FA101D8C36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ROI'!$H$67,'qmax=110 eta in 0.002, 0.02 ROI'!$H$132,'qmax=110 eta in 0.002, 0.02 ROI'!$H$197,'qmax=110 eta in 0.002, 0.02 ROI'!$H$262,'qmax=110 eta in 0.002, 0.02 ROI'!$H$327,'qmax=110 eta in 0.002, 0.02 ROI'!$H$392,'qmax=110 eta in 0.002, 0.02 ROI'!$H$457)</c:f>
              <c:numCache>
                <c:formatCode>General</c:formatCode>
                <c:ptCount val="7"/>
                <c:pt idx="0">
                  <c:v>1.7496505</c:v>
                </c:pt>
                <c:pt idx="1">
                  <c:v>1.8917855000000001</c:v>
                </c:pt>
                <c:pt idx="2">
                  <c:v>1.9152985</c:v>
                </c:pt>
                <c:pt idx="3">
                  <c:v>1.9673307499999999</c:v>
                </c:pt>
                <c:pt idx="4">
                  <c:v>1.992496</c:v>
                </c:pt>
                <c:pt idx="5">
                  <c:v>2.0283375000000001</c:v>
                </c:pt>
                <c:pt idx="6">
                  <c:v>2.0603687500000003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28-4F29-8495-71FA101D8C36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ROI'!$H$50,'qmax=110 eta in 0.002, 0.02 ROI'!$H$115,'qmax=110 eta in 0.002, 0.02 ROI'!$H$180,'qmax=110 eta in 0.002, 0.02 ROI'!$H$245,'qmax=110 eta in 0.002, 0.02 ROI'!$H$310,'qmax=110 eta in 0.002, 0.02 ROI'!$H$375,'qmax=110 eta in 0.002, 0.02 ROI'!$H$440)</c:f>
              <c:numCache>
                <c:formatCode>General</c:formatCode>
                <c:ptCount val="7"/>
                <c:pt idx="0">
                  <c:v>2.0639993333333333</c:v>
                </c:pt>
                <c:pt idx="1">
                  <c:v>2.2334806666666664</c:v>
                </c:pt>
                <c:pt idx="2">
                  <c:v>2.2540026666666666</c:v>
                </c:pt>
                <c:pt idx="3">
                  <c:v>2.3211759999999999</c:v>
                </c:pt>
                <c:pt idx="4">
                  <c:v>2.3260126666666667</c:v>
                </c:pt>
                <c:pt idx="5">
                  <c:v>2.3656486666666665</c:v>
                </c:pt>
                <c:pt idx="6">
                  <c:v>2.3789946666666668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28-4F29-8495-71FA101D8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ROI'!$H$10,'qmax=110 eta in 0.002, 0.02 ROI'!$H$75,'qmax=110 eta in 0.002, 0.02 ROI'!$H$140,'qmax=110 eta in 0.002, 0.02 ROI'!$H$205,'qmax=110 eta in 0.002, 0.02 ROI'!$H$270,'qmax=110 eta in 0.002, 0.02 ROI'!$H$335,'qmax=110 eta in 0.002, 0.02 ROI'!$H$400)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1.7479210000000001</c:v>
                      </c:pt>
                      <c:pt idx="1">
                        <c:v>1.8239320000000001</c:v>
                      </c:pt>
                      <c:pt idx="2">
                        <c:v>1.8828530000000003</c:v>
                      </c:pt>
                      <c:pt idx="3">
                        <c:v>1.9212629999999999</c:v>
                      </c:pt>
                      <c:pt idx="4">
                        <c:v>1.9698275000000001</c:v>
                      </c:pt>
                      <c:pt idx="5">
                        <c:v>1.9556472499999999</c:v>
                      </c:pt>
                      <c:pt idx="6">
                        <c:v>1.9751217500000002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B028-4F29-8495-71FA101D8C36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ROI'!$H$62,'qmax=110 eta in 0.002, 0.02 ROI'!$H$127,'qmax=110 eta in 0.002, 0.02 ROI'!$H$192,'qmax=110 eta in 0.002, 0.02 ROI'!$H$257,'qmax=110 eta in 0.002, 0.02 ROI'!$H$322,'qmax=110 eta in 0.002, 0.02 ROI'!$H$387,'qmax=110 eta in 0.002, 0.02 ROI'!$H$452)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2.4267175000000001</c:v>
                      </c:pt>
                      <c:pt idx="1">
                        <c:v>3.0916709999999998</c:v>
                      </c:pt>
                      <c:pt idx="2">
                        <c:v>3.43324425</c:v>
                      </c:pt>
                      <c:pt idx="3">
                        <c:v>3.77557425</c:v>
                      </c:pt>
                      <c:pt idx="4">
                        <c:v>3.8026099999999996</c:v>
                      </c:pt>
                      <c:pt idx="5">
                        <c:v>3.7678030000000002</c:v>
                      </c:pt>
                      <c:pt idx="6">
                        <c:v>3.4531149999999999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28-4F29-8495-71FA101D8C36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ROI'!$H$16,'qmax=110 eta in 0.002, 0.02 ROI'!$H$81,'qmax=110 eta in 0.002, 0.02 ROI'!$H$146,'qmax=110 eta in 0.002, 0.02 ROI'!$H$211,'qmax=110 eta in 0.002, 0.02 ROI'!$H$276,'qmax=110 eta in 0.002, 0.02 ROI'!$H$341,'qmax=110 eta in 0.002, 0.02 ROI'!$H$406)</c:f>
              <c:numCache>
                <c:formatCode>General</c:formatCode>
                <c:ptCount val="7"/>
                <c:pt idx="0">
                  <c:v>0.33047474999999998</c:v>
                </c:pt>
                <c:pt idx="1">
                  <c:v>0.33499950000000001</c:v>
                </c:pt>
                <c:pt idx="2">
                  <c:v>0.33719100000000002</c:v>
                </c:pt>
                <c:pt idx="3">
                  <c:v>0.33668424999999996</c:v>
                </c:pt>
                <c:pt idx="4">
                  <c:v>0.33386175000000001</c:v>
                </c:pt>
                <c:pt idx="5">
                  <c:v>0.33362249999999999</c:v>
                </c:pt>
                <c:pt idx="6">
                  <c:v>0.33406524999999998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3-4B29-AD20-34E31CF44E19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ROI'!$H$36,'qmax=110 eta in 0.002, 0.02 ROI'!$H$101,'qmax=110 eta in 0.002, 0.02 ROI'!$H$166,'qmax=110 eta in 0.002, 0.02 ROI'!$H$231,'qmax=110 eta in 0.002, 0.02 ROI'!$H$296,'qmax=110 eta in 0.002, 0.02 ROI'!$H$361,'qmax=110 eta in 0.002, 0.02 ROI'!$H$426)</c:f>
              <c:numCache>
                <c:formatCode>General</c:formatCode>
                <c:ptCount val="7"/>
                <c:pt idx="0">
                  <c:v>0.32735075000000002</c:v>
                </c:pt>
                <c:pt idx="1">
                  <c:v>0.33421650000000003</c:v>
                </c:pt>
                <c:pt idx="2">
                  <c:v>0.33261875000000002</c:v>
                </c:pt>
                <c:pt idx="3">
                  <c:v>0.33280900000000002</c:v>
                </c:pt>
                <c:pt idx="4">
                  <c:v>0.34324449999999995</c:v>
                </c:pt>
                <c:pt idx="5">
                  <c:v>0.34252824999999998</c:v>
                </c:pt>
                <c:pt idx="6">
                  <c:v>0.34439775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3-4B29-AD20-34E31CF44E19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ROI'!$H$26,'qmax=110 eta in 0.002, 0.02 ROI'!$H$91,'qmax=110 eta in 0.002, 0.02 ROI'!$H$156,'qmax=110 eta in 0.002, 0.02 ROI'!$H$221,'qmax=110 eta in 0.002, 0.02 ROI'!$H$286,'qmax=110 eta in 0.002, 0.02 ROI'!$H$351,'qmax=110 eta in 0.002, 0.02 ROI'!$H$416)</c:f>
              <c:numCache>
                <c:formatCode>General</c:formatCode>
                <c:ptCount val="7"/>
                <c:pt idx="0">
                  <c:v>0.30922349999999998</c:v>
                </c:pt>
                <c:pt idx="1">
                  <c:v>0.32256675000000001</c:v>
                </c:pt>
                <c:pt idx="2">
                  <c:v>0.32763224999999996</c:v>
                </c:pt>
                <c:pt idx="3">
                  <c:v>0.32995500000000005</c:v>
                </c:pt>
                <c:pt idx="4">
                  <c:v>0.33408899999999997</c:v>
                </c:pt>
                <c:pt idx="5">
                  <c:v>0.33396749999999997</c:v>
                </c:pt>
                <c:pt idx="6">
                  <c:v>0.33535899999999996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3-4B29-AD20-34E31CF44E19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ROI'!$H$55,'qmax=110 eta in 0.002, 0.02 ROI'!$H$120,'qmax=110 eta in 0.002, 0.02 ROI'!$H$185,'qmax=110 eta in 0.002, 0.02 ROI'!$H$250,'qmax=110 eta in 0.002, 0.02 ROI'!$H$315,'qmax=110 eta in 0.002, 0.02 ROI'!$H$380,'qmax=110 eta in 0.002, 0.02 ROI'!$H$445)</c:f>
              <c:numCache>
                <c:formatCode>General</c:formatCode>
                <c:ptCount val="7"/>
                <c:pt idx="0">
                  <c:v>0.29726174999999999</c:v>
                </c:pt>
                <c:pt idx="1">
                  <c:v>0.32031824999999997</c:v>
                </c:pt>
                <c:pt idx="2">
                  <c:v>0.33726824999999999</c:v>
                </c:pt>
                <c:pt idx="3">
                  <c:v>0.34828250000000005</c:v>
                </c:pt>
                <c:pt idx="4">
                  <c:v>0.358902</c:v>
                </c:pt>
                <c:pt idx="5">
                  <c:v>0.36248850000000005</c:v>
                </c:pt>
                <c:pt idx="6">
                  <c:v>0.36365200000000003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C3-4B29-AD20-34E31CF44E1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ROI'!$H$65,'qmax=110 eta in 0.002, 0.02 ROI'!$H$130,'qmax=110 eta in 0.002, 0.02 ROI'!$H$195,'qmax=110 eta in 0.002, 0.02 ROI'!$H$260,'qmax=110 eta in 0.002, 0.02 ROI'!$H$325,'qmax=110 eta in 0.002, 0.02 ROI'!$H$390,'qmax=110 eta in 0.002, 0.02 ROI'!$H$455)</c:f>
              <c:numCache>
                <c:formatCode>General</c:formatCode>
                <c:ptCount val="7"/>
                <c:pt idx="0">
                  <c:v>0.30771399999999999</c:v>
                </c:pt>
                <c:pt idx="1">
                  <c:v>0.32316575000000003</c:v>
                </c:pt>
                <c:pt idx="2">
                  <c:v>0.32656299999999999</c:v>
                </c:pt>
                <c:pt idx="3">
                  <c:v>0.32495299999999999</c:v>
                </c:pt>
                <c:pt idx="4">
                  <c:v>0.33173350000000001</c:v>
                </c:pt>
                <c:pt idx="5">
                  <c:v>0.33255999999999997</c:v>
                </c:pt>
                <c:pt idx="6">
                  <c:v>0.33288875000000001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C3-4B29-AD20-34E31CF44E1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ROI'!$H$46,'qmax=110 eta in 0.002, 0.02 ROI'!$H$111,'qmax=110 eta in 0.002, 0.02 ROI'!$H$176,'qmax=110 eta in 0.002, 0.02 ROI'!$H$241,'qmax=110 eta in 0.002, 0.02 ROI'!$H$306,'qmax=110 eta in 0.002, 0.02 ROI'!$H$371,'qmax=110 eta in 0.002, 0.02 ROI'!$H$436)</c:f>
              <c:numCache>
                <c:formatCode>General</c:formatCode>
                <c:ptCount val="7"/>
                <c:pt idx="0">
                  <c:v>0.37318000000000001</c:v>
                </c:pt>
                <c:pt idx="1">
                  <c:v>0.39010166666666662</c:v>
                </c:pt>
                <c:pt idx="2">
                  <c:v>0.39289533333333337</c:v>
                </c:pt>
                <c:pt idx="3">
                  <c:v>0.39998800000000001</c:v>
                </c:pt>
                <c:pt idx="4">
                  <c:v>0.39963799999999999</c:v>
                </c:pt>
                <c:pt idx="5">
                  <c:v>0.40263833333333338</c:v>
                </c:pt>
                <c:pt idx="6">
                  <c:v>0.40506766666666666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C3-4B29-AD20-34E31CF4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ROI'!$H$6,'qmax=110 eta in 0.002, 0.02 ROI'!$H$71,'qmax=110 eta in 0.002, 0.02 ROI'!$H$136,'qmax=110 eta in 0.002, 0.02 ROI'!$H$201,'qmax=110 eta in 0.002, 0.02 ROI'!$H$266,'qmax=110 eta in 0.002, 0.02 ROI'!$H$331,'qmax=110 eta in 0.002, 0.02 ROI'!$H$396)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0.31065549999999997</c:v>
                      </c:pt>
                      <c:pt idx="1">
                        <c:v>0.32002900000000001</c:v>
                      </c:pt>
                      <c:pt idx="2">
                        <c:v>0.32863500000000001</c:v>
                      </c:pt>
                      <c:pt idx="3">
                        <c:v>0.32903474999999999</c:v>
                      </c:pt>
                      <c:pt idx="4">
                        <c:v>0.33435399999999998</c:v>
                      </c:pt>
                      <c:pt idx="5">
                        <c:v>0.33241925</c:v>
                      </c:pt>
                      <c:pt idx="6">
                        <c:v>0.33492425000000003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DAC3-4B29-AD20-34E31CF44E19}"/>
                  </c:ext>
                </c:extLst>
              </c15:ser>
            </c15:filteredScatterSeries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ROI'!$H$60,'qmax=110 eta in 0.002, 0.02 ROI'!$H$125,'qmax=110 eta in 0.002, 0.02 ROI'!$H$190,'qmax=110 eta in 0.002, 0.02 ROI'!$H$255,'qmax=110 eta in 0.002, 0.02 ROI'!$H$320,'qmax=110 eta in 0.002, 0.02 ROI'!$H$385,'qmax=110 eta in 0.002, 0.02 ROI'!$H$450)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0.3860595</c:v>
                      </c:pt>
                      <c:pt idx="1">
                        <c:v>0.44687949999999999</c:v>
                      </c:pt>
                      <c:pt idx="2">
                        <c:v>0.48181550000000001</c:v>
                      </c:pt>
                      <c:pt idx="3">
                        <c:v>0.51147125000000004</c:v>
                      </c:pt>
                      <c:pt idx="4">
                        <c:v>0.50401625000000005</c:v>
                      </c:pt>
                      <c:pt idx="5">
                        <c:v>0.49723975000000004</c:v>
                      </c:pt>
                      <c:pt idx="6">
                        <c:v>0.46201400000000004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C3-4B29-AD20-34E31CF44E19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23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ROI'!$H$22,'qmax=110 eta in 0.002, 0.02 ROI'!$H$87,'qmax=110 eta in 0.002, 0.02 ROI'!$H$152,'qmax=110 eta in 0.002, 0.02 ROI'!$H$217,'qmax=110 eta in 0.002, 0.02 ROI'!$H$282,'qmax=110 eta in 0.002, 0.02 ROI'!$H$347,'qmax=110 eta in 0.002, 0.02 ROI'!$H$412)</c:f>
              <c:numCache>
                <c:formatCode>General</c:formatCode>
                <c:ptCount val="7"/>
                <c:pt idx="0">
                  <c:v>10.200294249999999</c:v>
                </c:pt>
                <c:pt idx="1">
                  <c:v>10.202742499999999</c:v>
                </c:pt>
                <c:pt idx="2">
                  <c:v>10.2989145</c:v>
                </c:pt>
                <c:pt idx="3">
                  <c:v>10.657810250000001</c:v>
                </c:pt>
                <c:pt idx="4">
                  <c:v>10.4203055</c:v>
                </c:pt>
                <c:pt idx="5">
                  <c:v>10.415454749999999</c:v>
                </c:pt>
                <c:pt idx="6">
                  <c:v>10.5414295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95-4346-A9BE-0A4B8F712372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ROI'!$H$42,'qmax=110 eta in 0.002, 0.02 ROI'!$H$107,'qmax=110 eta in 0.002, 0.02 ROI'!$H$172,'qmax=110 eta in 0.002, 0.02 ROI'!$H$237,'qmax=110 eta in 0.002, 0.02 ROI'!$H$302,'qmax=110 eta in 0.002, 0.02 ROI'!$H$367,'qmax=110 eta in 0.002, 0.02 ROI'!$H$432)</c:f>
              <c:numCache>
                <c:formatCode>General</c:formatCode>
                <c:ptCount val="7"/>
                <c:pt idx="0">
                  <c:v>9.9817464999999999</c:v>
                </c:pt>
                <c:pt idx="1">
                  <c:v>10.267654</c:v>
                </c:pt>
                <c:pt idx="2">
                  <c:v>10.2663995</c:v>
                </c:pt>
                <c:pt idx="3">
                  <c:v>10.49302175</c:v>
                </c:pt>
                <c:pt idx="4">
                  <c:v>10.437351249999999</c:v>
                </c:pt>
                <c:pt idx="5">
                  <c:v>10.461160749999999</c:v>
                </c:pt>
                <c:pt idx="6">
                  <c:v>10.573418250000001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95-4346-A9BE-0A4B8F712372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ROI'!$H$32,'qmax=110 eta in 0.002, 0.02 ROI'!$H$97,'qmax=110 eta in 0.002, 0.02 ROI'!$H$162,'qmax=110 eta in 0.002, 0.02 ROI'!$H$227,'qmax=110 eta in 0.002, 0.02 ROI'!$H$292,'qmax=110 eta in 0.002, 0.02 ROI'!$H$357,'qmax=110 eta in 0.002, 0.02 ROI'!$H$422)</c:f>
              <c:numCache>
                <c:formatCode>General</c:formatCode>
                <c:ptCount val="7"/>
                <c:pt idx="0">
                  <c:v>9.4990394999999985</c:v>
                </c:pt>
                <c:pt idx="1">
                  <c:v>9.6463210000000004</c:v>
                </c:pt>
                <c:pt idx="2">
                  <c:v>9.7069107500000005</c:v>
                </c:pt>
                <c:pt idx="3">
                  <c:v>9.8046790000000001</c:v>
                </c:pt>
                <c:pt idx="4">
                  <c:v>9.9107404999999993</c:v>
                </c:pt>
                <c:pt idx="5">
                  <c:v>9.9981402499999987</c:v>
                </c:pt>
                <c:pt idx="6">
                  <c:v>10.038715249999999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95-4346-A9BE-0A4B8F712372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ROI'!$H$58,'qmax=110 eta in 0.002, 0.02 ROI'!$H$123,'qmax=110 eta in 0.002, 0.02 ROI'!$H$188,'qmax=110 eta in 0.002, 0.02 ROI'!$H$253,'qmax=110 eta in 0.002, 0.02 ROI'!$H$318,'qmax=110 eta in 0.002, 0.02 ROI'!$H$383,'qmax=110 eta in 0.002, 0.02 ROI'!$H$448)</c:f>
              <c:numCache>
                <c:formatCode>General</c:formatCode>
                <c:ptCount val="7"/>
                <c:pt idx="0">
                  <c:v>8.9587415000000004</c:v>
                </c:pt>
                <c:pt idx="1">
                  <c:v>10.33983825</c:v>
                </c:pt>
                <c:pt idx="2">
                  <c:v>10.393083750000001</c:v>
                </c:pt>
                <c:pt idx="3">
                  <c:v>10.8321535</c:v>
                </c:pt>
                <c:pt idx="4">
                  <c:v>11.904903000000001</c:v>
                </c:pt>
                <c:pt idx="5">
                  <c:v>11.887137749999999</c:v>
                </c:pt>
                <c:pt idx="6">
                  <c:v>12.186042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595-4346-A9BE-0A4B8F712372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ROI'!$H$68,'qmax=110 eta in 0.002, 0.02 ROI'!$H$133,'qmax=110 eta in 0.002, 0.02 ROI'!$H$198,'qmax=110 eta in 0.002, 0.02 ROI'!$H$263,'qmax=110 eta in 0.002, 0.02 ROI'!$H$328,'qmax=110 eta in 0.002, 0.02 ROI'!$H$393,'qmax=110 eta in 0.002, 0.02 ROI'!$H$458)</c:f>
              <c:numCache>
                <c:formatCode>General</c:formatCode>
                <c:ptCount val="7"/>
                <c:pt idx="0">
                  <c:v>9.9760867499999986</c:v>
                </c:pt>
                <c:pt idx="1">
                  <c:v>10.425444000000001</c:v>
                </c:pt>
                <c:pt idx="2">
                  <c:v>10.369811</c:v>
                </c:pt>
                <c:pt idx="3">
                  <c:v>11.468548500000001</c:v>
                </c:pt>
                <c:pt idx="4">
                  <c:v>10.548895750000002</c:v>
                </c:pt>
                <c:pt idx="5">
                  <c:v>10.497407749999999</c:v>
                </c:pt>
                <c:pt idx="6">
                  <c:v>11.433662500000001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595-4346-A9BE-0A4B8F712372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ROI'!$H$52,'qmax=110 eta in 0.002, 0.02 ROI'!$H$117,'qmax=110 eta in 0.002, 0.02 ROI'!$H$182,'qmax=110 eta in 0.002, 0.02 ROI'!$H$247,'qmax=110 eta in 0.002, 0.02 ROI'!$H$312,'qmax=110 eta in 0.002, 0.02 ROI'!$H$377,'qmax=110 eta in 0.002, 0.02 ROI'!$H$442)</c:f>
              <c:numCache>
                <c:formatCode>General</c:formatCode>
                <c:ptCount val="7"/>
                <c:pt idx="0">
                  <c:v>11.117156</c:v>
                </c:pt>
                <c:pt idx="1">
                  <c:v>11.849270666666667</c:v>
                </c:pt>
                <c:pt idx="2">
                  <c:v>11.865678333333333</c:v>
                </c:pt>
                <c:pt idx="3">
                  <c:v>12.113765666666668</c:v>
                </c:pt>
                <c:pt idx="4">
                  <c:v>12.212772333333334</c:v>
                </c:pt>
                <c:pt idx="5">
                  <c:v>12.433428999999999</c:v>
                </c:pt>
                <c:pt idx="6">
                  <c:v>12.398801999999998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95-4346-A9BE-0A4B8F712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RNN RTRL</c:v>
                </c:tx>
                <c:spPr>
                  <a:ln w="19050" cap="rnd">
                    <a:solidFill>
                      <a:srgbClr val="00B05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5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ROI'!$H$12,'qmax=110 eta in 0.002, 0.02 ROI'!$H$77,'qmax=110 eta in 0.002, 0.02 ROI'!$H$142,'qmax=110 eta in 0.002, 0.02 ROI'!$H$207,'qmax=110 eta in 0.002, 0.02 ROI'!$H$272,'qmax=110 eta in 0.002, 0.02 ROI'!$H$337,'qmax=110 eta in 0.002, 0.02 ROI'!$H$402)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9.5265837500000004</c:v>
                      </c:pt>
                      <c:pt idx="1">
                        <c:v>9.6743832500000018</c:v>
                      </c:pt>
                      <c:pt idx="2">
                        <c:v>9.7064922500000002</c:v>
                      </c:pt>
                      <c:pt idx="3">
                        <c:v>9.9888062499999997</c:v>
                      </c:pt>
                      <c:pt idx="4">
                        <c:v>9.9253742500000008</c:v>
                      </c:pt>
                      <c:pt idx="5">
                        <c:v>9.9099435000000007</c:v>
                      </c:pt>
                      <c:pt idx="6">
                        <c:v>10.040689250000002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A595-4346-A9BE-0A4B8F712372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ROI'!$H$63,'qmax=110 eta in 0.002, 0.02 ROI'!$H$128,'qmax=110 eta in 0.002, 0.02 ROI'!$H$193,'qmax=110 eta in 0.002, 0.02 ROI'!$H$258,'qmax=110 eta in 0.002, 0.02 ROI'!$H$323,'qmax=110 eta in 0.002, 0.02 ROI'!$H$388,'qmax=110 eta in 0.002, 0.02 ROI'!$H$453)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12.4921965</c:v>
                      </c:pt>
                      <c:pt idx="1">
                        <c:v>15.753681749999998</c:v>
                      </c:pt>
                      <c:pt idx="2">
                        <c:v>16.376758499999998</c:v>
                      </c:pt>
                      <c:pt idx="3">
                        <c:v>17.3930905</c:v>
                      </c:pt>
                      <c:pt idx="4">
                        <c:v>16.9551205</c:v>
                      </c:pt>
                      <c:pt idx="5">
                        <c:v>16.048672500000002</c:v>
                      </c:pt>
                      <c:pt idx="6">
                        <c:v>14.607619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595-4346-A9BE-0A4B8F712372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plus>
            <c:min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ROI'!$H$8,'qmax=110 eta in 0.002, 0.02 ROI'!$H$73,'qmax=110 eta in 0.002, 0.02 ROI'!$H$138,'qmax=110 eta in 0.002, 0.02 ROI'!$H$203,'qmax=110 eta in 0.002, 0.02 ROI'!$H$268,'qmax=110 eta in 0.002, 0.02 ROI'!$H$333,'qmax=110 eta in 0.002, 0.02 ROI'!$H$398)</c:f>
              <c:numCache>
                <c:formatCode>General</c:formatCode>
                <c:ptCount val="7"/>
                <c:pt idx="0">
                  <c:v>0.82031425000000002</c:v>
                </c:pt>
                <c:pt idx="1">
                  <c:v>0.81284325000000002</c:v>
                </c:pt>
                <c:pt idx="2">
                  <c:v>0.80636649999999999</c:v>
                </c:pt>
                <c:pt idx="3">
                  <c:v>0.80624874999999996</c:v>
                </c:pt>
                <c:pt idx="4">
                  <c:v>0.80199774999999995</c:v>
                </c:pt>
                <c:pt idx="5">
                  <c:v>0.80328025000000003</c:v>
                </c:pt>
                <c:pt idx="6">
                  <c:v>0.80108924999999997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939-417A-94C5-D19F27AE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ROI'!$H$18,'qmax=110 eta in 0.002, 0.02 ROI'!$H$83,'qmax=110 eta in 0.002, 0.02 ROI'!$H$148,'qmax=110 eta in 0.002, 0.02 ROI'!$H$213,'qmax=110 eta in 0.002, 0.02 ROI'!$H$278,'qmax=110 eta in 0.002, 0.02 ROI'!$H$343,'qmax=110 eta in 0.002, 0.02 ROI'!$H$408)</c:f>
              <c:numCache>
                <c:formatCode>General</c:formatCode>
                <c:ptCount val="7"/>
                <c:pt idx="0">
                  <c:v>0.80524249999999997</c:v>
                </c:pt>
                <c:pt idx="1">
                  <c:v>0.80210550000000003</c:v>
                </c:pt>
                <c:pt idx="2">
                  <c:v>0.80074999999999996</c:v>
                </c:pt>
                <c:pt idx="3">
                  <c:v>0.80065149999999996</c:v>
                </c:pt>
                <c:pt idx="4">
                  <c:v>0.80253975</c:v>
                </c:pt>
                <c:pt idx="5">
                  <c:v>0.80221399999999998</c:v>
                </c:pt>
                <c:pt idx="6">
                  <c:v>0.80210250000000005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939-417A-94C5-D19F27AE4DC4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ROI'!$H$104,'qmax=110 eta in 0.002, 0.02 ROI'!$H$169,'qmax=110 eta in 0.002, 0.02 ROI'!$H$234,'qmax=110 eta in 0.002, 0.02 ROI'!$H$299,'qmax=110 eta in 0.002, 0.02 ROI'!$H$364,'qmax=110 eta in 0.002, 0.02 ROI'!$H$429)</c:f>
                <c:numCache>
                  <c:formatCode>General</c:formatCode>
                  <c:ptCount val="6"/>
                  <c:pt idx="0">
                    <c:v>2.4395272339123417E-3</c:v>
                  </c:pt>
                  <c:pt idx="1">
                    <c:v>2.7471913611905527E-3</c:v>
                  </c:pt>
                  <c:pt idx="2">
                    <c:v>2.5280472454050377E-3</c:v>
                  </c:pt>
                  <c:pt idx="3">
                    <c:v>3.14257666970911E-3</c:v>
                  </c:pt>
                  <c:pt idx="4">
                    <c:v>3.9600549791006688E-3</c:v>
                  </c:pt>
                  <c:pt idx="5">
                    <c:v>3.171965567672512E-3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ROI'!$H$104,'qmax=110 eta in 0.002, 0.02 ROI'!$H$169,'qmax=110 eta in 0.002, 0.02 ROI'!$H$234,'qmax=110 eta in 0.002, 0.02 ROI'!$H$299,'qmax=110 eta in 0.002, 0.02 ROI'!$H$364,'qmax=110 eta in 0.002, 0.02 ROI'!$H$429)</c:f>
                <c:numCache>
                  <c:formatCode>General</c:formatCode>
                  <c:ptCount val="6"/>
                  <c:pt idx="0">
                    <c:v>2.4395272339123417E-3</c:v>
                  </c:pt>
                  <c:pt idx="1">
                    <c:v>2.7471913611905527E-3</c:v>
                  </c:pt>
                  <c:pt idx="2">
                    <c:v>2.5280472454050377E-3</c:v>
                  </c:pt>
                  <c:pt idx="3">
                    <c:v>3.14257666970911E-3</c:v>
                  </c:pt>
                  <c:pt idx="4">
                    <c:v>3.9600549791006688E-3</c:v>
                  </c:pt>
                  <c:pt idx="5">
                    <c:v>3.171965567672512E-3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ROI'!$H$38,'qmax=110 eta in 0.002, 0.02 ROI'!$H$103,'qmax=110 eta in 0.002, 0.02 ROI'!$H$168,'qmax=110 eta in 0.002, 0.02 ROI'!$H$233,'qmax=110 eta in 0.002, 0.02 ROI'!$H$298,'qmax=110 eta in 0.002, 0.02 ROI'!$H$363,'qmax=110 eta in 0.002, 0.02 ROI'!$H$428)</c:f>
              <c:numCache>
                <c:formatCode>General</c:formatCode>
                <c:ptCount val="7"/>
                <c:pt idx="0">
                  <c:v>0.80776349999999997</c:v>
                </c:pt>
                <c:pt idx="1">
                  <c:v>0.80329150000000005</c:v>
                </c:pt>
                <c:pt idx="2">
                  <c:v>0.80393150000000002</c:v>
                </c:pt>
                <c:pt idx="3">
                  <c:v>0.80345149999999999</c:v>
                </c:pt>
                <c:pt idx="4">
                  <c:v>0.79627000000000003</c:v>
                </c:pt>
                <c:pt idx="5">
                  <c:v>0.79658974999999999</c:v>
                </c:pt>
                <c:pt idx="6">
                  <c:v>0.79513450000000008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939-417A-94C5-D19F27AE4DC4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ROI'!$H$28,'qmax=110 eta in 0.002, 0.02 ROI'!$H$93,'qmax=110 eta in 0.002, 0.02 ROI'!$H$158,'qmax=110 eta in 0.002, 0.02 ROI'!$H$223,'qmax=110 eta in 0.002, 0.02 ROI'!$H$288,'qmax=110 eta in 0.002, 0.02 ROI'!$H$353,'qmax=110 eta in 0.002, 0.02 ROI'!$H$418)</c:f>
              <c:numCache>
                <c:formatCode>General</c:formatCode>
                <c:ptCount val="7"/>
                <c:pt idx="0">
                  <c:v>0.82121124999999995</c:v>
                </c:pt>
                <c:pt idx="1">
                  <c:v>0.81105975000000008</c:v>
                </c:pt>
                <c:pt idx="2">
                  <c:v>0.80751925000000002</c:v>
                </c:pt>
                <c:pt idx="3">
                  <c:v>0.80583450000000001</c:v>
                </c:pt>
                <c:pt idx="4">
                  <c:v>0.80234074999999994</c:v>
                </c:pt>
                <c:pt idx="5">
                  <c:v>0.80233975000000002</c:v>
                </c:pt>
                <c:pt idx="6">
                  <c:v>0.80088300000000001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39-417A-94C5-D19F27AE4DC4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ROI'!$H$56,'qmax=110 eta in 0.002, 0.02 ROI'!$H$121,'qmax=110 eta in 0.002, 0.02 ROI'!$H$186,'qmax=110 eta in 0.002, 0.02 ROI'!$H$251,'qmax=110 eta in 0.002, 0.02 ROI'!$H$316,'qmax=110 eta in 0.002, 0.02 ROI'!$H$381,'qmax=110 eta in 0.002, 0.02 ROI'!$H$446)</c:f>
              <c:numCache>
                <c:formatCode>General</c:formatCode>
                <c:ptCount val="7"/>
                <c:pt idx="0">
                  <c:v>0.82528675000000007</c:v>
                </c:pt>
                <c:pt idx="1">
                  <c:v>0.80839250000000007</c:v>
                </c:pt>
                <c:pt idx="2">
                  <c:v>0.79694374999999995</c:v>
                </c:pt>
                <c:pt idx="3">
                  <c:v>0.79009550000000006</c:v>
                </c:pt>
                <c:pt idx="4">
                  <c:v>0.78314300000000003</c:v>
                </c:pt>
                <c:pt idx="5">
                  <c:v>0.779976</c:v>
                </c:pt>
                <c:pt idx="6">
                  <c:v>0.77937649999999992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939-417A-94C5-D19F27AE4DC4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ROI'!$H$66,'qmax=110 eta in 0.002, 0.02 ROI'!$H$131,'qmax=110 eta in 0.002, 0.02 ROI'!$H$196,'qmax=110 eta in 0.002, 0.02 ROI'!$H$261,'qmax=110 eta in 0.002, 0.02 ROI'!$H$326,'qmax=110 eta in 0.002, 0.02 ROI'!$H$391,'qmax=110 eta in 0.002, 0.02 ROI'!$H$456)</c:f>
              <c:numCache>
                <c:formatCode>General</c:formatCode>
                <c:ptCount val="7"/>
                <c:pt idx="0">
                  <c:v>0.82514425000000002</c:v>
                </c:pt>
                <c:pt idx="1">
                  <c:v>0.81572075000000011</c:v>
                </c:pt>
                <c:pt idx="2">
                  <c:v>0.81135325000000003</c:v>
                </c:pt>
                <c:pt idx="3">
                  <c:v>0.81218100000000004</c:v>
                </c:pt>
                <c:pt idx="4">
                  <c:v>0.80606549999999999</c:v>
                </c:pt>
                <c:pt idx="5">
                  <c:v>0.80488625000000003</c:v>
                </c:pt>
                <c:pt idx="6">
                  <c:v>0.80351700000000004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39-417A-94C5-D19F27AE4DC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ROI'!$H$48,'qmax=110 eta in 0.002, 0.02 ROI'!$H$113,'qmax=110 eta in 0.002, 0.02 ROI'!$H$178,'qmax=110 eta in 0.002, 0.02 ROI'!$H$243,'qmax=110 eta in 0.002, 0.02 ROI'!$H$308,'qmax=110 eta in 0.002, 0.02 ROI'!$H$373,'qmax=110 eta in 0.002, 0.02 ROI'!$H$438)</c:f>
              <c:numCache>
                <c:formatCode>General</c:formatCode>
                <c:ptCount val="7"/>
                <c:pt idx="0">
                  <c:v>0.79547066666666666</c:v>
                </c:pt>
                <c:pt idx="1">
                  <c:v>0.78393000000000013</c:v>
                </c:pt>
                <c:pt idx="2">
                  <c:v>0.78230133333333329</c:v>
                </c:pt>
                <c:pt idx="3">
                  <c:v>0.77598566666666668</c:v>
                </c:pt>
                <c:pt idx="4">
                  <c:v>0.77734866666666669</c:v>
                </c:pt>
                <c:pt idx="5">
                  <c:v>0.77524999999999988</c:v>
                </c:pt>
                <c:pt idx="6">
                  <c:v>0.77320066666666654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939-417A-94C5-D19F27AE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ROI'!$H$61,'qmax=110 eta in 0.002, 0.02 ROI'!$H$126,'qmax=110 eta in 0.002, 0.02 ROI'!$H$191,'qmax=110 eta in 0.002, 0.02 ROI'!$H$256,'qmax=110 eta in 0.002, 0.02 ROI'!$H$321,'qmax=110 eta in 0.002, 0.02 ROI'!$H$386,'qmax=110 eta in 0.002, 0.02 ROI'!$H$451)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0.77120275000000005</c:v>
                      </c:pt>
                      <c:pt idx="1">
                        <c:v>0.71871125000000002</c:v>
                      </c:pt>
                      <c:pt idx="2">
                        <c:v>0.69098874999999993</c:v>
                      </c:pt>
                      <c:pt idx="3">
                        <c:v>0.67424400000000007</c:v>
                      </c:pt>
                      <c:pt idx="4">
                        <c:v>0.68203674999999997</c:v>
                      </c:pt>
                      <c:pt idx="5">
                        <c:v>0.68839450000000002</c:v>
                      </c:pt>
                      <c:pt idx="6">
                        <c:v>0.71515550000000006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939-417A-94C5-D19F27AE4DC4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plus>
            <c:min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ROI'!$H$4,'qmax=110 eta in 0.002, 0.02 ROI'!$H$69,'qmax=110 eta in 0.002, 0.02 ROI'!$H$134,'qmax=110 eta in 0.002, 0.02 ROI'!$H$199,'qmax=110 eta in 0.002, 0.02 ROI'!$H$264,'qmax=110 eta in 0.002, 0.02 ROI'!$H$329,'qmax=110 eta in 0.002, 0.02 ROI'!$H$394)</c:f>
              <c:numCache>
                <c:formatCode>General</c:formatCode>
                <c:ptCount val="7"/>
                <c:pt idx="0">
                  <c:v>0.96430824999999998</c:v>
                </c:pt>
                <c:pt idx="1">
                  <c:v>0.96081949999999994</c:v>
                </c:pt>
                <c:pt idx="2">
                  <c:v>0.95772649999999993</c:v>
                </c:pt>
                <c:pt idx="3">
                  <c:v>0.95798300000000003</c:v>
                </c:pt>
                <c:pt idx="4">
                  <c:v>0.95605224999999994</c:v>
                </c:pt>
                <c:pt idx="5">
                  <c:v>0.95682849999999997</c:v>
                </c:pt>
                <c:pt idx="6">
                  <c:v>0.95573125000000003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F709-43C6-ACFC-089C9660D27D}"/>
            </c:ext>
          </c:extLst>
        </c:ser>
        <c:ser>
          <c:idx val="2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ROI'!$H$14,'qmax=110 eta in 0.002, 0.02 ROI'!$H$79,'qmax=110 eta in 0.002, 0.02 ROI'!$H$144,'qmax=110 eta in 0.002, 0.02 ROI'!$H$209,'qmax=110 eta in 0.002, 0.02 ROI'!$H$274,'qmax=110 eta in 0.002, 0.02 ROI'!$H$339,'qmax=110 eta in 0.002, 0.02 ROI'!$H$404)</c:f>
              <c:numCache>
                <c:formatCode>General</c:formatCode>
                <c:ptCount val="7"/>
                <c:pt idx="0">
                  <c:v>0.95708075000000004</c:v>
                </c:pt>
                <c:pt idx="1">
                  <c:v>0.95551900000000001</c:v>
                </c:pt>
                <c:pt idx="2">
                  <c:v>0.95484349999999996</c:v>
                </c:pt>
                <c:pt idx="3">
                  <c:v>0.95503650000000007</c:v>
                </c:pt>
                <c:pt idx="4">
                  <c:v>0.95658124999999994</c:v>
                </c:pt>
                <c:pt idx="5">
                  <c:v>0.95670949999999999</c:v>
                </c:pt>
                <c:pt idx="6">
                  <c:v>0.95666675000000001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F709-43C6-ACFC-089C9660D27D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ROI'!$H$34,'qmax=110 eta in 0.002, 0.02 ROI'!$H$99,'qmax=110 eta in 0.002, 0.02 ROI'!$H$164,'qmax=110 eta in 0.002, 0.02 ROI'!$H$229,'qmax=110 eta in 0.002, 0.02 ROI'!$H$294,'qmax=110 eta in 0.002, 0.02 ROI'!$H$359,'qmax=110 eta in 0.002, 0.02 ROI'!$H$424)</c:f>
              <c:numCache>
                <c:formatCode>General</c:formatCode>
                <c:ptCount val="7"/>
                <c:pt idx="0">
                  <c:v>0.95785500000000001</c:v>
                </c:pt>
                <c:pt idx="1">
                  <c:v>0.95647674999999999</c:v>
                </c:pt>
                <c:pt idx="2">
                  <c:v>0.95715050000000002</c:v>
                </c:pt>
                <c:pt idx="3">
                  <c:v>0.95711049999999998</c:v>
                </c:pt>
                <c:pt idx="4">
                  <c:v>0.95285074999999997</c:v>
                </c:pt>
                <c:pt idx="5">
                  <c:v>0.95316025000000004</c:v>
                </c:pt>
                <c:pt idx="6">
                  <c:v>0.95277049999999996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709-43C6-ACFC-089C9660D27D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ROI'!$H$24,'qmax=110 eta in 0.002, 0.02 ROI'!$H$89,'qmax=110 eta in 0.002, 0.02 ROI'!$H$154,'qmax=110 eta in 0.002, 0.02 ROI'!$H$219,'qmax=110 eta in 0.002, 0.02 ROI'!$H$284,'qmax=110 eta in 0.002, 0.02 ROI'!$H$349,'qmax=110 eta in 0.002, 0.02 ROI'!$H$414)</c:f>
              <c:numCache>
                <c:formatCode>General</c:formatCode>
                <c:ptCount val="7"/>
                <c:pt idx="0">
                  <c:v>0.96502499999999991</c:v>
                </c:pt>
                <c:pt idx="1">
                  <c:v>0.95974174999999995</c:v>
                </c:pt>
                <c:pt idx="2">
                  <c:v>0.9581377499999999</c:v>
                </c:pt>
                <c:pt idx="3">
                  <c:v>0.95721049999999996</c:v>
                </c:pt>
                <c:pt idx="4">
                  <c:v>0.95601249999999993</c:v>
                </c:pt>
                <c:pt idx="5">
                  <c:v>0.95623225000000001</c:v>
                </c:pt>
                <c:pt idx="6">
                  <c:v>0.95565424999999993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09-43C6-ACFC-089C9660D27D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ROI'!$H$54,'qmax=110 eta in 0.002, 0.02 ROI'!$H$119,'qmax=110 eta in 0.002, 0.02 ROI'!$H$184,'qmax=110 eta in 0.002, 0.02 ROI'!$H$249,'qmax=110 eta in 0.002, 0.02 ROI'!$H$314,'qmax=110 eta in 0.002, 0.02 ROI'!$H$379,'qmax=110 eta in 0.002, 0.02 ROI'!$H$444)</c:f>
              <c:numCache>
                <c:formatCode>General</c:formatCode>
                <c:ptCount val="7"/>
                <c:pt idx="0">
                  <c:v>0.96768725</c:v>
                </c:pt>
                <c:pt idx="1">
                  <c:v>0.96148850000000008</c:v>
                </c:pt>
                <c:pt idx="2">
                  <c:v>0.95580750000000003</c:v>
                </c:pt>
                <c:pt idx="3">
                  <c:v>0.95055349999999994</c:v>
                </c:pt>
                <c:pt idx="4">
                  <c:v>0.94661799999999996</c:v>
                </c:pt>
                <c:pt idx="5">
                  <c:v>0.94438350000000004</c:v>
                </c:pt>
                <c:pt idx="6">
                  <c:v>0.94379649999999993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F709-43C6-ACFC-089C9660D27D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ROI'!$H$64,'qmax=110 eta in 0.002, 0.02 ROI'!$H$129,'qmax=110 eta in 0.002, 0.02 ROI'!$H$194,'qmax=110 eta in 0.002, 0.02 ROI'!$H$259,'qmax=110 eta in 0.002, 0.02 ROI'!$H$324,'qmax=110 eta in 0.002, 0.02 ROI'!$H$389,'qmax=110 eta in 0.002, 0.02 ROI'!$H$454)</c:f>
              <c:numCache>
                <c:formatCode>General</c:formatCode>
                <c:ptCount val="7"/>
                <c:pt idx="0">
                  <c:v>0.96704924999999997</c:v>
                </c:pt>
                <c:pt idx="1">
                  <c:v>0.96380474999999999</c:v>
                </c:pt>
                <c:pt idx="2">
                  <c:v>0.96145999999999998</c:v>
                </c:pt>
                <c:pt idx="3">
                  <c:v>0.9609605</c:v>
                </c:pt>
                <c:pt idx="4">
                  <c:v>0.95868600000000004</c:v>
                </c:pt>
                <c:pt idx="5">
                  <c:v>0.958785</c:v>
                </c:pt>
                <c:pt idx="6">
                  <c:v>0.95764774999999991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09-43C6-ACFC-089C9660D27D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ROI'!$H$44,'qmax=110 eta in 0.002, 0.02 ROI'!$H$109,'qmax=110 eta in 0.002, 0.02 ROI'!$H$174,'qmax=110 eta in 0.002, 0.02 ROI'!$H$239,'qmax=110 eta in 0.002, 0.02 ROI'!$H$304,'qmax=110 eta in 0.002, 0.02 ROI'!$H$369,'qmax=110 eta in 0.002, 0.02 ROI'!$H$434)</c:f>
              <c:numCache>
                <c:formatCode>General</c:formatCode>
                <c:ptCount val="7"/>
                <c:pt idx="0">
                  <c:v>0.94259266666666675</c:v>
                </c:pt>
                <c:pt idx="1">
                  <c:v>0.93367166666666668</c:v>
                </c:pt>
                <c:pt idx="2">
                  <c:v>0.93202499999999999</c:v>
                </c:pt>
                <c:pt idx="3">
                  <c:v>0.92955433333333337</c:v>
                </c:pt>
                <c:pt idx="4">
                  <c:v>0.92922633333333327</c:v>
                </c:pt>
                <c:pt idx="5">
                  <c:v>0.92768933333333337</c:v>
                </c:pt>
                <c:pt idx="6">
                  <c:v>0.92619966666666675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F709-43C6-ACFC-089C9660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ROI'!$H$59,'qmax=110 eta in 0.002, 0.02 ROI'!$H$124,'qmax=110 eta in 0.002, 0.02 ROI'!$H$189,'qmax=110 eta in 0.002, 0.02 ROI'!$H$254,'qmax=110 eta in 0.002, 0.02 ROI'!$H$319,'qmax=110 eta in 0.002, 0.02 ROI'!$H$384,'qmax=110 eta in 0.002, 0.02 ROI'!$H$449)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0.94453875000000009</c:v>
                      </c:pt>
                      <c:pt idx="1">
                        <c:v>0.91287249999999998</c:v>
                      </c:pt>
                      <c:pt idx="2">
                        <c:v>0.89148775000000002</c:v>
                      </c:pt>
                      <c:pt idx="3">
                        <c:v>0.875502</c:v>
                      </c:pt>
                      <c:pt idx="4">
                        <c:v>0.87337324999999999</c:v>
                      </c:pt>
                      <c:pt idx="5">
                        <c:v>0.87464900000000001</c:v>
                      </c:pt>
                      <c:pt idx="6">
                        <c:v>0.88650149999999994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F709-43C6-ACFC-089C9660D27D}"/>
                  </c:ext>
                </c:extLst>
              </c15:ser>
            </c15:filteredScatterSeries>
          </c:ext>
        </c:extLst>
      </c:scatterChart>
      <c:valAx>
        <c:axId val="-334856256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plus>
            <c:min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ROI'!$H$10,'qmax=110 eta in 0.002, 0.02 ROI'!$H$75,'qmax=110 eta in 0.002, 0.02 ROI'!$H$140,'qmax=110 eta in 0.002, 0.02 ROI'!$H$205,'qmax=110 eta in 0.002, 0.02 ROI'!$H$270,'qmax=110 eta in 0.002, 0.02 ROI'!$H$335,'qmax=110 eta in 0.002, 0.02 ROI'!$H$400)</c:f>
              <c:numCache>
                <c:formatCode>General</c:formatCode>
                <c:ptCount val="7"/>
                <c:pt idx="0">
                  <c:v>1.7479210000000001</c:v>
                </c:pt>
                <c:pt idx="1">
                  <c:v>1.8239320000000001</c:v>
                </c:pt>
                <c:pt idx="2">
                  <c:v>1.8828530000000003</c:v>
                </c:pt>
                <c:pt idx="3">
                  <c:v>1.9212629999999999</c:v>
                </c:pt>
                <c:pt idx="4">
                  <c:v>1.9698275000000001</c:v>
                </c:pt>
                <c:pt idx="5">
                  <c:v>1.9556472499999999</c:v>
                </c:pt>
                <c:pt idx="6">
                  <c:v>1.9751217500000002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7A6-4AE9-9D06-3B844239EB49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ROI'!$H$20,'qmax=110 eta in 0.002, 0.02 ROI'!$H$85,'qmax=110 eta in 0.002, 0.02 ROI'!$H$150,'qmax=110 eta in 0.002, 0.02 ROI'!$H$215,'qmax=110 eta in 0.002, 0.02 ROI'!$H$280,'qmax=110 eta in 0.002, 0.02 ROI'!$H$345,'qmax=110 eta in 0.002, 0.02 ROI'!$H$410)</c:f>
              <c:numCache>
                <c:formatCode>General</c:formatCode>
                <c:ptCount val="7"/>
                <c:pt idx="0">
                  <c:v>1.9386034999999999</c:v>
                </c:pt>
                <c:pt idx="1">
                  <c:v>1.97501075</c:v>
                </c:pt>
                <c:pt idx="2">
                  <c:v>1.98921675</c:v>
                </c:pt>
                <c:pt idx="3">
                  <c:v>2.0083345000000001</c:v>
                </c:pt>
                <c:pt idx="4">
                  <c:v>1.9926787500000001</c:v>
                </c:pt>
                <c:pt idx="5">
                  <c:v>1.9940267500000002</c:v>
                </c:pt>
                <c:pt idx="6">
                  <c:v>2.0068592499999998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7A6-4AE9-9D06-3B844239EB49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ROI'!$H$40,'qmax=110 eta in 0.002, 0.02 ROI'!$H$105,'qmax=110 eta in 0.002, 0.02 ROI'!$H$170,'qmax=110 eta in 0.002, 0.02 ROI'!$H$235,'qmax=110 eta in 0.002, 0.02 ROI'!$H$300,'qmax=110 eta in 0.002, 0.02 ROI'!$H$365,'qmax=110 eta in 0.002, 0.02 ROI'!$H$430)</c:f>
              <c:numCache>
                <c:formatCode>General</c:formatCode>
                <c:ptCount val="7"/>
                <c:pt idx="0">
                  <c:v>1.8955372500000001</c:v>
                </c:pt>
                <c:pt idx="1">
                  <c:v>1.9743167500000001</c:v>
                </c:pt>
                <c:pt idx="2">
                  <c:v>1.9848222499999999</c:v>
                </c:pt>
                <c:pt idx="3">
                  <c:v>1.9969774999999998</c:v>
                </c:pt>
                <c:pt idx="4">
                  <c:v>2.0567567499999999</c:v>
                </c:pt>
                <c:pt idx="5">
                  <c:v>2.0446084999999998</c:v>
                </c:pt>
                <c:pt idx="6">
                  <c:v>2.058284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7A6-4AE9-9D06-3B844239EB49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ROI'!$H$30,'qmax=110 eta in 0.002, 0.02 ROI'!$H$95,'qmax=110 eta in 0.002, 0.02 ROI'!$H$160,'qmax=110 eta in 0.002, 0.02 ROI'!$H$225,'qmax=110 eta in 0.002, 0.02 ROI'!$H$290,'qmax=110 eta in 0.002, 0.02 ROI'!$H$355,'qmax=110 eta in 0.002, 0.02 ROI'!$H$420)</c:f>
              <c:numCache>
                <c:formatCode>General</c:formatCode>
                <c:ptCount val="7"/>
                <c:pt idx="0">
                  <c:v>1.7365520000000001</c:v>
                </c:pt>
                <c:pt idx="1">
                  <c:v>1.8418627499999998</c:v>
                </c:pt>
                <c:pt idx="2">
                  <c:v>1.87490275</c:v>
                </c:pt>
                <c:pt idx="3">
                  <c:v>1.9262055</c:v>
                </c:pt>
                <c:pt idx="4">
                  <c:v>1.9644677500000001</c:v>
                </c:pt>
                <c:pt idx="5">
                  <c:v>1.97239225</c:v>
                </c:pt>
                <c:pt idx="6">
                  <c:v>1.9782722499999998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6-4AE9-9D06-3B844239EB49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ROI'!$H$57,'qmax=110 eta in 0.002, 0.02 ROI'!$H$122,'qmax=110 eta in 0.002, 0.02 ROI'!$H$187,'qmax=110 eta in 0.002, 0.02 ROI'!$H$252,'qmax=110 eta in 0.002, 0.02 ROI'!$H$317,'qmax=110 eta in 0.002, 0.02 ROI'!$H$382,'qmax=110 eta in 0.002, 0.02 ROI'!$H$447)</c:f>
              <c:numCache>
                <c:formatCode>General</c:formatCode>
                <c:ptCount val="7"/>
                <c:pt idx="0">
                  <c:v>1.63753875</c:v>
                </c:pt>
                <c:pt idx="1">
                  <c:v>1.9099005000000002</c:v>
                </c:pt>
                <c:pt idx="2">
                  <c:v>2.0280377500000002</c:v>
                </c:pt>
                <c:pt idx="3">
                  <c:v>2.083075</c:v>
                </c:pt>
                <c:pt idx="4">
                  <c:v>2.2120060000000001</c:v>
                </c:pt>
                <c:pt idx="5">
                  <c:v>2.22464225</c:v>
                </c:pt>
                <c:pt idx="6">
                  <c:v>2.2803070000000001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7A6-4AE9-9D06-3B844239EB4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ROI'!$H$67,'qmax=110 eta in 0.002, 0.02 ROI'!$H$132,'qmax=110 eta in 0.002, 0.02 ROI'!$H$197,'qmax=110 eta in 0.002, 0.02 ROI'!$H$262,'qmax=110 eta in 0.002, 0.02 ROI'!$H$327,'qmax=110 eta in 0.002, 0.02 ROI'!$H$392,'qmax=110 eta in 0.002, 0.02 ROI'!$H$457)</c:f>
              <c:numCache>
                <c:formatCode>General</c:formatCode>
                <c:ptCount val="7"/>
                <c:pt idx="0">
                  <c:v>1.7496505</c:v>
                </c:pt>
                <c:pt idx="1">
                  <c:v>1.8917855000000001</c:v>
                </c:pt>
                <c:pt idx="2">
                  <c:v>1.9152985</c:v>
                </c:pt>
                <c:pt idx="3">
                  <c:v>1.9673307499999999</c:v>
                </c:pt>
                <c:pt idx="4">
                  <c:v>1.992496</c:v>
                </c:pt>
                <c:pt idx="5">
                  <c:v>2.0283375000000001</c:v>
                </c:pt>
                <c:pt idx="6">
                  <c:v>2.0603687500000003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A6-4AE9-9D06-3B844239EB4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ROI'!$H$50,'qmax=110 eta in 0.002, 0.02 ROI'!$H$115,'qmax=110 eta in 0.002, 0.02 ROI'!$H$180,'qmax=110 eta in 0.002, 0.02 ROI'!$H$245,'qmax=110 eta in 0.002, 0.02 ROI'!$H$310,'qmax=110 eta in 0.002, 0.02 ROI'!$H$375,'qmax=110 eta in 0.002, 0.02 ROI'!$H$440)</c:f>
              <c:numCache>
                <c:formatCode>General</c:formatCode>
                <c:ptCount val="7"/>
                <c:pt idx="0">
                  <c:v>2.0639993333333333</c:v>
                </c:pt>
                <c:pt idx="1">
                  <c:v>2.2334806666666664</c:v>
                </c:pt>
                <c:pt idx="2">
                  <c:v>2.2540026666666666</c:v>
                </c:pt>
                <c:pt idx="3">
                  <c:v>2.3211759999999999</c:v>
                </c:pt>
                <c:pt idx="4">
                  <c:v>2.3260126666666667</c:v>
                </c:pt>
                <c:pt idx="5">
                  <c:v>2.3656486666666665</c:v>
                </c:pt>
                <c:pt idx="6">
                  <c:v>2.3789946666666668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7A6-4AE9-9D06-3B844239E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ROI'!$H$62,'qmax=110 eta in 0.002, 0.02 ROI'!$H$127,'qmax=110 eta in 0.002, 0.02 ROI'!$H$192,'qmax=110 eta in 0.002, 0.02 ROI'!$H$257,'qmax=110 eta in 0.002, 0.02 ROI'!$H$322,'qmax=110 eta in 0.002, 0.02 ROI'!$H$387,'qmax=110 eta in 0.002, 0.02 ROI'!$H$452)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2.4267175000000001</c:v>
                      </c:pt>
                      <c:pt idx="1">
                        <c:v>3.0916709999999998</c:v>
                      </c:pt>
                      <c:pt idx="2">
                        <c:v>3.43324425</c:v>
                      </c:pt>
                      <c:pt idx="3">
                        <c:v>3.77557425</c:v>
                      </c:pt>
                      <c:pt idx="4">
                        <c:v>3.8026099999999996</c:v>
                      </c:pt>
                      <c:pt idx="5">
                        <c:v>3.7678030000000002</c:v>
                      </c:pt>
                      <c:pt idx="6">
                        <c:v>3.4531149999999999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E7A6-4AE9-9D06-3B844239EB49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in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plus>
            <c:min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ROI'!$H$6,'qmax=110 eta in 0.002, 0.02 ROI'!$H$71,'qmax=110 eta in 0.002, 0.02 ROI'!$H$136,'qmax=110 eta in 0.002, 0.02 ROI'!$H$201,'qmax=110 eta in 0.002, 0.02 ROI'!$H$266,'qmax=110 eta in 0.002, 0.02 ROI'!$H$331,'qmax=110 eta in 0.002, 0.02 ROI'!$H$396)</c:f>
              <c:numCache>
                <c:formatCode>General</c:formatCode>
                <c:ptCount val="7"/>
                <c:pt idx="0">
                  <c:v>0.31065549999999997</c:v>
                </c:pt>
                <c:pt idx="1">
                  <c:v>0.32002900000000001</c:v>
                </c:pt>
                <c:pt idx="2">
                  <c:v>0.32863500000000001</c:v>
                </c:pt>
                <c:pt idx="3">
                  <c:v>0.32903474999999999</c:v>
                </c:pt>
                <c:pt idx="4">
                  <c:v>0.33435399999999998</c:v>
                </c:pt>
                <c:pt idx="5">
                  <c:v>0.33241925</c:v>
                </c:pt>
                <c:pt idx="6">
                  <c:v>0.33492425000000003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6CD-4022-BF8F-2A96E098020B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ROI'!$H$16,'qmax=110 eta in 0.002, 0.02 ROI'!$H$81,'qmax=110 eta in 0.002, 0.02 ROI'!$H$146,'qmax=110 eta in 0.002, 0.02 ROI'!$H$211,'qmax=110 eta in 0.002, 0.02 ROI'!$H$276,'qmax=110 eta in 0.002, 0.02 ROI'!$H$341,'qmax=110 eta in 0.002, 0.02 ROI'!$H$406)</c:f>
              <c:numCache>
                <c:formatCode>General</c:formatCode>
                <c:ptCount val="7"/>
                <c:pt idx="0">
                  <c:v>0.33047474999999998</c:v>
                </c:pt>
                <c:pt idx="1">
                  <c:v>0.33499950000000001</c:v>
                </c:pt>
                <c:pt idx="2">
                  <c:v>0.33719100000000002</c:v>
                </c:pt>
                <c:pt idx="3">
                  <c:v>0.33668424999999996</c:v>
                </c:pt>
                <c:pt idx="4">
                  <c:v>0.33386175000000001</c:v>
                </c:pt>
                <c:pt idx="5">
                  <c:v>0.33362249999999999</c:v>
                </c:pt>
                <c:pt idx="6">
                  <c:v>0.33406524999999998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6CD-4022-BF8F-2A96E098020B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ROI'!$H$36,'qmax=110 eta in 0.002, 0.02 ROI'!$H$101,'qmax=110 eta in 0.002, 0.02 ROI'!$H$166,'qmax=110 eta in 0.002, 0.02 ROI'!$H$231,'qmax=110 eta in 0.002, 0.02 ROI'!$H$296,'qmax=110 eta in 0.002, 0.02 ROI'!$H$361,'qmax=110 eta in 0.002, 0.02 ROI'!$H$426)</c:f>
              <c:numCache>
                <c:formatCode>General</c:formatCode>
                <c:ptCount val="7"/>
                <c:pt idx="0">
                  <c:v>0.32735075000000002</c:v>
                </c:pt>
                <c:pt idx="1">
                  <c:v>0.33421650000000003</c:v>
                </c:pt>
                <c:pt idx="2">
                  <c:v>0.33261875000000002</c:v>
                </c:pt>
                <c:pt idx="3">
                  <c:v>0.33280900000000002</c:v>
                </c:pt>
                <c:pt idx="4">
                  <c:v>0.34324449999999995</c:v>
                </c:pt>
                <c:pt idx="5">
                  <c:v>0.34252824999999998</c:v>
                </c:pt>
                <c:pt idx="6">
                  <c:v>0.34439775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6CD-4022-BF8F-2A96E098020B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ROI'!$H$26,'qmax=110 eta in 0.002, 0.02 ROI'!$H$91,'qmax=110 eta in 0.002, 0.02 ROI'!$H$156,'qmax=110 eta in 0.002, 0.02 ROI'!$H$221,'qmax=110 eta in 0.002, 0.02 ROI'!$H$286,'qmax=110 eta in 0.002, 0.02 ROI'!$H$351,'qmax=110 eta in 0.002, 0.02 ROI'!$H$416)</c:f>
              <c:numCache>
                <c:formatCode>General</c:formatCode>
                <c:ptCount val="7"/>
                <c:pt idx="0">
                  <c:v>0.30922349999999998</c:v>
                </c:pt>
                <c:pt idx="1">
                  <c:v>0.32256675000000001</c:v>
                </c:pt>
                <c:pt idx="2">
                  <c:v>0.32763224999999996</c:v>
                </c:pt>
                <c:pt idx="3">
                  <c:v>0.32995500000000005</c:v>
                </c:pt>
                <c:pt idx="4">
                  <c:v>0.33408899999999997</c:v>
                </c:pt>
                <c:pt idx="5">
                  <c:v>0.33396749999999997</c:v>
                </c:pt>
                <c:pt idx="6">
                  <c:v>0.33535899999999996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CD-4022-BF8F-2A96E098020B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ROI'!$H$55,'qmax=110 eta in 0.002, 0.02 ROI'!$H$120,'qmax=110 eta in 0.002, 0.02 ROI'!$H$185,'qmax=110 eta in 0.002, 0.02 ROI'!$H$250,'qmax=110 eta in 0.002, 0.02 ROI'!$H$315,'qmax=110 eta in 0.002, 0.02 ROI'!$H$380,'qmax=110 eta in 0.002, 0.02 ROI'!$H$445)</c:f>
              <c:numCache>
                <c:formatCode>General</c:formatCode>
                <c:ptCount val="7"/>
                <c:pt idx="0">
                  <c:v>0.29726174999999999</c:v>
                </c:pt>
                <c:pt idx="1">
                  <c:v>0.32031824999999997</c:v>
                </c:pt>
                <c:pt idx="2">
                  <c:v>0.33726824999999999</c:v>
                </c:pt>
                <c:pt idx="3">
                  <c:v>0.34828250000000005</c:v>
                </c:pt>
                <c:pt idx="4">
                  <c:v>0.358902</c:v>
                </c:pt>
                <c:pt idx="5">
                  <c:v>0.36248850000000005</c:v>
                </c:pt>
                <c:pt idx="6">
                  <c:v>0.36365200000000003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6CD-4022-BF8F-2A96E098020B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ROI'!$H$65,'qmax=110 eta in 0.002, 0.02 ROI'!$H$130,'qmax=110 eta in 0.002, 0.02 ROI'!$H$195,'qmax=110 eta in 0.002, 0.02 ROI'!$H$260,'qmax=110 eta in 0.002, 0.02 ROI'!$H$325,'qmax=110 eta in 0.002, 0.02 ROI'!$H$390,'qmax=110 eta in 0.002, 0.02 ROI'!$H$455)</c:f>
              <c:numCache>
                <c:formatCode>General</c:formatCode>
                <c:ptCount val="7"/>
                <c:pt idx="0">
                  <c:v>0.30771399999999999</c:v>
                </c:pt>
                <c:pt idx="1">
                  <c:v>0.32316575000000003</c:v>
                </c:pt>
                <c:pt idx="2">
                  <c:v>0.32656299999999999</c:v>
                </c:pt>
                <c:pt idx="3">
                  <c:v>0.32495299999999999</c:v>
                </c:pt>
                <c:pt idx="4">
                  <c:v>0.33173350000000001</c:v>
                </c:pt>
                <c:pt idx="5">
                  <c:v>0.33255999999999997</c:v>
                </c:pt>
                <c:pt idx="6">
                  <c:v>0.33288875000000001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CD-4022-BF8F-2A96E0980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ROI'!$H$60,'qmax=110 eta in 0.002, 0.02 ROI'!$H$125,'qmax=110 eta in 0.002, 0.02 ROI'!$H$190,'qmax=110 eta in 0.002, 0.02 ROI'!$H$255,'qmax=110 eta in 0.002, 0.02 ROI'!$H$320,'qmax=110 eta in 0.002, 0.02 ROI'!$H$385,'qmax=110 eta in 0.002, 0.02 ROI'!$H$450)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0.3860595</c:v>
                      </c:pt>
                      <c:pt idx="1">
                        <c:v>0.44687949999999999</c:v>
                      </c:pt>
                      <c:pt idx="2">
                        <c:v>0.48181550000000001</c:v>
                      </c:pt>
                      <c:pt idx="3">
                        <c:v>0.51147125000000004</c:v>
                      </c:pt>
                      <c:pt idx="4">
                        <c:v>0.50401625000000005</c:v>
                      </c:pt>
                      <c:pt idx="5">
                        <c:v>0.49723975000000004</c:v>
                      </c:pt>
                      <c:pt idx="6">
                        <c:v>0.46201400000000004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66CD-4022-BF8F-2A96E098020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RNN fixed weights</c:v>
                </c:tx>
                <c:spPr>
                  <a:ln w="19050" cap="rnd">
                    <a:solidFill>
                      <a:srgbClr val="00B0F0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B0F0"/>
                    </a:solidFill>
                    <a:ln w="9525">
                      <a:noFill/>
                    </a:ln>
                    <a:effectLst/>
                  </c:spPr>
                </c:marker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15875" cap="flat" cmpd="sng" algn="ctr">
                      <a:solidFill>
                        <a:srgbClr val="00B0F0"/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ROI'!$H$46,'qmax=110 eta in 0.002, 0.02 ROI'!$H$111,'qmax=110 eta in 0.002, 0.02 ROI'!$H$176,'qmax=110 eta in 0.002, 0.02 ROI'!$H$241,'qmax=110 eta in 0.002, 0.02 ROI'!$H$306,'qmax=110 eta in 0.002, 0.02 ROI'!$H$371,'qmax=110 eta in 0.002, 0.02 ROI'!$H$436)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0.37318000000000001</c:v>
                      </c:pt>
                      <c:pt idx="1">
                        <c:v>0.39010166666666662</c:v>
                      </c:pt>
                      <c:pt idx="2">
                        <c:v>0.39289533333333337</c:v>
                      </c:pt>
                      <c:pt idx="3">
                        <c:v>0.39998800000000001</c:v>
                      </c:pt>
                      <c:pt idx="4">
                        <c:v>0.39963799999999999</c:v>
                      </c:pt>
                      <c:pt idx="5">
                        <c:v>0.40263833333333338</c:v>
                      </c:pt>
                      <c:pt idx="6">
                        <c:v>0.40506766666666666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CD-4022-BF8F-2A96E098020B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plus>
            <c:min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ROI'!$H$12,'qmax=110 eta in 0.002, 0.02 ROI'!$H$77,'qmax=110 eta in 0.002, 0.02 ROI'!$H$142,'qmax=110 eta in 0.002, 0.02 ROI'!$H$207,'qmax=110 eta in 0.002, 0.02 ROI'!$H$272,'qmax=110 eta in 0.002, 0.02 ROI'!$H$337,'qmax=110 eta in 0.002, 0.02 ROI'!$H$402)</c:f>
              <c:numCache>
                <c:formatCode>General</c:formatCode>
                <c:ptCount val="7"/>
                <c:pt idx="0">
                  <c:v>9.5265837500000004</c:v>
                </c:pt>
                <c:pt idx="1">
                  <c:v>9.6743832500000018</c:v>
                </c:pt>
                <c:pt idx="2">
                  <c:v>9.7064922500000002</c:v>
                </c:pt>
                <c:pt idx="3">
                  <c:v>9.9888062499999997</c:v>
                </c:pt>
                <c:pt idx="4">
                  <c:v>9.9253742500000008</c:v>
                </c:pt>
                <c:pt idx="5">
                  <c:v>9.9099435000000007</c:v>
                </c:pt>
                <c:pt idx="6">
                  <c:v>10.040689250000002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0A9-4FC5-80B2-36F37DE8031B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ROI'!$H$22,'qmax=110 eta in 0.002, 0.02 ROI'!$H$87,'qmax=110 eta in 0.002, 0.02 ROI'!$H$152,'qmax=110 eta in 0.002, 0.02 ROI'!$H$217,'qmax=110 eta in 0.002, 0.02 ROI'!$H$282,'qmax=110 eta in 0.002, 0.02 ROI'!$H$347,'qmax=110 eta in 0.002, 0.02 ROI'!$H$412)</c:f>
              <c:numCache>
                <c:formatCode>General</c:formatCode>
                <c:ptCount val="7"/>
                <c:pt idx="0">
                  <c:v>10.200294249999999</c:v>
                </c:pt>
                <c:pt idx="1">
                  <c:v>10.202742499999999</c:v>
                </c:pt>
                <c:pt idx="2">
                  <c:v>10.2989145</c:v>
                </c:pt>
                <c:pt idx="3">
                  <c:v>10.657810250000001</c:v>
                </c:pt>
                <c:pt idx="4">
                  <c:v>10.4203055</c:v>
                </c:pt>
                <c:pt idx="5">
                  <c:v>10.415454749999999</c:v>
                </c:pt>
                <c:pt idx="6">
                  <c:v>10.5414295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0A9-4FC5-80B2-36F37DE8031B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  <c:extLst xmlns:c15="http://schemas.microsoft.com/office/drawing/2012/chart"/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ROI'!$H$42,'qmax=110 eta in 0.002, 0.02 ROI'!$H$107,'qmax=110 eta in 0.002, 0.02 ROI'!$H$172,'qmax=110 eta in 0.002, 0.02 ROI'!$H$237,'qmax=110 eta in 0.002, 0.02 ROI'!$H$302,'qmax=110 eta in 0.002, 0.02 ROI'!$H$367,'qmax=110 eta in 0.002, 0.02 ROI'!$H$432)</c:f>
              <c:numCache>
                <c:formatCode>General</c:formatCode>
                <c:ptCount val="7"/>
                <c:pt idx="0">
                  <c:v>9.9817464999999999</c:v>
                </c:pt>
                <c:pt idx="1">
                  <c:v>10.267654</c:v>
                </c:pt>
                <c:pt idx="2">
                  <c:v>10.2663995</c:v>
                </c:pt>
                <c:pt idx="3">
                  <c:v>10.49302175</c:v>
                </c:pt>
                <c:pt idx="4">
                  <c:v>10.437351249999999</c:v>
                </c:pt>
                <c:pt idx="5">
                  <c:v>10.461160749999999</c:v>
                </c:pt>
                <c:pt idx="6">
                  <c:v>10.573418250000001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0A9-4FC5-80B2-36F37DE8031B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('qmax=110 eta in 0.002, 0.02 ROI'!#REF!,'qmax=110 eta in 0.002, 0.02 ROI'!#REF!,'qmax=110 eta in 0.002, 0.02 ROI'!#REF!,'qmax=110 eta in 0.002, 0.02 ROI'!#REF!,'qmax=110 eta in 0.002, 0.02 ROI'!#REF!,'qmax=110 eta in 0.002, 0.02 ROI'!#REF!,'qmax=110 eta in 0.002, 0.02 ROI'!#REF!)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ROI'!$H$32,'qmax=110 eta in 0.002, 0.02 ROI'!$H$97,'qmax=110 eta in 0.002, 0.02 ROI'!$H$162,'qmax=110 eta in 0.002, 0.02 ROI'!$H$227,'qmax=110 eta in 0.002, 0.02 ROI'!$H$292,'qmax=110 eta in 0.002, 0.02 ROI'!$H$357,'qmax=110 eta in 0.002, 0.02 ROI'!$H$422)</c:f>
              <c:numCache>
                <c:formatCode>General</c:formatCode>
                <c:ptCount val="7"/>
                <c:pt idx="0">
                  <c:v>9.4990394999999985</c:v>
                </c:pt>
                <c:pt idx="1">
                  <c:v>9.6463210000000004</c:v>
                </c:pt>
                <c:pt idx="2">
                  <c:v>9.7069107500000005</c:v>
                </c:pt>
                <c:pt idx="3">
                  <c:v>9.8046790000000001</c:v>
                </c:pt>
                <c:pt idx="4">
                  <c:v>9.9107404999999993</c:v>
                </c:pt>
                <c:pt idx="5">
                  <c:v>9.9981402499999987</c:v>
                </c:pt>
                <c:pt idx="6">
                  <c:v>10.038715249999999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A9-4FC5-80B2-36F37DE8031B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('qmax=110 eta in 0.002, 0.02 ROI'!$H$68,'qmax=110 eta in 0.002, 0.02 ROI'!$H$133,'qmax=110 eta in 0.002, 0.02 ROI'!$H$198,'qmax=110 eta in 0.002, 0.02 ROI'!$H$263,'qmax=110 eta in 0.002, 0.02 ROI'!$H$328,'qmax=110 eta in 0.002, 0.02 ROI'!$H$393,'qmax=110 eta in 0.002, 0.02 ROI'!$H$458)</c:f>
              <c:numCache>
                <c:formatCode>General</c:formatCode>
                <c:ptCount val="7"/>
                <c:pt idx="0">
                  <c:v>9.9760867499999986</c:v>
                </c:pt>
                <c:pt idx="1">
                  <c:v>10.425444000000001</c:v>
                </c:pt>
                <c:pt idx="2">
                  <c:v>10.369811</c:v>
                </c:pt>
                <c:pt idx="3">
                  <c:v>11.468548500000001</c:v>
                </c:pt>
                <c:pt idx="4">
                  <c:v>10.548895750000002</c:v>
                </c:pt>
                <c:pt idx="5">
                  <c:v>10.497407749999999</c:v>
                </c:pt>
                <c:pt idx="6">
                  <c:v>11.433662500000001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0A9-4FC5-80B2-36F37DE8031B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'qmax=110 eta in 0.002, 0.02 ROI'!$N$472:$N$478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('qmax=110 eta in 0.002, 0.02 ROI'!$H$52,'qmax=110 eta in 0.002, 0.02 ROI'!$H$117,'qmax=110 eta in 0.002, 0.02 ROI'!$H$182,'qmax=110 eta in 0.002, 0.02 ROI'!$H$247,'qmax=110 eta in 0.002, 0.02 ROI'!$H$312,'qmax=110 eta in 0.002, 0.02 ROI'!$H$377,'qmax=110 eta in 0.002, 0.02 ROI'!$H$442)</c:f>
              <c:numCache>
                <c:formatCode>General</c:formatCode>
                <c:ptCount val="7"/>
                <c:pt idx="0">
                  <c:v>11.117156</c:v>
                </c:pt>
                <c:pt idx="1">
                  <c:v>11.849270666666667</c:v>
                </c:pt>
                <c:pt idx="2">
                  <c:v>11.865678333333333</c:v>
                </c:pt>
                <c:pt idx="3">
                  <c:v>12.113765666666668</c:v>
                </c:pt>
                <c:pt idx="4">
                  <c:v>12.212772333333334</c:v>
                </c:pt>
                <c:pt idx="5">
                  <c:v>12.433428999999999</c:v>
                </c:pt>
                <c:pt idx="6">
                  <c:v>12.398801999999998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0A9-4FC5-80B2-36F37DE80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4"/>
                <c:tx>
                  <c:v>Lin. regression</c:v>
                </c:tx>
                <c:spPr>
                  <a:ln w="19050" cap="rnd">
                    <a:solidFill>
                      <a:srgbClr val="FF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FF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('qmax=110 eta in 0.002, 0.02 ROI'!$H$58,'qmax=110 eta in 0.002, 0.02 ROI'!$H$123,'qmax=110 eta in 0.002, 0.02 ROI'!$H$188,'qmax=110 eta in 0.002, 0.02 ROI'!$H$253,'qmax=110 eta in 0.002, 0.02 ROI'!$H$318,'qmax=110 eta in 0.002, 0.02 ROI'!$H$383,'qmax=110 eta in 0.002, 0.02 ROI'!$H$448)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8.9587415000000004</c:v>
                      </c:pt>
                      <c:pt idx="1">
                        <c:v>10.33983825</c:v>
                      </c:pt>
                      <c:pt idx="2">
                        <c:v>10.393083750000001</c:v>
                      </c:pt>
                      <c:pt idx="3">
                        <c:v>10.8321535</c:v>
                      </c:pt>
                      <c:pt idx="4">
                        <c:v>11.904903000000001</c:v>
                      </c:pt>
                      <c:pt idx="5">
                        <c:v>11.887137749999999</c:v>
                      </c:pt>
                      <c:pt idx="6">
                        <c:v>12.186042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40A9-4FC5-80B2-36F37DE8031B}"/>
                  </c:ext>
                </c:extLst>
              </c15:ser>
            </c15:filteredScatterSeries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'qmax=110 eta in 0.002, 0.02 ROI'!$N$472:$N$478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('qmax=110 eta in 0.002, 0.02 ROI'!$H$63,'qmax=110 eta in 0.002, 0.02 ROI'!$H$128,'qmax=110 eta in 0.002, 0.02 ROI'!$H$193,'qmax=110 eta in 0.002, 0.02 ROI'!$H$258,'qmax=110 eta in 0.002, 0.02 ROI'!$H$323,'qmax=110 eta in 0.002, 0.02 ROI'!$H$388,'qmax=110 eta in 0.002, 0.02 ROI'!$H$453)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12.4921965</c:v>
                      </c:pt>
                      <c:pt idx="1">
                        <c:v>15.753681749999998</c:v>
                      </c:pt>
                      <c:pt idx="2">
                        <c:v>16.376758499999998</c:v>
                      </c:pt>
                      <c:pt idx="3">
                        <c:v>17.3930905</c:v>
                      </c:pt>
                      <c:pt idx="4">
                        <c:v>16.9551205</c:v>
                      </c:pt>
                      <c:pt idx="5">
                        <c:v>16.048672500000002</c:v>
                      </c:pt>
                      <c:pt idx="6">
                        <c:v>14.607619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0A9-4FC5-80B2-36F37DE8031B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ETH'!$H$8,'q_max=110 eta (0.002, 0.2) ETH'!$H$96,'q_max=110 eta (0.002, 0.2) ETH'!$H$184,'q_max=110 eta (0.002, 0.2) ETH'!$H$272,'q_max=110 eta (0.002, 0.2) ETH'!$H$360,'q_max=110 eta (0.002, 0.2) ETH'!$H$448,'q_max=110 eta (0.002, 0.2) ETH'!$H$536)</c:f>
              <c:numCache>
                <c:formatCode>General</c:formatCode>
                <c:ptCount val="7"/>
                <c:pt idx="0">
                  <c:v>0.90226399999999995</c:v>
                </c:pt>
                <c:pt idx="1">
                  <c:v>0.90018100000000012</c:v>
                </c:pt>
                <c:pt idx="2">
                  <c:v>0.89880925</c:v>
                </c:pt>
                <c:pt idx="3">
                  <c:v>0.89855324999999997</c:v>
                </c:pt>
                <c:pt idx="4">
                  <c:v>0.89771325000000002</c:v>
                </c:pt>
                <c:pt idx="5">
                  <c:v>0.89785074999999992</c:v>
                </c:pt>
                <c:pt idx="6">
                  <c:v>0.89706300000000005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63A-41D6-9F5C-22627E3E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ETH'!$H$18,'q_max=110 eta (0.002, 0.2) ETH'!$H$106,'q_max=110 eta (0.002, 0.2) ETH'!$H$194,'q_max=110 eta (0.002, 0.2) ETH'!$H$282,'q_max=110 eta (0.002, 0.2) ETH'!$H$370,'q_max=110 eta (0.002, 0.2) ETH'!$H$458,'q_max=110 eta (0.002, 0.2) ETH'!$H$546)</c:f>
              <c:numCache>
                <c:formatCode>General</c:formatCode>
                <c:ptCount val="7"/>
                <c:pt idx="0">
                  <c:v>0.8983565</c:v>
                </c:pt>
                <c:pt idx="1">
                  <c:v>0.89747049999999995</c:v>
                </c:pt>
                <c:pt idx="2">
                  <c:v>0.89705174999999993</c:v>
                </c:pt>
                <c:pt idx="3">
                  <c:v>0.89638550000000006</c:v>
                </c:pt>
                <c:pt idx="4">
                  <c:v>0.89716425000000011</c:v>
                </c:pt>
                <c:pt idx="5">
                  <c:v>0.89640175</c:v>
                </c:pt>
                <c:pt idx="6">
                  <c:v>0.89689574999999988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3A-41D6-9F5C-22627E3E5047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ETH'!$H$38,'q_max=110 eta (0.002, 0.2) ETH'!$H$126,'q_max=110 eta (0.002, 0.2) ETH'!$H$214,'q_max=110 eta (0.002, 0.2) ETH'!$H$302,'q_max=110 eta (0.002, 0.2) ETH'!$H$390,'q_max=110 eta (0.002, 0.2) ETH'!$H$478,'q_max=110 eta (0.002, 0.2) ETH'!$H$566)</c:f>
              <c:numCache>
                <c:formatCode>General</c:formatCode>
                <c:ptCount val="7"/>
                <c:pt idx="0">
                  <c:v>0.89930550000000009</c:v>
                </c:pt>
                <c:pt idx="1">
                  <c:v>0.898621</c:v>
                </c:pt>
                <c:pt idx="2">
                  <c:v>0.89871975000000004</c:v>
                </c:pt>
                <c:pt idx="3">
                  <c:v>0.89799950000000006</c:v>
                </c:pt>
                <c:pt idx="4">
                  <c:v>0.89633250000000009</c:v>
                </c:pt>
                <c:pt idx="5">
                  <c:v>0.89581525000000006</c:v>
                </c:pt>
                <c:pt idx="6">
                  <c:v>0.89606224999999995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3A-41D6-9F5C-22627E3E5047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ETH'!$H$28,'q_max=110 eta (0.002, 0.2) ETH'!$H$116,'q_max=110 eta (0.002, 0.2) ETH'!$H$204,'q_max=110 eta (0.002, 0.2) ETH'!$H$292,'q_max=110 eta (0.002, 0.2) ETH'!$H$380,'q_max=110 eta (0.002, 0.2) ETH'!$H$468,'q_max=110 eta (0.002, 0.2) ETH'!$H$556)</c:f>
              <c:numCache>
                <c:formatCode>General</c:formatCode>
                <c:ptCount val="7"/>
                <c:pt idx="0">
                  <c:v>0.90271650000000003</c:v>
                </c:pt>
                <c:pt idx="1">
                  <c:v>0.89990375000000011</c:v>
                </c:pt>
                <c:pt idx="2">
                  <c:v>0.89919424999999997</c:v>
                </c:pt>
                <c:pt idx="3">
                  <c:v>0.89863825000000008</c:v>
                </c:pt>
                <c:pt idx="4">
                  <c:v>0.89778325000000003</c:v>
                </c:pt>
                <c:pt idx="5">
                  <c:v>0.89790649999999994</c:v>
                </c:pt>
                <c:pt idx="6">
                  <c:v>0.89711650000000009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3A-41D6-9F5C-22627E3E5047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ETH'!$H$76,'q_max=110 eta (0.002, 0.2) ETH'!$H$164,'q_max=110 eta (0.002, 0.2) ETH'!$H$252,'q_max=110 eta (0.002, 0.2) ETH'!$H$340,'q_max=110 eta (0.002, 0.2) ETH'!$H$428,'q_max=110 eta (0.002, 0.2) ETH'!$H$516,'q_max=110 eta (0.002, 0.2) ETH'!$H$604)</c:f>
              <c:numCache>
                <c:formatCode>General</c:formatCode>
                <c:ptCount val="7"/>
                <c:pt idx="0">
                  <c:v>0.90252949999999998</c:v>
                </c:pt>
                <c:pt idx="1">
                  <c:v>0.89691924999999995</c:v>
                </c:pt>
                <c:pt idx="2">
                  <c:v>0.89428974999999999</c:v>
                </c:pt>
                <c:pt idx="3">
                  <c:v>0.89421274999999989</c:v>
                </c:pt>
                <c:pt idx="4">
                  <c:v>0.89116974999999998</c:v>
                </c:pt>
                <c:pt idx="5">
                  <c:v>0.89074799999999998</c:v>
                </c:pt>
                <c:pt idx="6">
                  <c:v>0.89045099999999999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3A-41D6-9F5C-22627E3E5047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ETH'!$H$86,'q_max=110 eta (0.002, 0.2) ETH'!$H$174,'q_max=110 eta (0.002, 0.2) ETH'!$H$262,'q_max=110 eta (0.002, 0.2) ETH'!$H$350,'q_max=110 eta (0.002, 0.2) ETH'!$H$438,'q_max=110 eta (0.002, 0.2) ETH'!$H$526,'q_max=110 eta (0.002, 0.2) ETH'!$H$614)</c:f>
              <c:numCache>
                <c:formatCode>General</c:formatCode>
                <c:ptCount val="7"/>
                <c:pt idx="0">
                  <c:v>0.90370325000000007</c:v>
                </c:pt>
                <c:pt idx="1">
                  <c:v>0.90110299999999999</c:v>
                </c:pt>
                <c:pt idx="2">
                  <c:v>0.90029124999999999</c:v>
                </c:pt>
                <c:pt idx="3">
                  <c:v>0.89921375000000003</c:v>
                </c:pt>
                <c:pt idx="4">
                  <c:v>0.89786450000000007</c:v>
                </c:pt>
                <c:pt idx="5">
                  <c:v>0.89647599999999994</c:v>
                </c:pt>
                <c:pt idx="6">
                  <c:v>0.89529700000000001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3A-41D6-9F5C-22627E3E5047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ETH'!$H$48,'q_max=110 eta (0.002, 0.2) ETH'!$H$136,'q_max=110 eta (0.002, 0.2) ETH'!$H$224,'q_max=110 eta (0.002, 0.2) ETH'!$H$312,'q_max=110 eta (0.002, 0.2) ETH'!$H$400,'q_max=110 eta (0.002, 0.2) ETH'!$H$488,'q_max=110 eta (0.002, 0.2) ETH'!$H$576)</c:f>
              <c:numCache>
                <c:formatCode>General</c:formatCode>
                <c:ptCount val="7"/>
                <c:pt idx="0">
                  <c:v>0.89161174999999993</c:v>
                </c:pt>
                <c:pt idx="1">
                  <c:v>0.88789275000000001</c:v>
                </c:pt>
                <c:pt idx="2">
                  <c:v>0.88747399999999999</c:v>
                </c:pt>
                <c:pt idx="3">
                  <c:v>0.88603425000000002</c:v>
                </c:pt>
                <c:pt idx="4">
                  <c:v>0.88597000000000004</c:v>
                </c:pt>
                <c:pt idx="5">
                  <c:v>0.88500299999999998</c:v>
                </c:pt>
                <c:pt idx="6">
                  <c:v>0.88457975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3A-41D6-9F5C-22627E3E5047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ETH'!$H$58,'q_max=110 eta (0.002, 0.2) ETH'!$H$146,'q_max=110 eta (0.002, 0.2) ETH'!$H$234,'q_max=110 eta (0.002, 0.2) ETH'!$H$322,'q_max=110 eta (0.002, 0.2) ETH'!$H$410,'q_max=110 eta (0.002, 0.2) ETH'!$H$498,'q_max=110 eta (0.002, 0.2) ETH'!$H$586)</c:f>
              <c:numCache>
                <c:formatCode>General</c:formatCode>
                <c:ptCount val="7"/>
                <c:pt idx="0">
                  <c:v>0.90267850000000005</c:v>
                </c:pt>
                <c:pt idx="1">
                  <c:v>0.90007650000000006</c:v>
                </c:pt>
                <c:pt idx="2">
                  <c:v>0.89607850000000011</c:v>
                </c:pt>
                <c:pt idx="3">
                  <c:v>0.89300400000000002</c:v>
                </c:pt>
                <c:pt idx="4">
                  <c:v>0.89024700000000001</c:v>
                </c:pt>
                <c:pt idx="5">
                  <c:v>0.89037975000000003</c:v>
                </c:pt>
                <c:pt idx="6">
                  <c:v>0.88865274999999999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5-4509-9DCB-E6A852CBBEC3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ETH'!$H$91,'q_max=110 eta (0.002, 0.2) ETH'!$H$179,'q_max=110 eta (0.002, 0.2) ETH'!$H$267,'q_max=110 eta (0.002, 0.2) ETH'!$H$355,'q_max=110 eta (0.002, 0.2) ETH'!$H$443,'q_max=110 eta (0.002, 0.2) ETH'!$H$531,'q_max=110 eta (0.002, 0.2) ETH'!$H$619)</c:f>
              <c:numCache>
                <c:formatCode>General</c:formatCode>
                <c:ptCount val="7"/>
                <c:pt idx="0">
                  <c:v>0.89741300000000002</c:v>
                </c:pt>
                <c:pt idx="1">
                  <c:v>0.85531699999999999</c:v>
                </c:pt>
                <c:pt idx="2">
                  <c:v>0.83198649999999996</c:v>
                </c:pt>
                <c:pt idx="3">
                  <c:v>0.81965600000000005</c:v>
                </c:pt>
                <c:pt idx="4">
                  <c:v>0.82532349999999999</c:v>
                </c:pt>
                <c:pt idx="5">
                  <c:v>0.84443900000000005</c:v>
                </c:pt>
                <c:pt idx="6">
                  <c:v>0.86382349999999997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3-4B43-9E97-665F8D3E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ETH'!$H$81,'q_max=110 eta (0.002, 0.2) ETH'!$H$169,'q_max=110 eta (0.002, 0.2) ETH'!$H$257,'q_max=110 eta (0.002, 0.2) ETH'!$H$345,'q_max=110 eta (0.002, 0.2) ETH'!$H$433,'q_max=110 eta (0.002, 0.2) ETH'!$H$521,'q_max=110 eta (0.002, 0.2) ETH'!$H$609)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0.88050675</c:v>
                      </c:pt>
                      <c:pt idx="1">
                        <c:v>0.86503350000000001</c:v>
                      </c:pt>
                      <c:pt idx="2">
                        <c:v>0.85692199999999996</c:v>
                      </c:pt>
                      <c:pt idx="3">
                        <c:v>0.85041199999999995</c:v>
                      </c:pt>
                      <c:pt idx="4">
                        <c:v>0.85205825000000002</c:v>
                      </c:pt>
                      <c:pt idx="5">
                        <c:v>0.85456774999999996</c:v>
                      </c:pt>
                      <c:pt idx="6">
                        <c:v>0.86210774999999995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663A-41D6-9F5C-22627E3E5047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400000000000003"/>
          <c:min val="0.884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ETH'!$H$4,'q_max=110 eta (0.002, 0.2) ETH'!$H$92,'q_max=110 eta (0.002, 0.2) ETH'!$H$180,'q_max=110 eta (0.002, 0.2) ETH'!$H$268,'q_max=110 eta (0.002, 0.2) ETH'!$H$356,'q_max=110 eta (0.002, 0.2) ETH'!$H$444,'q_max=110 eta (0.002, 0.2) ETH'!$H$532)</c:f>
              <c:numCache>
                <c:formatCode>General</c:formatCode>
                <c:ptCount val="7"/>
                <c:pt idx="0">
                  <c:v>0.98821899999999996</c:v>
                </c:pt>
                <c:pt idx="1">
                  <c:v>0.98738174999999995</c:v>
                </c:pt>
                <c:pt idx="2">
                  <c:v>0.98663725000000002</c:v>
                </c:pt>
                <c:pt idx="3">
                  <c:v>0.98666200000000004</c:v>
                </c:pt>
                <c:pt idx="4">
                  <c:v>0.98632675000000003</c:v>
                </c:pt>
                <c:pt idx="5">
                  <c:v>0.98645775000000002</c:v>
                </c:pt>
                <c:pt idx="6">
                  <c:v>0.98620099999999999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80E-49BF-A6C7-79351D297CE8}"/>
            </c:ext>
          </c:extLst>
        </c:ser>
        <c:ser>
          <c:idx val="2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ETH'!$H$14,'q_max=110 eta (0.002, 0.2) ETH'!$H$102,'q_max=110 eta (0.002, 0.2) ETH'!$H$190,'q_max=110 eta (0.002, 0.2) ETH'!$H$278,'q_max=110 eta (0.002, 0.2) ETH'!$H$366,'q_max=110 eta (0.002, 0.2) ETH'!$H$454,'q_max=110 eta (0.002, 0.2) ETH'!$H$542)</c:f>
              <c:numCache>
                <c:formatCode>General</c:formatCode>
                <c:ptCount val="7"/>
                <c:pt idx="0">
                  <c:v>0.98655599999999999</c:v>
                </c:pt>
                <c:pt idx="1">
                  <c:v>0.98622399999999999</c:v>
                </c:pt>
                <c:pt idx="2">
                  <c:v>0.98603549999999995</c:v>
                </c:pt>
                <c:pt idx="3">
                  <c:v>0.98591424999999999</c:v>
                </c:pt>
                <c:pt idx="4">
                  <c:v>0.98643024999999995</c:v>
                </c:pt>
                <c:pt idx="5">
                  <c:v>0.98630825</c:v>
                </c:pt>
                <c:pt idx="6">
                  <c:v>0.98635525000000002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0E-49BF-A6C7-79351D297CE8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ETH'!$H$34,'q_max=110 eta (0.002, 0.2) ETH'!$H$122,'q_max=110 eta (0.002, 0.2) ETH'!$H$210,'q_max=110 eta (0.002, 0.2) ETH'!$H$298,'q_max=110 eta (0.002, 0.2) ETH'!$H$386,'q_max=110 eta (0.002, 0.2) ETH'!$H$474,'q_max=110 eta (0.002, 0.2) ETH'!$H$562)</c:f>
              <c:numCache>
                <c:formatCode>General</c:formatCode>
                <c:ptCount val="7"/>
                <c:pt idx="0">
                  <c:v>0.98680650000000003</c:v>
                </c:pt>
                <c:pt idx="1">
                  <c:v>0.98654350000000002</c:v>
                </c:pt>
                <c:pt idx="2">
                  <c:v>0.98668924999999996</c:v>
                </c:pt>
                <c:pt idx="3">
                  <c:v>0.98657250000000007</c:v>
                </c:pt>
                <c:pt idx="4">
                  <c:v>0.98582575000000006</c:v>
                </c:pt>
                <c:pt idx="5">
                  <c:v>0.98577850000000011</c:v>
                </c:pt>
                <c:pt idx="6">
                  <c:v>0.98580199999999996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0E-49BF-A6C7-79351D297CE8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ETH'!$H$24,'q_max=110 eta (0.002, 0.2) ETH'!$H$112,'q_max=110 eta (0.002, 0.2) ETH'!$H$200,'q_max=110 eta (0.002, 0.2) ETH'!$H$288,'q_max=110 eta (0.002, 0.2) ETH'!$H$376,'q_max=110 eta (0.002, 0.2) ETH'!$H$464,'q_max=110 eta (0.002, 0.2) ETH'!$H$552)</c:f>
              <c:numCache>
                <c:formatCode>General</c:formatCode>
                <c:ptCount val="7"/>
                <c:pt idx="0">
                  <c:v>0.98840749999999999</c:v>
                </c:pt>
                <c:pt idx="1">
                  <c:v>0.98708775000000004</c:v>
                </c:pt>
                <c:pt idx="2">
                  <c:v>0.98674099999999998</c:v>
                </c:pt>
                <c:pt idx="3">
                  <c:v>0.98654874999999997</c:v>
                </c:pt>
                <c:pt idx="4">
                  <c:v>0.98630325000000008</c:v>
                </c:pt>
                <c:pt idx="5">
                  <c:v>0.98637949999999996</c:v>
                </c:pt>
                <c:pt idx="6">
                  <c:v>0.98619925000000008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0E-49BF-A6C7-79351D297CE8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ETH'!$H$74,'q_max=110 eta (0.002, 0.2) ETH'!$H$162,'q_max=110 eta (0.002, 0.2) ETH'!$H$250,'q_max=110 eta (0.002, 0.2) ETH'!$H$338,'q_max=110 eta (0.002, 0.2) ETH'!$H$426,'q_max=110 eta (0.002, 0.2) ETH'!$H$514,'q_max=110 eta (0.002, 0.2) ETH'!$H$602)</c:f>
              <c:numCache>
                <c:formatCode>General</c:formatCode>
                <c:ptCount val="7"/>
                <c:pt idx="0">
                  <c:v>0.98863000000000012</c:v>
                </c:pt>
                <c:pt idx="1">
                  <c:v>0.98703600000000002</c:v>
                </c:pt>
                <c:pt idx="2">
                  <c:v>0.98591424999999988</c:v>
                </c:pt>
                <c:pt idx="3">
                  <c:v>0.98496525000000001</c:v>
                </c:pt>
                <c:pt idx="4">
                  <c:v>0.98392075000000001</c:v>
                </c:pt>
                <c:pt idx="5">
                  <c:v>0.98363275000000006</c:v>
                </c:pt>
                <c:pt idx="6">
                  <c:v>0.98349949999999997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0E-49BF-A6C7-79351D297CE8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ETH'!$H$84,'q_max=110 eta (0.002, 0.2) ETH'!$H$172,'q_max=110 eta (0.002, 0.2) ETH'!$H$260,'q_max=110 eta (0.002, 0.2) ETH'!$H$348,'q_max=110 eta (0.002, 0.2) ETH'!$H$436,'q_max=110 eta (0.002, 0.2) ETH'!$H$524,'q_max=110 eta (0.002, 0.2) ETH'!$H$612)</c:f>
              <c:numCache>
                <c:formatCode>General</c:formatCode>
                <c:ptCount val="7"/>
                <c:pt idx="0">
                  <c:v>0.98877949999999992</c:v>
                </c:pt>
                <c:pt idx="1">
                  <c:v>0.98808875000000007</c:v>
                </c:pt>
                <c:pt idx="2">
                  <c:v>0.98758749999999995</c:v>
                </c:pt>
                <c:pt idx="3">
                  <c:v>0.9869794999999999</c:v>
                </c:pt>
                <c:pt idx="4">
                  <c:v>0.98667974999999997</c:v>
                </c:pt>
                <c:pt idx="5">
                  <c:v>0.98652275</c:v>
                </c:pt>
                <c:pt idx="6">
                  <c:v>0.98594149999999992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0E-49BF-A6C7-79351D297CE8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ETH'!$H$79,'q_max=110 eta (0.002, 0.2) ETH'!$H$167,'q_max=110 eta (0.002, 0.2) ETH'!$H$255,'q_max=110 eta (0.002, 0.2) ETH'!$H$343,'q_max=110 eta (0.002, 0.2) ETH'!$H$431,'q_max=110 eta (0.002, 0.2) ETH'!$H$519,'q_max=110 eta (0.002, 0.2) ETH'!$H$607)</c:f>
              <c:numCache>
                <c:formatCode>General</c:formatCode>
                <c:ptCount val="7"/>
                <c:pt idx="0">
                  <c:v>0.98300074999999998</c:v>
                </c:pt>
                <c:pt idx="1">
                  <c:v>0.97644675000000003</c:v>
                </c:pt>
                <c:pt idx="2">
                  <c:v>0.9719525</c:v>
                </c:pt>
                <c:pt idx="3">
                  <c:v>0.96801874999999993</c:v>
                </c:pt>
                <c:pt idx="4">
                  <c:v>0.9665712500000001</c:v>
                </c:pt>
                <c:pt idx="5">
                  <c:v>0.96634125000000004</c:v>
                </c:pt>
                <c:pt idx="6">
                  <c:v>0.96783350000000001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80E-49BF-A6C7-79351D297CE8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ETH'!$H$44,'q_max=110 eta (0.002, 0.2) ETH'!$H$132,'q_max=110 eta (0.002, 0.2) ETH'!$H$220,'q_max=110 eta (0.002, 0.2) ETH'!$H$308,'q_max=110 eta (0.002, 0.2) ETH'!$H$396,'q_max=110 eta (0.002, 0.2) ETH'!$H$484,'q_max=110 eta (0.002, 0.2) ETH'!$H$572)</c:f>
              <c:numCache>
                <c:formatCode>General</c:formatCode>
                <c:ptCount val="7"/>
                <c:pt idx="0">
                  <c:v>0.98396850000000002</c:v>
                </c:pt>
                <c:pt idx="1">
                  <c:v>0.98217325</c:v>
                </c:pt>
                <c:pt idx="2">
                  <c:v>0.98186925000000003</c:v>
                </c:pt>
                <c:pt idx="3">
                  <c:v>0.98151524999999995</c:v>
                </c:pt>
                <c:pt idx="4">
                  <c:v>0.98136200000000007</c:v>
                </c:pt>
                <c:pt idx="5">
                  <c:v>0.98102549999999999</c:v>
                </c:pt>
                <c:pt idx="6">
                  <c:v>0.98079500000000008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0E-49BF-A6C7-79351D297CE8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ETH'!$H$54,'q_max=110 eta (0.002, 0.2) ETH'!$H$142,'q_max=110 eta (0.002, 0.2) ETH'!$H$230,'q_max=110 eta (0.002, 0.2) ETH'!$H$318,'q_max=110 eta (0.002, 0.2) ETH'!$H$406,'q_max=110 eta (0.002, 0.2) ETH'!$H$494,'q_max=110 eta (0.002, 0.2) ETH'!$H$582)</c:f>
              <c:numCache>
                <c:formatCode>General</c:formatCode>
                <c:ptCount val="7"/>
                <c:pt idx="0">
                  <c:v>0.98848650000000005</c:v>
                </c:pt>
                <c:pt idx="1">
                  <c:v>0.98737450000000004</c:v>
                </c:pt>
                <c:pt idx="2">
                  <c:v>0.98537125000000003</c:v>
                </c:pt>
                <c:pt idx="3">
                  <c:v>0.98414850000000009</c:v>
                </c:pt>
                <c:pt idx="4">
                  <c:v>0.98297449999999986</c:v>
                </c:pt>
                <c:pt idx="5">
                  <c:v>0.98311100000000007</c:v>
                </c:pt>
                <c:pt idx="6">
                  <c:v>0.98208174999999998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4-46E2-833C-67C18812E245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ETH'!$H$89,'q_max=110 eta (0.002, 0.2) ETH'!$H$177,'q_max=110 eta (0.002, 0.2) ETH'!$H$265,'q_max=110 eta (0.002, 0.2) ETH'!$H$353,'q_max=110 eta (0.002, 0.2) ETH'!$H$441,'q_max=110 eta (0.002, 0.2) ETH'!$H$529,'q_max=110 eta (0.002, 0.2) ETH'!$H$617)</c:f>
              <c:numCache>
                <c:formatCode>General</c:formatCode>
                <c:ptCount val="7"/>
                <c:pt idx="0">
                  <c:v>0.9856562499999999</c:v>
                </c:pt>
                <c:pt idx="1">
                  <c:v>0.97215525000000003</c:v>
                </c:pt>
                <c:pt idx="2">
                  <c:v>0.96128900000000006</c:v>
                </c:pt>
                <c:pt idx="3">
                  <c:v>0.95534125000000003</c:v>
                </c:pt>
                <c:pt idx="4">
                  <c:v>0.956202</c:v>
                </c:pt>
                <c:pt idx="5">
                  <c:v>0.96156274999999991</c:v>
                </c:pt>
                <c:pt idx="6">
                  <c:v>0.96578550000000007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D-4F96-9CEF-50841DA72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8899999999999999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ETH'!$H$10,'q_max=110 eta (0.002, 0.2) ETH'!$H$98,'q_max=110 eta (0.002, 0.2) ETH'!$H$186,'q_max=110 eta (0.002, 0.2) ETH'!$H$274,'q_max=110 eta (0.002, 0.2) ETH'!$H$362,'q_max=110 eta (0.002, 0.2) ETH'!$H$450,'q_max=110 eta (0.002, 0.2) ETH'!$H$538)</c:f>
              <c:numCache>
                <c:formatCode>General</c:formatCode>
                <c:ptCount val="7"/>
                <c:pt idx="0">
                  <c:v>1.3477275</c:v>
                </c:pt>
                <c:pt idx="1">
                  <c:v>1.37588175</c:v>
                </c:pt>
                <c:pt idx="2">
                  <c:v>1.3900065000000001</c:v>
                </c:pt>
                <c:pt idx="3">
                  <c:v>1.4203602499999999</c:v>
                </c:pt>
                <c:pt idx="4">
                  <c:v>1.4342294999999998</c:v>
                </c:pt>
                <c:pt idx="5">
                  <c:v>1.4254472499999999</c:v>
                </c:pt>
                <c:pt idx="6">
                  <c:v>1.4389339999999999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9ED-41FF-9EEF-C88FACDCD5E5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ETH'!$H$20,'q_max=110 eta (0.002, 0.2) ETH'!$H$108,'q_max=110 eta (0.002, 0.2) ETH'!$H$196,'q_max=110 eta (0.002, 0.2) ETH'!$H$284,'q_max=110 eta (0.002, 0.2) ETH'!$H$372,'q_max=110 eta (0.002, 0.2) ETH'!$H$460,'q_max=110 eta (0.002, 0.2) ETH'!$H$548)</c:f>
              <c:numCache>
                <c:formatCode>General</c:formatCode>
                <c:ptCount val="7"/>
                <c:pt idx="0">
                  <c:v>1.4204707500000002</c:v>
                </c:pt>
                <c:pt idx="1">
                  <c:v>1.4396957499999998</c:v>
                </c:pt>
                <c:pt idx="2">
                  <c:v>1.4461202500000001</c:v>
                </c:pt>
                <c:pt idx="3">
                  <c:v>1.4570115000000001</c:v>
                </c:pt>
                <c:pt idx="4">
                  <c:v>1.4600357500000003</c:v>
                </c:pt>
                <c:pt idx="5">
                  <c:v>1.4599055000000001</c:v>
                </c:pt>
                <c:pt idx="6">
                  <c:v>1.4687032499999999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D-41FF-9EEF-C88FACDCD5E5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ETH'!$H$40,'q_max=110 eta (0.002, 0.2) ETH'!$H$128,'q_max=110 eta (0.002, 0.2) ETH'!$H$216,'q_max=110 eta (0.002, 0.2) ETH'!$H$304,'q_max=110 eta (0.002, 0.2) ETH'!$H$392,'q_max=110 eta (0.002, 0.2) ETH'!$H$480,'q_max=110 eta (0.002, 0.2) ETH'!$H$568)</c:f>
              <c:numCache>
                <c:formatCode>General</c:formatCode>
                <c:ptCount val="7"/>
                <c:pt idx="0">
                  <c:v>1.41120275</c:v>
                </c:pt>
                <c:pt idx="1">
                  <c:v>1.4407915</c:v>
                </c:pt>
                <c:pt idx="2">
                  <c:v>1.4574292499999999</c:v>
                </c:pt>
                <c:pt idx="3">
                  <c:v>1.465328</c:v>
                </c:pt>
                <c:pt idx="4">
                  <c:v>1.489107</c:v>
                </c:pt>
                <c:pt idx="5">
                  <c:v>1.4777292499999999</c:v>
                </c:pt>
                <c:pt idx="6">
                  <c:v>1.4888135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D-41FF-9EEF-C88FACDCD5E5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ETH'!$H$30,'q_max=110 eta (0.002, 0.2) ETH'!$H$118,'q_max=110 eta (0.002, 0.2) ETH'!$H$206,'q_max=110 eta (0.002, 0.2) ETH'!$H$294,'q_max=110 eta (0.002, 0.2) ETH'!$H$382,'q_max=110 eta (0.002, 0.2) ETH'!$H$470,'q_max=110 eta (0.002, 0.2) ETH'!$H$558)</c:f>
              <c:numCache>
                <c:formatCode>General</c:formatCode>
                <c:ptCount val="7"/>
                <c:pt idx="0">
                  <c:v>1.3463112500000001</c:v>
                </c:pt>
                <c:pt idx="1">
                  <c:v>1.3743842499999999</c:v>
                </c:pt>
                <c:pt idx="2">
                  <c:v>1.38995975</c:v>
                </c:pt>
                <c:pt idx="3">
                  <c:v>1.409319</c:v>
                </c:pt>
                <c:pt idx="4">
                  <c:v>1.4333525</c:v>
                </c:pt>
                <c:pt idx="5">
                  <c:v>1.4411350000000001</c:v>
                </c:pt>
                <c:pt idx="6">
                  <c:v>1.4402887500000001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D-41FF-9EEF-C88FACDCD5E5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ETH'!$H$77,'q_max=110 eta (0.002, 0.2) ETH'!$H$165,'q_max=110 eta (0.002, 0.2) ETH'!$H$253,'q_max=110 eta (0.002, 0.2) ETH'!$H$341,'q_max=110 eta (0.002, 0.2) ETH'!$H$429,'q_max=110 eta (0.002, 0.2) ETH'!$H$517,'q_max=110 eta (0.002, 0.2) ETH'!$H$605)</c:f>
              <c:numCache>
                <c:formatCode>General</c:formatCode>
                <c:ptCount val="7"/>
                <c:pt idx="0">
                  <c:v>1.2972860000000002</c:v>
                </c:pt>
                <c:pt idx="1">
                  <c:v>1.4315027499999999</c:v>
                </c:pt>
                <c:pt idx="2">
                  <c:v>1.4708485</c:v>
                </c:pt>
                <c:pt idx="3">
                  <c:v>1.47191275</c:v>
                </c:pt>
                <c:pt idx="4">
                  <c:v>1.55234125</c:v>
                </c:pt>
                <c:pt idx="5">
                  <c:v>1.5254992499999998</c:v>
                </c:pt>
                <c:pt idx="6">
                  <c:v>1.5492347500000001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ED-41FF-9EEF-C88FACDCD5E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ETH'!$H$87,'q_max=110 eta (0.002, 0.2) ETH'!$H$175,'q_max=110 eta (0.002, 0.2) ETH'!$H$263,'q_max=110 eta (0.002, 0.2) ETH'!$H$351,'q_max=110 eta (0.002, 0.2) ETH'!$H$439,'q_max=110 eta (0.002, 0.2) ETH'!$H$527,'q_max=110 eta (0.002, 0.2) ETH'!$H$615)</c:f>
              <c:numCache>
                <c:formatCode>General</c:formatCode>
                <c:ptCount val="7"/>
                <c:pt idx="0">
                  <c:v>1.3944497499999999</c:v>
                </c:pt>
                <c:pt idx="1">
                  <c:v>1.49825925</c:v>
                </c:pt>
                <c:pt idx="2">
                  <c:v>1.4768330000000001</c:v>
                </c:pt>
                <c:pt idx="3">
                  <c:v>1.4889697500000001</c:v>
                </c:pt>
                <c:pt idx="4">
                  <c:v>1.4979905</c:v>
                </c:pt>
                <c:pt idx="5">
                  <c:v>1.5069039999999998</c:v>
                </c:pt>
                <c:pt idx="6">
                  <c:v>1.4922534999999999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ED-41FF-9EEF-C88FACDCD5E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ETH'!$H$50,'q_max=110 eta (0.002, 0.2) ETH'!$H$138,'q_max=110 eta (0.002, 0.2) ETH'!$H$226,'q_max=110 eta (0.002, 0.2) ETH'!$H$314,'q_max=110 eta (0.002, 0.2) ETH'!$H$402,'q_max=110 eta (0.002, 0.2) ETH'!$H$490,'q_max=110 eta (0.002, 0.2) ETH'!$H$578)</c:f>
              <c:numCache>
                <c:formatCode>General</c:formatCode>
                <c:ptCount val="7"/>
                <c:pt idx="0">
                  <c:v>1.5313105</c:v>
                </c:pt>
                <c:pt idx="1">
                  <c:v>1.5893712499999999</c:v>
                </c:pt>
                <c:pt idx="2">
                  <c:v>1.59092375</c:v>
                </c:pt>
                <c:pt idx="3">
                  <c:v>1.6224815000000001</c:v>
                </c:pt>
                <c:pt idx="4">
                  <c:v>1.62471375</c:v>
                </c:pt>
                <c:pt idx="5">
                  <c:v>1.64755775</c:v>
                </c:pt>
                <c:pt idx="6">
                  <c:v>1.6458172499999999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ED-41FF-9EEF-C88FACDCD5E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ETH'!$H$60,'q_max=110 eta (0.002, 0.2) ETH'!$H$148,'q_max=110 eta (0.002, 0.2) ETH'!$H$236,'q_max=110 eta (0.002, 0.2) ETH'!$H$324,'q_max=110 eta (0.002, 0.2) ETH'!$H$412,'q_max=110 eta (0.002, 0.2) ETH'!$H$500,'q_max=110 eta (0.002, 0.2) ETH'!$H$588)</c:f>
              <c:numCache>
                <c:formatCode>General</c:formatCode>
                <c:ptCount val="7"/>
                <c:pt idx="0">
                  <c:v>1.3251807499999999</c:v>
                </c:pt>
                <c:pt idx="1">
                  <c:v>1.3717902500000001</c:v>
                </c:pt>
                <c:pt idx="2">
                  <c:v>1.4341262499999998</c:v>
                </c:pt>
                <c:pt idx="3">
                  <c:v>1.47892025</c:v>
                </c:pt>
                <c:pt idx="4">
                  <c:v>1.5267124999999999</c:v>
                </c:pt>
                <c:pt idx="5">
                  <c:v>1.5185149999999998</c:v>
                </c:pt>
                <c:pt idx="6">
                  <c:v>1.55412975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D-4CDA-B17C-65A718129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ETH'!$H$82,'q_max=110 eta (0.002, 0.2) ETH'!$H$170,'q_max=110 eta (0.002, 0.2) ETH'!$H$258,'q_max=110 eta (0.002, 0.2) ETH'!$H$346,'q_max=110 eta (0.002, 0.2) ETH'!$H$434,'q_max=110 eta (0.002, 0.2) ETH'!$H$522,'q_max=110 eta (0.002, 0.2) ETH'!$H$610)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1.813221</c:v>
                      </c:pt>
                      <c:pt idx="1">
                        <c:v>2.1365690000000002</c:v>
                      </c:pt>
                      <c:pt idx="2">
                        <c:v>2.2019387500000001</c:v>
                      </c:pt>
                      <c:pt idx="3">
                        <c:v>2.3858935000000003</c:v>
                      </c:pt>
                      <c:pt idx="4">
                        <c:v>2.2959992500000004</c:v>
                      </c:pt>
                      <c:pt idx="5">
                        <c:v>2.1541345000000001</c:v>
                      </c:pt>
                      <c:pt idx="6">
                        <c:v>1.9124215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59ED-41FF-9EEF-C88FACDCD5E5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1.6500000000000001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ETH'!$H$6,'q_max=110 eta (0.002, 0.2) ETH'!$H$94,'q_max=110 eta (0.002, 0.2) ETH'!$H$182,'q_max=110 eta (0.002, 0.2) ETH'!$H$270,'q_max=110 eta (0.002, 0.2) ETH'!$H$358,'q_max=110 eta (0.002, 0.2) ETH'!$H$446,'q_max=110 eta (0.002, 0.2) ETH'!$H$534)</c:f>
              <c:numCache>
                <c:formatCode>General</c:formatCode>
                <c:ptCount val="7"/>
                <c:pt idx="0">
                  <c:v>0.20477025000000001</c:v>
                </c:pt>
                <c:pt idx="1">
                  <c:v>0.20856574999999999</c:v>
                </c:pt>
                <c:pt idx="2">
                  <c:v>0.21195249999999999</c:v>
                </c:pt>
                <c:pt idx="3">
                  <c:v>0.21223124999999998</c:v>
                </c:pt>
                <c:pt idx="4">
                  <c:v>0.21408774999999999</c:v>
                </c:pt>
                <c:pt idx="5">
                  <c:v>0.21337449999999999</c:v>
                </c:pt>
                <c:pt idx="6">
                  <c:v>0.21435625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3F1-4ACE-996C-9EC8F5866F2C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ETH'!$H$16,'q_max=110 eta (0.002, 0.2) ETH'!$H$104,'q_max=110 eta (0.002, 0.2) ETH'!$H$192,'q_max=110 eta (0.002, 0.2) ETH'!$H$280,'q_max=110 eta (0.002, 0.2) ETH'!$H$368,'q_max=110 eta (0.002, 0.2) ETH'!$H$456,'q_max=110 eta (0.002, 0.2) ETH'!$H$544)</c:f>
              <c:numCache>
                <c:formatCode>General</c:formatCode>
                <c:ptCount val="7"/>
                <c:pt idx="0">
                  <c:v>0.21243400000000001</c:v>
                </c:pt>
                <c:pt idx="1">
                  <c:v>0.21422524999999998</c:v>
                </c:pt>
                <c:pt idx="2">
                  <c:v>0.21526474999999998</c:v>
                </c:pt>
                <c:pt idx="3">
                  <c:v>0.21556799999999998</c:v>
                </c:pt>
                <c:pt idx="4">
                  <c:v>0.21431899999999998</c:v>
                </c:pt>
                <c:pt idx="5">
                  <c:v>0.21436525000000001</c:v>
                </c:pt>
                <c:pt idx="6">
                  <c:v>0.21455199999999999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1-4ACE-996C-9EC8F5866F2C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ETH'!$H$36,'q_max=110 eta (0.002, 0.2) ETH'!$H$124,'q_max=110 eta (0.002, 0.2) ETH'!$H$212,'q_max=110 eta (0.002, 0.2) ETH'!$H$300,'q_max=110 eta (0.002, 0.2) ETH'!$H$388,'q_max=110 eta (0.002, 0.2) ETH'!$H$476,'q_max=110 eta (0.002, 0.2) ETH'!$H$564)</c:f>
              <c:numCache>
                <c:formatCode>General</c:formatCode>
                <c:ptCount val="7"/>
                <c:pt idx="0">
                  <c:v>0.21102725</c:v>
                </c:pt>
                <c:pt idx="1">
                  <c:v>0.21372849999999999</c:v>
                </c:pt>
                <c:pt idx="2">
                  <c:v>0.21367450000000002</c:v>
                </c:pt>
                <c:pt idx="3">
                  <c:v>0.21433150000000001</c:v>
                </c:pt>
                <c:pt idx="4">
                  <c:v>0.21764775</c:v>
                </c:pt>
                <c:pt idx="5">
                  <c:v>0.21715975000000001</c:v>
                </c:pt>
                <c:pt idx="6">
                  <c:v>0.21805225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1-4ACE-996C-9EC8F5866F2C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ETH'!$H$26,'q_max=110 eta (0.002, 0.2) ETH'!$H$114,'q_max=110 eta (0.002, 0.2) ETH'!$H$202,'q_max=110 eta (0.002, 0.2) ETH'!$H$290,'q_max=110 eta (0.002, 0.2) ETH'!$H$378,'q_max=110 eta (0.002, 0.2) ETH'!$H$466,'q_max=110 eta (0.002, 0.2) ETH'!$H$554)</c:f>
              <c:numCache>
                <c:formatCode>General</c:formatCode>
                <c:ptCount val="7"/>
                <c:pt idx="0">
                  <c:v>0.20443424999999998</c:v>
                </c:pt>
                <c:pt idx="1">
                  <c:v>0.20972774999999999</c:v>
                </c:pt>
                <c:pt idx="2">
                  <c:v>0.21169524999999997</c:v>
                </c:pt>
                <c:pt idx="3">
                  <c:v>0.21229999999999999</c:v>
                </c:pt>
                <c:pt idx="4">
                  <c:v>0.214031</c:v>
                </c:pt>
                <c:pt idx="5">
                  <c:v>0.21412799999999999</c:v>
                </c:pt>
                <c:pt idx="6">
                  <c:v>0.21444250000000001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F1-4ACE-996C-9EC8F5866F2C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ETH'!$H$75,'q_max=110 eta (0.002, 0.2) ETH'!$H$163,'q_max=110 eta (0.002, 0.2) ETH'!$H$251,'q_max=110 eta (0.002, 0.2) ETH'!$H$339,'q_max=110 eta (0.002, 0.2) ETH'!$H$427,'q_max=110 eta (0.002, 0.2) ETH'!$H$515,'q_max=110 eta (0.002, 0.2) ETH'!$H$603)</c:f>
              <c:numCache>
                <c:formatCode>General</c:formatCode>
                <c:ptCount val="7"/>
                <c:pt idx="0">
                  <c:v>0.20028475000000001</c:v>
                </c:pt>
                <c:pt idx="1">
                  <c:v>0.21054475</c:v>
                </c:pt>
                <c:pt idx="2">
                  <c:v>0.21671474999999998</c:v>
                </c:pt>
                <c:pt idx="3">
                  <c:v>0.22008349999999999</c:v>
                </c:pt>
                <c:pt idx="4">
                  <c:v>0.22518874999999999</c:v>
                </c:pt>
                <c:pt idx="5">
                  <c:v>0.22477199999999997</c:v>
                </c:pt>
                <c:pt idx="6">
                  <c:v>0.22589975000000001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F1-4ACE-996C-9EC8F5866F2C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ETH'!$H$85,'q_max=110 eta (0.002, 0.2) ETH'!$H$173,'q_max=110 eta (0.002, 0.2) ETH'!$H$261,'q_max=110 eta (0.002, 0.2) ETH'!$H$349,'q_max=110 eta (0.002, 0.2) ETH'!$H$437,'q_max=110 eta (0.002, 0.2) ETH'!$H$525,'q_max=110 eta (0.002, 0.2) ETH'!$H$613)</c:f>
              <c:numCache>
                <c:formatCode>General</c:formatCode>
                <c:ptCount val="7"/>
                <c:pt idx="0">
                  <c:v>0.20568525000000001</c:v>
                </c:pt>
                <c:pt idx="1">
                  <c:v>0.21343099999999998</c:v>
                </c:pt>
                <c:pt idx="2">
                  <c:v>0.21341900000000003</c:v>
                </c:pt>
                <c:pt idx="3">
                  <c:v>0.21360425</c:v>
                </c:pt>
                <c:pt idx="4">
                  <c:v>0.21564025000000001</c:v>
                </c:pt>
                <c:pt idx="5">
                  <c:v>0.21630125</c:v>
                </c:pt>
                <c:pt idx="6">
                  <c:v>0.21654225000000002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F1-4ACE-996C-9EC8F5866F2C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ETH'!$H$46,'q_max=110 eta (0.002, 0.2) ETH'!$H$134,'q_max=110 eta (0.002, 0.2) ETH'!$H$222,'q_max=110 eta (0.002, 0.2) ETH'!$H$310,'q_max=110 eta (0.002, 0.2) ETH'!$H$398,'q_max=110 eta (0.002, 0.2) ETH'!$H$486,'q_max=110 eta (0.002, 0.2) ETH'!$H$574)</c:f>
              <c:numCache>
                <c:formatCode>General</c:formatCode>
                <c:ptCount val="7"/>
                <c:pt idx="0">
                  <c:v>0.22532874999999999</c:v>
                </c:pt>
                <c:pt idx="1">
                  <c:v>0.2319435</c:v>
                </c:pt>
                <c:pt idx="2">
                  <c:v>0.23280925000000002</c:v>
                </c:pt>
                <c:pt idx="3">
                  <c:v>0.23505274999999998</c:v>
                </c:pt>
                <c:pt idx="4">
                  <c:v>0.2352195</c:v>
                </c:pt>
                <c:pt idx="5">
                  <c:v>0.23681150000000001</c:v>
                </c:pt>
                <c:pt idx="6">
                  <c:v>0.23727275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F1-4ACE-996C-9EC8F5866F2C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ETH'!$H$56,'q_max=110 eta (0.002, 0.2) ETH'!$H$144,'q_max=110 eta (0.002, 0.2) ETH'!$H$232,'q_max=110 eta (0.002, 0.2) ETH'!$H$320,'q_max=110 eta (0.002, 0.2) ETH'!$H$408,'q_max=110 eta (0.002, 0.2) ETH'!$H$496,'q_max=110 eta (0.002, 0.2) ETH'!$H$584)</c:f>
              <c:numCache>
                <c:formatCode>General</c:formatCode>
                <c:ptCount val="7"/>
                <c:pt idx="0">
                  <c:v>0.20249</c:v>
                </c:pt>
                <c:pt idx="1">
                  <c:v>0.20775950000000001</c:v>
                </c:pt>
                <c:pt idx="2">
                  <c:v>0.21560250000000003</c:v>
                </c:pt>
                <c:pt idx="3">
                  <c:v>0.22136675</c:v>
                </c:pt>
                <c:pt idx="4">
                  <c:v>0.22610925000000001</c:v>
                </c:pt>
                <c:pt idx="5">
                  <c:v>0.22538449999999999</c:v>
                </c:pt>
                <c:pt idx="6">
                  <c:v>0.22833375000000003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B-45F7-8EA1-03FE5C73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ETH'!$H$80,'q_max=110 eta (0.002, 0.2) ETH'!$H$168,'q_max=110 eta (0.002, 0.2) ETH'!$H$256,'q_max=110 eta (0.002, 0.2) ETH'!$H$344,'q_max=110 eta (0.002, 0.2) ETH'!$H$432,'q_max=110 eta (0.002, 0.2) ETH'!$H$520,'q_max=110 eta (0.002, 0.2) ETH'!$H$608)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0.24306074999999999</c:v>
                      </c:pt>
                      <c:pt idx="1">
                        <c:v>0.26943475</c:v>
                      </c:pt>
                      <c:pt idx="2">
                        <c:v>0.27945575</c:v>
                      </c:pt>
                      <c:pt idx="3">
                        <c:v>0.29331050000000003</c:v>
                      </c:pt>
                      <c:pt idx="4">
                        <c:v>0.29045500000000002</c:v>
                      </c:pt>
                      <c:pt idx="5">
                        <c:v>0.28405649999999999</c:v>
                      </c:pt>
                      <c:pt idx="6">
                        <c:v>0.26881375000000002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C3F1-4ACE-996C-9EC8F5866F2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Previous image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('q_max=110 eta (0.002, 0.2) ETH'!$H$90,'q_max=110 eta (0.002, 0.2) ETH'!$H$178,'q_max=110 eta (0.002, 0.2) ETH'!$H$266,'q_max=110 eta (0.002, 0.2) ETH'!$H$354,'q_max=110 eta (0.002, 0.2) ETH'!$H$442,'q_max=110 eta (0.002, 0.2) ETH'!$H$530,'q_max=110 eta (0.002, 0.2) ETH'!$H$618)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0.24977775000000002</c:v>
                      </c:pt>
                      <c:pt idx="1">
                        <c:v>0.32084774999999999</c:v>
                      </c:pt>
                      <c:pt idx="2">
                        <c:v>0.34534274999999998</c:v>
                      </c:pt>
                      <c:pt idx="3">
                        <c:v>0.36248225000000001</c:v>
                      </c:pt>
                      <c:pt idx="4">
                        <c:v>0.34911924999999999</c:v>
                      </c:pt>
                      <c:pt idx="5">
                        <c:v>0.31718025000000005</c:v>
                      </c:pt>
                      <c:pt idx="6">
                        <c:v>0.27819749999999999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596-4444-98D9-45F72A6BE06F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2400000000000000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ETH'!$H$12,'q_max=110 eta (0.002, 0.2) ETH'!$H$100,'q_max=110 eta (0.002, 0.2) ETH'!$H$188,'q_max=110 eta (0.002, 0.2) ETH'!$H$276,'q_max=110 eta (0.002, 0.2) ETH'!$H$364,'q_max=110 eta (0.002, 0.2) ETH'!$H$452,'q_max=110 eta (0.002, 0.2) ETH'!$H$540)</c:f>
              <c:numCache>
                <c:formatCode>General</c:formatCode>
                <c:ptCount val="7"/>
                <c:pt idx="0">
                  <c:v>21.03694175</c:v>
                </c:pt>
                <c:pt idx="1">
                  <c:v>21.140064000000002</c:v>
                </c:pt>
                <c:pt idx="2">
                  <c:v>21.300010749999998</c:v>
                </c:pt>
                <c:pt idx="3">
                  <c:v>21.516634499999999</c:v>
                </c:pt>
                <c:pt idx="4">
                  <c:v>21.364019749999997</c:v>
                </c:pt>
                <c:pt idx="5">
                  <c:v>21.326842249999999</c:v>
                </c:pt>
                <c:pt idx="6">
                  <c:v>21.492296499999998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74A-43D8-A597-B931432E4DF4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ETH'!$H$22,'q_max=110 eta (0.002, 0.2) ETH'!$H$110,'q_max=110 eta (0.002, 0.2) ETH'!$H$198,'q_max=110 eta (0.002, 0.2) ETH'!$H$286,'q_max=110 eta (0.002, 0.2) ETH'!$H$374,'q_max=110 eta (0.002, 0.2) ETH'!$H$462,'q_max=110 eta (0.002, 0.2) ETH'!$H$550)</c:f>
              <c:numCache>
                <c:formatCode>General</c:formatCode>
                <c:ptCount val="7"/>
                <c:pt idx="0">
                  <c:v>21.626063500000001</c:v>
                </c:pt>
                <c:pt idx="1">
                  <c:v>21.723670249999998</c:v>
                </c:pt>
                <c:pt idx="2">
                  <c:v>21.793387249999999</c:v>
                </c:pt>
                <c:pt idx="3">
                  <c:v>21.853691749999999</c:v>
                </c:pt>
                <c:pt idx="4">
                  <c:v>21.821959750000001</c:v>
                </c:pt>
                <c:pt idx="5">
                  <c:v>21.720830749999998</c:v>
                </c:pt>
                <c:pt idx="6">
                  <c:v>21.918097249999999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A-43D8-A597-B931432E4DF4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ETH'!$H$42,'q_max=110 eta (0.002, 0.2) ETH'!$H$130,'q_max=110 eta (0.002, 0.2) ETH'!$H$218,'q_max=110 eta (0.002, 0.2) ETH'!$H$306,'q_max=110 eta (0.002, 0.2) ETH'!$H$394,'q_max=110 eta (0.002, 0.2) ETH'!$H$482,'q_max=110 eta (0.002, 0.2) ETH'!$H$570)</c:f>
              <c:numCache>
                <c:formatCode>General</c:formatCode>
                <c:ptCount val="7"/>
                <c:pt idx="0">
                  <c:v>21.22221725</c:v>
                </c:pt>
                <c:pt idx="1">
                  <c:v>21.461707000000001</c:v>
                </c:pt>
                <c:pt idx="2">
                  <c:v>21.70562425</c:v>
                </c:pt>
                <c:pt idx="3">
                  <c:v>21.791359249999999</c:v>
                </c:pt>
                <c:pt idx="4">
                  <c:v>21.870367000000002</c:v>
                </c:pt>
                <c:pt idx="5">
                  <c:v>21.808753000000003</c:v>
                </c:pt>
                <c:pt idx="6">
                  <c:v>21.944396750000003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4A-43D8-A597-B931432E4DF4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ETH'!$H$32,'q_max=110 eta (0.002, 0.2) ETH'!$H$120,'q_max=110 eta (0.002, 0.2) ETH'!$H$208,'q_max=110 eta (0.002, 0.2) ETH'!$H$296,'q_max=110 eta (0.002, 0.2) ETH'!$H$384,'q_max=110 eta (0.002, 0.2) ETH'!$H$472,'q_max=110 eta (0.002, 0.2) ETH'!$H$560)</c:f>
              <c:numCache>
                <c:formatCode>General</c:formatCode>
                <c:ptCount val="7"/>
                <c:pt idx="0">
                  <c:v>21.039029249999999</c:v>
                </c:pt>
                <c:pt idx="1">
                  <c:v>21.156670250000001</c:v>
                </c:pt>
                <c:pt idx="2">
                  <c:v>21.317143500000004</c:v>
                </c:pt>
                <c:pt idx="3">
                  <c:v>21.241239749999998</c:v>
                </c:pt>
                <c:pt idx="4">
                  <c:v>21.374426499999998</c:v>
                </c:pt>
                <c:pt idx="5">
                  <c:v>21.401729500000002</c:v>
                </c:pt>
                <c:pt idx="6">
                  <c:v>21.492715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4A-43D8-A597-B931432E4DF4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ETH'!$H$78,'q_max=110 eta (0.002, 0.2) ETH'!$H$166,'q_max=110 eta (0.002, 0.2) ETH'!$H$254,'q_max=110 eta (0.002, 0.2) ETH'!$H$342,'q_max=110 eta (0.002, 0.2) ETH'!$H$430,'q_max=110 eta (0.002, 0.2) ETH'!$H$518,'q_max=110 eta (0.002, 0.2) ETH'!$H$606)</c:f>
              <c:numCache>
                <c:formatCode>General</c:formatCode>
                <c:ptCount val="7"/>
                <c:pt idx="0">
                  <c:v>20.239097999999998</c:v>
                </c:pt>
                <c:pt idx="1">
                  <c:v>20.880834</c:v>
                </c:pt>
                <c:pt idx="2">
                  <c:v>21.607505</c:v>
                </c:pt>
                <c:pt idx="3">
                  <c:v>21.419332750000002</c:v>
                </c:pt>
                <c:pt idx="4">
                  <c:v>22.60725725</c:v>
                </c:pt>
                <c:pt idx="5">
                  <c:v>22.6008055</c:v>
                </c:pt>
                <c:pt idx="6">
                  <c:v>22.734855250000003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74A-43D8-A597-B931432E4DF4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ETH'!$H$88,'q_max=110 eta (0.002, 0.2) ETH'!$H$176,'q_max=110 eta (0.002, 0.2) ETH'!$H$264,'q_max=110 eta (0.002, 0.2) ETH'!$H$352,'q_max=110 eta (0.002, 0.2) ETH'!$H$440,'q_max=110 eta (0.002, 0.2) ETH'!$H$528,'q_max=110 eta (0.002, 0.2) ETH'!$H$616)</c:f>
              <c:numCache>
                <c:formatCode>General</c:formatCode>
                <c:ptCount val="7"/>
                <c:pt idx="0">
                  <c:v>21.518478250000001</c:v>
                </c:pt>
                <c:pt idx="1">
                  <c:v>22.19113475</c:v>
                </c:pt>
                <c:pt idx="2">
                  <c:v>22.115638499999999</c:v>
                </c:pt>
                <c:pt idx="3">
                  <c:v>22.333159000000002</c:v>
                </c:pt>
                <c:pt idx="4">
                  <c:v>21.959001000000001</c:v>
                </c:pt>
                <c:pt idx="5">
                  <c:v>21.74990425</c:v>
                </c:pt>
                <c:pt idx="6">
                  <c:v>22.12132325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74A-43D8-A597-B931432E4DF4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ETH'!$H$52,'q_max=110 eta (0.002, 0.2) ETH'!$H$140,'q_max=110 eta (0.002, 0.2) ETH'!$H$228,'q_max=110 eta (0.002, 0.2) ETH'!$H$316,'q_max=110 eta (0.002, 0.2) ETH'!$H$404,'q_max=110 eta (0.002, 0.2) ETH'!$H$492,'q_max=110 eta (0.002, 0.2) ETH'!$H$580)</c:f>
              <c:numCache>
                <c:formatCode>General</c:formatCode>
                <c:ptCount val="7"/>
                <c:pt idx="0">
                  <c:v>22.588726999999999</c:v>
                </c:pt>
                <c:pt idx="1">
                  <c:v>23.104951499999999</c:v>
                </c:pt>
                <c:pt idx="2">
                  <c:v>23.120784499999999</c:v>
                </c:pt>
                <c:pt idx="3">
                  <c:v>23.372801249999998</c:v>
                </c:pt>
                <c:pt idx="4">
                  <c:v>23.3532765</c:v>
                </c:pt>
                <c:pt idx="5">
                  <c:v>23.623588250000001</c:v>
                </c:pt>
                <c:pt idx="6">
                  <c:v>23.566357000000004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4A-43D8-A597-B931432E4DF4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ETH'!$H$62,'q_max=110 eta (0.002, 0.2) ETH'!$H$150,'q_max=110 eta (0.002, 0.2) ETH'!$H$238,'q_max=110 eta (0.002, 0.2) ETH'!$H$326,'q_max=110 eta (0.002, 0.2) ETH'!$H$414,'q_max=110 eta (0.002, 0.2) ETH'!$H$502,'q_max=110 eta (0.002, 0.2) ETH'!$H$590)</c:f>
              <c:numCache>
                <c:formatCode>General</c:formatCode>
                <c:ptCount val="7"/>
                <c:pt idx="0">
                  <c:v>21.341042250000001</c:v>
                </c:pt>
                <c:pt idx="1">
                  <c:v>21.861014750000002</c:v>
                </c:pt>
                <c:pt idx="2">
                  <c:v>22.702306499999999</c:v>
                </c:pt>
                <c:pt idx="3">
                  <c:v>23.185953999999999</c:v>
                </c:pt>
                <c:pt idx="4">
                  <c:v>23.390650749999999</c:v>
                </c:pt>
                <c:pt idx="5">
                  <c:v>23.416796999999999</c:v>
                </c:pt>
                <c:pt idx="6">
                  <c:v>24.108097000000001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8-461A-878A-1F5C41CC8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ETH'!$H$83,'q_max=110 eta (0.002, 0.2) ETH'!$H$171,'q_max=110 eta (0.002, 0.2) ETH'!$H$259,'q_max=110 eta (0.002, 0.2) ETH'!$H$347,'q_max=110 eta (0.002, 0.2) ETH'!$H$435,'q_max=110 eta (0.002, 0.2) ETH'!$H$523,'q_max=110 eta (0.002, 0.2) ETH'!$H$611)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25.902563999999998</c:v>
                      </c:pt>
                      <c:pt idx="1">
                        <c:v>28.58009775</c:v>
                      </c:pt>
                      <c:pt idx="2">
                        <c:v>28.904060999999999</c:v>
                      </c:pt>
                      <c:pt idx="3">
                        <c:v>30.048425000000002</c:v>
                      </c:pt>
                      <c:pt idx="4">
                        <c:v>29.488062249999999</c:v>
                      </c:pt>
                      <c:pt idx="5">
                        <c:v>26.89174525</c:v>
                      </c:pt>
                      <c:pt idx="6">
                        <c:v>25.508282749999999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74A-43D8-A597-B931432E4DF4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plus>
            <c:minus>
              <c:numRef>
                <c:f>('q_max=110 eta (0.002, 0.2) ETH'!$H$9,'q_max=110 eta (0.002, 0.2) ETH'!$H$97,'q_max=110 eta (0.002, 0.2) ETH'!$H$185,'q_max=110 eta (0.002, 0.2) ETH'!$H$273,'q_max=110 eta (0.002, 0.2) ETH'!$H$361,'q_max=110 eta (0.002, 0.2) ETH'!$H$449,'q_max=110 eta (0.002, 0.2) ETH'!$H$537)</c:f>
                <c:numCache>
                  <c:formatCode>General</c:formatCode>
                  <c:ptCount val="7"/>
                  <c:pt idx="0">
                    <c:v>9.2192054972215474E-5</c:v>
                  </c:pt>
                  <c:pt idx="1">
                    <c:v>1.1416353402028163E-4</c:v>
                  </c:pt>
                  <c:pt idx="2">
                    <c:v>2.3137064420535288E-4</c:v>
                  </c:pt>
                  <c:pt idx="3">
                    <c:v>1.9076654580926918E-4</c:v>
                  </c:pt>
                  <c:pt idx="4">
                    <c:v>2.9735048764042749E-4</c:v>
                  </c:pt>
                  <c:pt idx="5">
                    <c:v>2.4668527519898709E-4</c:v>
                  </c:pt>
                  <c:pt idx="6">
                    <c:v>2.3477928464836926E-4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ETH'!$H$8,'q_max=110 eta (0.002, 0.2) ETH'!$H$96,'q_max=110 eta (0.002, 0.2) ETH'!$H$184,'q_max=110 eta (0.002, 0.2) ETH'!$H$272,'q_max=110 eta (0.002, 0.2) ETH'!$H$360,'q_max=110 eta (0.002, 0.2) ETH'!$H$448,'q_max=110 eta (0.002, 0.2) ETH'!$H$536)</c:f>
              <c:numCache>
                <c:formatCode>General</c:formatCode>
                <c:ptCount val="7"/>
                <c:pt idx="0">
                  <c:v>0.90226399999999995</c:v>
                </c:pt>
                <c:pt idx="1">
                  <c:v>0.90018100000000012</c:v>
                </c:pt>
                <c:pt idx="2">
                  <c:v>0.89880925</c:v>
                </c:pt>
                <c:pt idx="3">
                  <c:v>0.89855324999999997</c:v>
                </c:pt>
                <c:pt idx="4">
                  <c:v>0.89771325000000002</c:v>
                </c:pt>
                <c:pt idx="5">
                  <c:v>0.89785074999999992</c:v>
                </c:pt>
                <c:pt idx="6">
                  <c:v>0.89706300000000005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B45C-48EB-8FA8-075040C97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ETH'!$H$19,'q_max=110 eta (0.002, 0.2) ETH'!$H$19,'q_max=110 eta (0.002, 0.2) ETH'!$H$107,'q_max=110 eta (0.002, 0.2) ETH'!$H$195,'q_max=110 eta (0.002, 0.2) ETH'!$H$283,'q_max=110 eta (0.002, 0.2) ETH'!$H$371,'q_max=110 eta (0.002, 0.2) ETH'!$H$459,'q_max=110 eta (0.002, 0.2) ETH'!$H$547)</c:f>
                <c:numCache>
                  <c:formatCode>General</c:formatCode>
                  <c:ptCount val="8"/>
                  <c:pt idx="0">
                    <c:v>4.3544438508264177E-4</c:v>
                  </c:pt>
                  <c:pt idx="1">
                    <c:v>4.3544438508264177E-4</c:v>
                  </c:pt>
                  <c:pt idx="2">
                    <c:v>5.3884749697850507E-4</c:v>
                  </c:pt>
                  <c:pt idx="3">
                    <c:v>5.1622118563654474E-4</c:v>
                  </c:pt>
                  <c:pt idx="4">
                    <c:v>4.6723073796572928E-4</c:v>
                  </c:pt>
                  <c:pt idx="5">
                    <c:v>5.2257332021449394E-4</c:v>
                  </c:pt>
                  <c:pt idx="6">
                    <c:v>4.6564894233746521E-4</c:v>
                  </c:pt>
                  <c:pt idx="7">
                    <c:v>4.9584618330687997E-4</c:v>
                  </c:pt>
                </c:numCache>
              </c:numRef>
            </c:plus>
            <c:minus>
              <c:numRef>
                <c:f>('q_max=110 eta (0.002, 0.2) ETH'!$H$19,'q_max=110 eta (0.002, 0.2) ETH'!$H$19,'q_max=110 eta (0.002, 0.2) ETH'!$H$107,'q_max=110 eta (0.002, 0.2) ETH'!$H$195,'q_max=110 eta (0.002, 0.2) ETH'!$H$283,'q_max=110 eta (0.002, 0.2) ETH'!$H$371,'q_max=110 eta (0.002, 0.2) ETH'!$H$459,'q_max=110 eta (0.002, 0.2) ETH'!$H$547)</c:f>
                <c:numCache>
                  <c:formatCode>General</c:formatCode>
                  <c:ptCount val="8"/>
                  <c:pt idx="0">
                    <c:v>4.3544438508264177E-4</c:v>
                  </c:pt>
                  <c:pt idx="1">
                    <c:v>4.3544438508264177E-4</c:v>
                  </c:pt>
                  <c:pt idx="2">
                    <c:v>5.3884749697850507E-4</c:v>
                  </c:pt>
                  <c:pt idx="3">
                    <c:v>5.1622118563654474E-4</c:v>
                  </c:pt>
                  <c:pt idx="4">
                    <c:v>4.6723073796572928E-4</c:v>
                  </c:pt>
                  <c:pt idx="5">
                    <c:v>5.2257332021449394E-4</c:v>
                  </c:pt>
                  <c:pt idx="6">
                    <c:v>4.6564894233746521E-4</c:v>
                  </c:pt>
                  <c:pt idx="7">
                    <c:v>4.9584618330687997E-4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ETH'!$H$18,'q_max=110 eta (0.002, 0.2) ETH'!$H$106,'q_max=110 eta (0.002, 0.2) ETH'!$H$194,'q_max=110 eta (0.002, 0.2) ETH'!$H$282,'q_max=110 eta (0.002, 0.2) ETH'!$H$370,'q_max=110 eta (0.002, 0.2) ETH'!$H$458,'q_max=110 eta (0.002, 0.2) ETH'!$H$546)</c:f>
              <c:numCache>
                <c:formatCode>General</c:formatCode>
                <c:ptCount val="7"/>
                <c:pt idx="0">
                  <c:v>0.8983565</c:v>
                </c:pt>
                <c:pt idx="1">
                  <c:v>0.89747049999999995</c:v>
                </c:pt>
                <c:pt idx="2">
                  <c:v>0.89705174999999993</c:v>
                </c:pt>
                <c:pt idx="3">
                  <c:v>0.89638550000000006</c:v>
                </c:pt>
                <c:pt idx="4">
                  <c:v>0.89716425000000011</c:v>
                </c:pt>
                <c:pt idx="5">
                  <c:v>0.89640175</c:v>
                </c:pt>
                <c:pt idx="6">
                  <c:v>0.89689574999999988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C-48EB-8FA8-075040C9705E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ETH'!$H$39,'q_max=110 eta (0.002, 0.2) ETH'!$H$127,'q_max=110 eta (0.002, 0.2) ETH'!$H$215,'q_max=110 eta (0.002, 0.2) ETH'!$H$303,'q_max=110 eta (0.002, 0.2) ETH'!$H$391,'q_max=110 eta (0.002, 0.2) ETH'!$H$479,'q_max=110 eta (0.002, 0.2) ETH'!$H$567)</c:f>
                <c:numCache>
                  <c:formatCode>General</c:formatCode>
                  <c:ptCount val="7"/>
                  <c:pt idx="0">
                    <c:v>1.0472261873635514E-3</c:v>
                  </c:pt>
                  <c:pt idx="1">
                    <c:v>7.1705704968293832E-4</c:v>
                  </c:pt>
                  <c:pt idx="2">
                    <c:v>6.9193966499977446E-4</c:v>
                  </c:pt>
                  <c:pt idx="3">
                    <c:v>6.3819462156931405E-4</c:v>
                  </c:pt>
                  <c:pt idx="4">
                    <c:v>8.0124344771111849E-4</c:v>
                  </c:pt>
                  <c:pt idx="5">
                    <c:v>1.0245671952097627E-3</c:v>
                  </c:pt>
                  <c:pt idx="6">
                    <c:v>8.3960273344004779E-4</c:v>
                  </c:pt>
                </c:numCache>
              </c:numRef>
            </c:plus>
            <c:minus>
              <c:numRef>
                <c:f>('q_max=110 eta (0.002, 0.2) ETH'!$H$39,'q_max=110 eta (0.002, 0.2) ETH'!$H$127,'q_max=110 eta (0.002, 0.2) ETH'!$H$215,'q_max=110 eta (0.002, 0.2) ETH'!$H$303,'q_max=110 eta (0.002, 0.2) ETH'!$H$391,'q_max=110 eta (0.002, 0.2) ETH'!$H$479,'q_max=110 eta (0.002, 0.2) ETH'!$H$567)</c:f>
                <c:numCache>
                  <c:formatCode>General</c:formatCode>
                  <c:ptCount val="7"/>
                  <c:pt idx="0">
                    <c:v>1.0472261873635514E-3</c:v>
                  </c:pt>
                  <c:pt idx="1">
                    <c:v>7.1705704968293832E-4</c:v>
                  </c:pt>
                  <c:pt idx="2">
                    <c:v>6.9193966499977446E-4</c:v>
                  </c:pt>
                  <c:pt idx="3">
                    <c:v>6.3819462156931405E-4</c:v>
                  </c:pt>
                  <c:pt idx="4">
                    <c:v>8.0124344771111849E-4</c:v>
                  </c:pt>
                  <c:pt idx="5">
                    <c:v>1.0245671952097627E-3</c:v>
                  </c:pt>
                  <c:pt idx="6">
                    <c:v>8.3960273344004779E-4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ETH'!$H$38,'q_max=110 eta (0.002, 0.2) ETH'!$H$126,'q_max=110 eta (0.002, 0.2) ETH'!$H$214,'q_max=110 eta (0.002, 0.2) ETH'!$H$302,'q_max=110 eta (0.002, 0.2) ETH'!$H$390,'q_max=110 eta (0.002, 0.2) ETH'!$H$478,'q_max=110 eta (0.002, 0.2) ETH'!$H$566)</c:f>
              <c:numCache>
                <c:formatCode>General</c:formatCode>
                <c:ptCount val="7"/>
                <c:pt idx="0">
                  <c:v>0.89930550000000009</c:v>
                </c:pt>
                <c:pt idx="1">
                  <c:v>0.898621</c:v>
                </c:pt>
                <c:pt idx="2">
                  <c:v>0.89871975000000004</c:v>
                </c:pt>
                <c:pt idx="3">
                  <c:v>0.89799950000000006</c:v>
                </c:pt>
                <c:pt idx="4">
                  <c:v>0.89633250000000009</c:v>
                </c:pt>
                <c:pt idx="5">
                  <c:v>0.89581525000000006</c:v>
                </c:pt>
                <c:pt idx="6">
                  <c:v>0.89606224999999995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5C-48EB-8FA8-075040C9705E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ETH'!$H$29,'q_max=110 eta (0.002, 0.2) ETH'!$H$117,'q_max=110 eta (0.002, 0.2) ETH'!$H$205,'q_max=110 eta (0.002, 0.2) ETH'!$H$293,'q_max=110 eta (0.002, 0.2) ETH'!$H$381,'q_max=110 eta (0.002, 0.2) ETH'!$H$469,'q_max=110 eta (0.002, 0.2) ETH'!$H$557)</c:f>
                <c:numCache>
                  <c:formatCode>General</c:formatCode>
                  <c:ptCount val="7"/>
                  <c:pt idx="0">
                    <c:v>6.3159520264169199E-5</c:v>
                  </c:pt>
                  <c:pt idx="1">
                    <c:v>8.1116813916721361E-5</c:v>
                  </c:pt>
                  <c:pt idx="2">
                    <c:v>7.3743220027335397E-5</c:v>
                  </c:pt>
                  <c:pt idx="3">
                    <c:v>1.3891611677555634E-4</c:v>
                  </c:pt>
                  <c:pt idx="4">
                    <c:v>1.3700501815627048E-4</c:v>
                  </c:pt>
                  <c:pt idx="5">
                    <c:v>1.5832778499050632E-4</c:v>
                  </c:pt>
                  <c:pt idx="6">
                    <c:v>1.0231874217366044E-4</c:v>
                  </c:pt>
                </c:numCache>
              </c:numRef>
            </c:plus>
            <c:minus>
              <c:numRef>
                <c:f>('q_max=110 eta (0.002, 0.2) ETH'!$H$29,'q_max=110 eta (0.002, 0.2) ETH'!$H$117,'q_max=110 eta (0.002, 0.2) ETH'!$H$205,'q_max=110 eta (0.002, 0.2) ETH'!$H$293,'q_max=110 eta (0.002, 0.2) ETH'!$H$381,'q_max=110 eta (0.002, 0.2) ETH'!$H$469,'q_max=110 eta (0.002, 0.2) ETH'!$H$557)</c:f>
                <c:numCache>
                  <c:formatCode>General</c:formatCode>
                  <c:ptCount val="7"/>
                  <c:pt idx="0">
                    <c:v>6.3159520264169199E-5</c:v>
                  </c:pt>
                  <c:pt idx="1">
                    <c:v>8.1116813916721361E-5</c:v>
                  </c:pt>
                  <c:pt idx="2">
                    <c:v>7.3743220027335397E-5</c:v>
                  </c:pt>
                  <c:pt idx="3">
                    <c:v>1.3891611677555634E-4</c:v>
                  </c:pt>
                  <c:pt idx="4">
                    <c:v>1.3700501815627048E-4</c:v>
                  </c:pt>
                  <c:pt idx="5">
                    <c:v>1.5832778499050632E-4</c:v>
                  </c:pt>
                  <c:pt idx="6">
                    <c:v>1.0231874217366044E-4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ETH'!$H$28,'q_max=110 eta (0.002, 0.2) ETH'!$H$116,'q_max=110 eta (0.002, 0.2) ETH'!$H$204,'q_max=110 eta (0.002, 0.2) ETH'!$H$292,'q_max=110 eta (0.002, 0.2) ETH'!$H$380,'q_max=110 eta (0.002, 0.2) ETH'!$H$468,'q_max=110 eta (0.002, 0.2) ETH'!$H$556)</c:f>
              <c:numCache>
                <c:formatCode>General</c:formatCode>
                <c:ptCount val="7"/>
                <c:pt idx="0">
                  <c:v>0.90271650000000003</c:v>
                </c:pt>
                <c:pt idx="1">
                  <c:v>0.89990375000000011</c:v>
                </c:pt>
                <c:pt idx="2">
                  <c:v>0.89919424999999997</c:v>
                </c:pt>
                <c:pt idx="3">
                  <c:v>0.89863825000000008</c:v>
                </c:pt>
                <c:pt idx="4">
                  <c:v>0.89778325000000003</c:v>
                </c:pt>
                <c:pt idx="5">
                  <c:v>0.89790649999999994</c:v>
                </c:pt>
                <c:pt idx="6">
                  <c:v>0.89711650000000009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5C-48EB-8FA8-075040C9705E}"/>
            </c:ext>
          </c:extLst>
        </c:ser>
        <c:ser>
          <c:idx val="4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ETH'!$H$76,'q_max=110 eta (0.002, 0.2) ETH'!$H$164,'q_max=110 eta (0.002, 0.2) ETH'!$H$252,'q_max=110 eta (0.002, 0.2) ETH'!$H$340,'q_max=110 eta (0.002, 0.2) ETH'!$H$428,'q_max=110 eta (0.002, 0.2) ETH'!$H$516,'q_max=110 eta (0.002, 0.2) ETH'!$H$604)</c:f>
              <c:numCache>
                <c:formatCode>General</c:formatCode>
                <c:ptCount val="7"/>
                <c:pt idx="0">
                  <c:v>0.90252949999999998</c:v>
                </c:pt>
                <c:pt idx="1">
                  <c:v>0.89691924999999995</c:v>
                </c:pt>
                <c:pt idx="2">
                  <c:v>0.89428974999999999</c:v>
                </c:pt>
                <c:pt idx="3">
                  <c:v>0.89421274999999989</c:v>
                </c:pt>
                <c:pt idx="4">
                  <c:v>0.89116974999999998</c:v>
                </c:pt>
                <c:pt idx="5">
                  <c:v>0.89074799999999998</c:v>
                </c:pt>
                <c:pt idx="6">
                  <c:v>0.89045099999999999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5C-48EB-8FA8-075040C9705E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ETH'!$H$86,'q_max=110 eta (0.002, 0.2) ETH'!$H$174,'q_max=110 eta (0.002, 0.2) ETH'!$H$262,'q_max=110 eta (0.002, 0.2) ETH'!$H$350,'q_max=110 eta (0.002, 0.2) ETH'!$H$438,'q_max=110 eta (0.002, 0.2) ETH'!$H$526,'q_max=110 eta (0.002, 0.2) ETH'!$H$614)</c:f>
              <c:numCache>
                <c:formatCode>General</c:formatCode>
                <c:ptCount val="7"/>
                <c:pt idx="0">
                  <c:v>0.90370325000000007</c:v>
                </c:pt>
                <c:pt idx="1">
                  <c:v>0.90110299999999999</c:v>
                </c:pt>
                <c:pt idx="2">
                  <c:v>0.90029124999999999</c:v>
                </c:pt>
                <c:pt idx="3">
                  <c:v>0.89921375000000003</c:v>
                </c:pt>
                <c:pt idx="4">
                  <c:v>0.89786450000000007</c:v>
                </c:pt>
                <c:pt idx="5">
                  <c:v>0.89647599999999994</c:v>
                </c:pt>
                <c:pt idx="6">
                  <c:v>0.89529700000000001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5C-48EB-8FA8-075040C9705E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ETH'!$H$49,'q_max=110 eta (0.002, 0.2) ETH'!$H$49,'q_max=110 eta (0.002, 0.2) ETH'!$H$137,'q_max=110 eta (0.002, 0.2) ETH'!$H$225,'q_max=110 eta (0.002, 0.2) ETH'!$H$313,'q_max=110 eta (0.002, 0.2) ETH'!$H$401,'q_max=110 eta (0.002, 0.2) ETH'!$H$489,'q_max=110 eta (0.002, 0.2) ETH'!$H$577)</c:f>
                <c:numCache>
                  <c:formatCode>General</c:formatCode>
                  <c:ptCount val="8"/>
                  <c:pt idx="0">
                    <c:v>3.9861173151326088E-4</c:v>
                  </c:pt>
                  <c:pt idx="1">
                    <c:v>3.9861173151326088E-4</c:v>
                  </c:pt>
                  <c:pt idx="2">
                    <c:v>3.8636672993413914E-4</c:v>
                  </c:pt>
                  <c:pt idx="3">
                    <c:v>4.4100899934128334E-4</c:v>
                  </c:pt>
                  <c:pt idx="4">
                    <c:v>3.3490633018800942E-4</c:v>
                  </c:pt>
                  <c:pt idx="5">
                    <c:v>3.637865101951968E-4</c:v>
                  </c:pt>
                  <c:pt idx="6">
                    <c:v>3.7610287821286345E-4</c:v>
                  </c:pt>
                  <c:pt idx="7">
                    <c:v>3.4705511089739053E-4</c:v>
                  </c:pt>
                </c:numCache>
              </c:numRef>
            </c:plus>
            <c:minus>
              <c:numRef>
                <c:f>('q_max=110 eta (0.002, 0.2) ETH'!$H$49,'q_max=110 eta (0.002, 0.2) ETH'!$H$49,'q_max=110 eta (0.002, 0.2) ETH'!$H$137,'q_max=110 eta (0.002, 0.2) ETH'!$H$225,'q_max=110 eta (0.002, 0.2) ETH'!$H$313,'q_max=110 eta (0.002, 0.2) ETH'!$H$401,'q_max=110 eta (0.002, 0.2) ETH'!$H$489,'q_max=110 eta (0.002, 0.2) ETH'!$H$577)</c:f>
                <c:numCache>
                  <c:formatCode>General</c:formatCode>
                  <c:ptCount val="8"/>
                  <c:pt idx="0">
                    <c:v>3.9861173151326088E-4</c:v>
                  </c:pt>
                  <c:pt idx="1">
                    <c:v>3.9861173151326088E-4</c:v>
                  </c:pt>
                  <c:pt idx="2">
                    <c:v>3.8636672993413914E-4</c:v>
                  </c:pt>
                  <c:pt idx="3">
                    <c:v>4.4100899934128334E-4</c:v>
                  </c:pt>
                  <c:pt idx="4">
                    <c:v>3.3490633018800942E-4</c:v>
                  </c:pt>
                  <c:pt idx="5">
                    <c:v>3.637865101951968E-4</c:v>
                  </c:pt>
                  <c:pt idx="6">
                    <c:v>3.7610287821286345E-4</c:v>
                  </c:pt>
                  <c:pt idx="7">
                    <c:v>3.4705511089739053E-4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ETH'!$H$48,'q_max=110 eta (0.002, 0.2) ETH'!$H$136,'q_max=110 eta (0.002, 0.2) ETH'!$H$224,'q_max=110 eta (0.002, 0.2) ETH'!$H$312,'q_max=110 eta (0.002, 0.2) ETH'!$H$400,'q_max=110 eta (0.002, 0.2) ETH'!$H$488,'q_max=110 eta (0.002, 0.2) ETH'!$H$576)</c:f>
              <c:numCache>
                <c:formatCode>General</c:formatCode>
                <c:ptCount val="7"/>
                <c:pt idx="0">
                  <c:v>0.89161174999999993</c:v>
                </c:pt>
                <c:pt idx="1">
                  <c:v>0.88789275000000001</c:v>
                </c:pt>
                <c:pt idx="2">
                  <c:v>0.88747399999999999</c:v>
                </c:pt>
                <c:pt idx="3">
                  <c:v>0.88603425000000002</c:v>
                </c:pt>
                <c:pt idx="4">
                  <c:v>0.88597000000000004</c:v>
                </c:pt>
                <c:pt idx="5">
                  <c:v>0.88500299999999998</c:v>
                </c:pt>
                <c:pt idx="6">
                  <c:v>0.88457975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5C-48EB-8FA8-075040C97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ETH'!$H$81,'q_max=110 eta (0.002, 0.2) ETH'!$H$169,'q_max=110 eta (0.002, 0.2) ETH'!$H$257,'q_max=110 eta (0.002, 0.2) ETH'!$H$345,'q_max=110 eta (0.002, 0.2) ETH'!$H$433,'q_max=110 eta (0.002, 0.2) ETH'!$H$521,'q_max=110 eta (0.002, 0.2) ETH'!$H$609)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0.88050675</c:v>
                      </c:pt>
                      <c:pt idx="1">
                        <c:v>0.86503350000000001</c:v>
                      </c:pt>
                      <c:pt idx="2">
                        <c:v>0.85692199999999996</c:v>
                      </c:pt>
                      <c:pt idx="3">
                        <c:v>0.85041199999999995</c:v>
                      </c:pt>
                      <c:pt idx="4">
                        <c:v>0.85205825000000002</c:v>
                      </c:pt>
                      <c:pt idx="5">
                        <c:v>0.85456774999999996</c:v>
                      </c:pt>
                      <c:pt idx="6">
                        <c:v>0.86210774999999995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B45C-48EB-8FA8-075040C9705E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5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plus>
            <c:minus>
              <c:numRef>
                <c:f>('q_max=110 eta (0.002, 0.2) ETH'!$H$5,'q_max=110 eta (0.002, 0.2) ETH'!$H$93,'q_max=110 eta (0.002, 0.2) ETH'!$H$181,'q_max=110 eta (0.002, 0.2) ETH'!$H$269,'q_max=110 eta (0.002, 0.2) ETH'!$H$357,'q_max=110 eta (0.002, 0.2) ETH'!$H$445,'q_max=110 eta (0.002, 0.2) ETH'!$H$533)</c:f>
                <c:numCache>
                  <c:formatCode>General</c:formatCode>
                  <c:ptCount val="7"/>
                  <c:pt idx="0">
                    <c:v>3.2619970876749723E-5</c:v>
                  </c:pt>
                  <c:pt idx="1">
                    <c:v>3.5376545902617457E-5</c:v>
                  </c:pt>
                  <c:pt idx="2">
                    <c:v>9.3336086268923864E-5</c:v>
                  </c:pt>
                  <c:pt idx="3">
                    <c:v>5.8966621914435624E-5</c:v>
                  </c:pt>
                  <c:pt idx="4">
                    <c:v>1.2720578799724482E-4</c:v>
                  </c:pt>
                  <c:pt idx="5">
                    <c:v>1.2082761480721202E-4</c:v>
                  </c:pt>
                  <c:pt idx="6">
                    <c:v>1.0455291722376758E-4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ETH'!$H$4,'q_max=110 eta (0.002, 0.2) ETH'!$H$92,'q_max=110 eta (0.002, 0.2) ETH'!$H$180,'q_max=110 eta (0.002, 0.2) ETH'!$H$268,'q_max=110 eta (0.002, 0.2) ETH'!$H$356,'q_max=110 eta (0.002, 0.2) ETH'!$H$444,'q_max=110 eta (0.002, 0.2) ETH'!$H$532)</c:f>
              <c:numCache>
                <c:formatCode>General</c:formatCode>
                <c:ptCount val="7"/>
                <c:pt idx="0">
                  <c:v>0.98821899999999996</c:v>
                </c:pt>
                <c:pt idx="1">
                  <c:v>0.98738174999999995</c:v>
                </c:pt>
                <c:pt idx="2">
                  <c:v>0.98663725000000002</c:v>
                </c:pt>
                <c:pt idx="3">
                  <c:v>0.98666200000000004</c:v>
                </c:pt>
                <c:pt idx="4">
                  <c:v>0.98632675000000003</c:v>
                </c:pt>
                <c:pt idx="5">
                  <c:v>0.98645775000000002</c:v>
                </c:pt>
                <c:pt idx="6">
                  <c:v>0.98620099999999999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51B-4035-8117-25ED28AB2FDF}"/>
            </c:ext>
          </c:extLst>
        </c:ser>
        <c:ser>
          <c:idx val="2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ETH'!$H$15,'q_max=110 eta (0.002, 0.2) ETH'!$H$15,'q_max=110 eta (0.002, 0.2) ETH'!$H$103,'q_max=110 eta (0.002, 0.2) ETH'!$H$191,'q_max=110 eta (0.002, 0.2) ETH'!$H$279,'q_max=110 eta (0.002, 0.2) ETH'!$H$367,'q_max=110 eta (0.002, 0.2) ETH'!$H$455,'q_max=110 eta (0.002, 0.2) ETH'!$H$543)</c:f>
                <c:numCache>
                  <c:formatCode>General</c:formatCode>
                  <c:ptCount val="8"/>
                  <c:pt idx="0">
                    <c:v>1.8702740440908652E-4</c:v>
                  </c:pt>
                  <c:pt idx="1">
                    <c:v>1.8702740440908652E-4</c:v>
                  </c:pt>
                  <c:pt idx="2">
                    <c:v>2.2585794761309597E-4</c:v>
                  </c:pt>
                  <c:pt idx="3">
                    <c:v>2.2606180017862372E-4</c:v>
                  </c:pt>
                  <c:pt idx="4">
                    <c:v>1.981334777366006E-4</c:v>
                  </c:pt>
                  <c:pt idx="5">
                    <c:v>2.3327532016910834E-4</c:v>
                  </c:pt>
                  <c:pt idx="6">
                    <c:v>1.6869962210983166E-4</c:v>
                  </c:pt>
                  <c:pt idx="7">
                    <c:v>1.8733225830059274E-4</c:v>
                  </c:pt>
                </c:numCache>
              </c:numRef>
            </c:plus>
            <c:minus>
              <c:numRef>
                <c:f>('q_max=110 eta (0.002, 0.2) ETH'!$H$15,'q_max=110 eta (0.002, 0.2) ETH'!$H$15,'q_max=110 eta (0.002, 0.2) ETH'!$H$103,'q_max=110 eta (0.002, 0.2) ETH'!$H$191,'q_max=110 eta (0.002, 0.2) ETH'!$H$279,'q_max=110 eta (0.002, 0.2) ETH'!$H$367,'q_max=110 eta (0.002, 0.2) ETH'!$H$455,'q_max=110 eta (0.002, 0.2) ETH'!$H$543)</c:f>
                <c:numCache>
                  <c:formatCode>General</c:formatCode>
                  <c:ptCount val="8"/>
                  <c:pt idx="0">
                    <c:v>1.8702740440908652E-4</c:v>
                  </c:pt>
                  <c:pt idx="1">
                    <c:v>1.8702740440908652E-4</c:v>
                  </c:pt>
                  <c:pt idx="2">
                    <c:v>2.2585794761309597E-4</c:v>
                  </c:pt>
                  <c:pt idx="3">
                    <c:v>2.2606180017862372E-4</c:v>
                  </c:pt>
                  <c:pt idx="4">
                    <c:v>1.981334777366006E-4</c:v>
                  </c:pt>
                  <c:pt idx="5">
                    <c:v>2.3327532016910834E-4</c:v>
                  </c:pt>
                  <c:pt idx="6">
                    <c:v>1.6869962210983166E-4</c:v>
                  </c:pt>
                  <c:pt idx="7">
                    <c:v>1.8733225830059274E-4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ETH'!$H$14,'q_max=110 eta (0.002, 0.2) ETH'!$H$102,'q_max=110 eta (0.002, 0.2) ETH'!$H$190,'q_max=110 eta (0.002, 0.2) ETH'!$H$278,'q_max=110 eta (0.002, 0.2) ETH'!$H$366,'q_max=110 eta (0.002, 0.2) ETH'!$H$454,'q_max=110 eta (0.002, 0.2) ETH'!$H$542)</c:f>
              <c:numCache>
                <c:formatCode>General</c:formatCode>
                <c:ptCount val="7"/>
                <c:pt idx="0">
                  <c:v>0.98655599999999999</c:v>
                </c:pt>
                <c:pt idx="1">
                  <c:v>0.98622399999999999</c:v>
                </c:pt>
                <c:pt idx="2">
                  <c:v>0.98603549999999995</c:v>
                </c:pt>
                <c:pt idx="3">
                  <c:v>0.98591424999999999</c:v>
                </c:pt>
                <c:pt idx="4">
                  <c:v>0.98643024999999995</c:v>
                </c:pt>
                <c:pt idx="5">
                  <c:v>0.98630825</c:v>
                </c:pt>
                <c:pt idx="6">
                  <c:v>0.98635525000000002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B-4035-8117-25ED28AB2FDF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ETH'!$H$35,'q_max=110 eta (0.002, 0.2) ETH'!$H$123,'q_max=110 eta (0.002, 0.2) ETH'!$H$211,'q_max=110 eta (0.002, 0.2) ETH'!$H$299,'q_max=110 eta (0.002, 0.2) ETH'!$H$387,'q_max=110 eta (0.002, 0.2) ETH'!$H$475,'q_max=110 eta (0.002, 0.2) ETH'!$H$563)</c:f>
                <c:numCache>
                  <c:formatCode>General</c:formatCode>
                  <c:ptCount val="7"/>
                  <c:pt idx="0">
                    <c:v>5.2326033195723904E-4</c:v>
                  </c:pt>
                  <c:pt idx="1">
                    <c:v>2.5538169961843388E-4</c:v>
                  </c:pt>
                  <c:pt idx="2">
                    <c:v>2.282220683895403E-4</c:v>
                  </c:pt>
                  <c:pt idx="3">
                    <c:v>2.867348513871308E-4</c:v>
                  </c:pt>
                  <c:pt idx="4">
                    <c:v>3.6633505838235025E-4</c:v>
                  </c:pt>
                  <c:pt idx="5">
                    <c:v>5.2117931175364198E-4</c:v>
                  </c:pt>
                  <c:pt idx="6">
                    <c:v>4.1178847725501015E-4</c:v>
                  </c:pt>
                </c:numCache>
              </c:numRef>
            </c:plus>
            <c:minus>
              <c:numRef>
                <c:f>('q_max=110 eta (0.002, 0.2) ETH'!$H$35,'q_max=110 eta (0.002, 0.2) ETH'!$H$123,'q_max=110 eta (0.002, 0.2) ETH'!$H$211,'q_max=110 eta (0.002, 0.2) ETH'!$H$299,'q_max=110 eta (0.002, 0.2) ETH'!$H$387,'q_max=110 eta (0.002, 0.2) ETH'!$H$475,'q_max=110 eta (0.002, 0.2) ETH'!$H$563)</c:f>
                <c:numCache>
                  <c:formatCode>General</c:formatCode>
                  <c:ptCount val="7"/>
                  <c:pt idx="0">
                    <c:v>5.2326033195723904E-4</c:v>
                  </c:pt>
                  <c:pt idx="1">
                    <c:v>2.5538169961843388E-4</c:v>
                  </c:pt>
                  <c:pt idx="2">
                    <c:v>2.282220683895403E-4</c:v>
                  </c:pt>
                  <c:pt idx="3">
                    <c:v>2.867348513871308E-4</c:v>
                  </c:pt>
                  <c:pt idx="4">
                    <c:v>3.6633505838235025E-4</c:v>
                  </c:pt>
                  <c:pt idx="5">
                    <c:v>5.2117931175364198E-4</c:v>
                  </c:pt>
                  <c:pt idx="6">
                    <c:v>4.1178847725501015E-4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ETH'!$H$34,'q_max=110 eta (0.002, 0.2) ETH'!$H$122,'q_max=110 eta (0.002, 0.2) ETH'!$H$210,'q_max=110 eta (0.002, 0.2) ETH'!$H$298,'q_max=110 eta (0.002, 0.2) ETH'!$H$386,'q_max=110 eta (0.002, 0.2) ETH'!$H$474,'q_max=110 eta (0.002, 0.2) ETH'!$H$562)</c:f>
              <c:numCache>
                <c:formatCode>General</c:formatCode>
                <c:ptCount val="7"/>
                <c:pt idx="0">
                  <c:v>0.98680650000000003</c:v>
                </c:pt>
                <c:pt idx="1">
                  <c:v>0.98654350000000002</c:v>
                </c:pt>
                <c:pt idx="2">
                  <c:v>0.98668924999999996</c:v>
                </c:pt>
                <c:pt idx="3">
                  <c:v>0.98657250000000007</c:v>
                </c:pt>
                <c:pt idx="4">
                  <c:v>0.98582575000000006</c:v>
                </c:pt>
                <c:pt idx="5">
                  <c:v>0.98577850000000011</c:v>
                </c:pt>
                <c:pt idx="6">
                  <c:v>0.98580199999999996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B-4035-8117-25ED28AB2FDF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ETH'!$H$25,'q_max=110 eta (0.002, 0.2) ETH'!$H$113,'q_max=110 eta (0.002, 0.2) ETH'!$H$201,'q_max=110 eta (0.002, 0.2) ETH'!$H$289,'q_max=110 eta (0.002, 0.2) ETH'!$H$377,'q_max=110 eta (0.002, 0.2) ETH'!$H$465,'q_max=110 eta (0.002, 0.2) ETH'!$H$553)</c:f>
                <c:numCache>
                  <c:formatCode>General</c:formatCode>
                  <c:ptCount val="7"/>
                  <c:pt idx="0">
                    <c:v>2.0073303166145826E-5</c:v>
                  </c:pt>
                  <c:pt idx="1">
                    <c:v>3.0953594298562483E-5</c:v>
                  </c:pt>
                  <c:pt idx="2">
                    <c:v>2.7535204738661378E-5</c:v>
                  </c:pt>
                  <c:pt idx="3">
                    <c:v>5.4440908331878518E-5</c:v>
                  </c:pt>
                  <c:pt idx="4">
                    <c:v>5.4169871700051127E-5</c:v>
                  </c:pt>
                  <c:pt idx="5">
                    <c:v>6.3562469272362287E-5</c:v>
                  </c:pt>
                  <c:pt idx="6">
                    <c:v>4.4814897076753384E-5</c:v>
                  </c:pt>
                </c:numCache>
              </c:numRef>
            </c:plus>
            <c:minus>
              <c:numRef>
                <c:f>('q_max=110 eta (0.002, 0.2) ETH'!$H$25,'q_max=110 eta (0.002, 0.2) ETH'!$H$113,'q_max=110 eta (0.002, 0.2) ETH'!$H$201,'q_max=110 eta (0.002, 0.2) ETH'!$H$289,'q_max=110 eta (0.002, 0.2) ETH'!$H$377,'q_max=110 eta (0.002, 0.2) ETH'!$H$465,'q_max=110 eta (0.002, 0.2) ETH'!$H$553)</c:f>
                <c:numCache>
                  <c:formatCode>General</c:formatCode>
                  <c:ptCount val="7"/>
                  <c:pt idx="0">
                    <c:v>2.0073303166145826E-5</c:v>
                  </c:pt>
                  <c:pt idx="1">
                    <c:v>3.0953594298562483E-5</c:v>
                  </c:pt>
                  <c:pt idx="2">
                    <c:v>2.7535204738661378E-5</c:v>
                  </c:pt>
                  <c:pt idx="3">
                    <c:v>5.4440908331878518E-5</c:v>
                  </c:pt>
                  <c:pt idx="4">
                    <c:v>5.4169871700051127E-5</c:v>
                  </c:pt>
                  <c:pt idx="5">
                    <c:v>6.3562469272362287E-5</c:v>
                  </c:pt>
                  <c:pt idx="6">
                    <c:v>4.4814897076753384E-5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ETH'!$H$24,'q_max=110 eta (0.002, 0.2) ETH'!$H$112,'q_max=110 eta (0.002, 0.2) ETH'!$H$200,'q_max=110 eta (0.002, 0.2) ETH'!$H$288,'q_max=110 eta (0.002, 0.2) ETH'!$H$376,'q_max=110 eta (0.002, 0.2) ETH'!$H$464,'q_max=110 eta (0.002, 0.2) ETH'!$H$552)</c:f>
              <c:numCache>
                <c:formatCode>General</c:formatCode>
                <c:ptCount val="7"/>
                <c:pt idx="0">
                  <c:v>0.98840749999999999</c:v>
                </c:pt>
                <c:pt idx="1">
                  <c:v>0.98708775000000004</c:v>
                </c:pt>
                <c:pt idx="2">
                  <c:v>0.98674099999999998</c:v>
                </c:pt>
                <c:pt idx="3">
                  <c:v>0.98654874999999997</c:v>
                </c:pt>
                <c:pt idx="4">
                  <c:v>0.98630325000000008</c:v>
                </c:pt>
                <c:pt idx="5">
                  <c:v>0.98637949999999996</c:v>
                </c:pt>
                <c:pt idx="6">
                  <c:v>0.98619925000000008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1B-4035-8117-25ED28AB2FDF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ETH'!$H$74,'q_max=110 eta (0.002, 0.2) ETH'!$H$162,'q_max=110 eta (0.002, 0.2) ETH'!$H$250,'q_max=110 eta (0.002, 0.2) ETH'!$H$338,'q_max=110 eta (0.002, 0.2) ETH'!$H$426,'q_max=110 eta (0.002, 0.2) ETH'!$H$514,'q_max=110 eta (0.002, 0.2) ETH'!$H$602)</c:f>
              <c:numCache>
                <c:formatCode>General</c:formatCode>
                <c:ptCount val="7"/>
                <c:pt idx="0">
                  <c:v>0.98863000000000012</c:v>
                </c:pt>
                <c:pt idx="1">
                  <c:v>0.98703600000000002</c:v>
                </c:pt>
                <c:pt idx="2">
                  <c:v>0.98591424999999988</c:v>
                </c:pt>
                <c:pt idx="3">
                  <c:v>0.98496525000000001</c:v>
                </c:pt>
                <c:pt idx="4">
                  <c:v>0.98392075000000001</c:v>
                </c:pt>
                <c:pt idx="5">
                  <c:v>0.98363275000000006</c:v>
                </c:pt>
                <c:pt idx="6">
                  <c:v>0.98349949999999997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1B-4035-8117-25ED28AB2FDF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ETH'!$H$84,'q_max=110 eta (0.002, 0.2) ETH'!$H$172,'q_max=110 eta (0.002, 0.2) ETH'!$H$260,'q_max=110 eta (0.002, 0.2) ETH'!$H$348,'q_max=110 eta (0.002, 0.2) ETH'!$H$436,'q_max=110 eta (0.002, 0.2) ETH'!$H$524,'q_max=110 eta (0.002, 0.2) ETH'!$H$612)</c:f>
              <c:numCache>
                <c:formatCode>General</c:formatCode>
                <c:ptCount val="7"/>
                <c:pt idx="0">
                  <c:v>0.98877949999999992</c:v>
                </c:pt>
                <c:pt idx="1">
                  <c:v>0.98808875000000007</c:v>
                </c:pt>
                <c:pt idx="2">
                  <c:v>0.98758749999999995</c:v>
                </c:pt>
                <c:pt idx="3">
                  <c:v>0.9869794999999999</c:v>
                </c:pt>
                <c:pt idx="4">
                  <c:v>0.98667974999999997</c:v>
                </c:pt>
                <c:pt idx="5">
                  <c:v>0.98652275</c:v>
                </c:pt>
                <c:pt idx="6">
                  <c:v>0.98594149999999992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1B-4035-8117-25ED28AB2FDF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ETH'!$H$45,'q_max=110 eta (0.002, 0.2) ETH'!$H$45,'q_max=110 eta (0.002, 0.2) ETH'!$H$133,'q_max=110 eta (0.002, 0.2) ETH'!$H$221,'q_max=110 eta (0.002, 0.2) ETH'!$H$309,'q_max=110 eta (0.002, 0.2) ETH'!$H$397,'q_max=110 eta (0.002, 0.2) ETH'!$H$485,'q_max=110 eta (0.002, 0.2) ETH'!$H$573)</c:f>
                <c:numCache>
                  <c:formatCode>General</c:formatCode>
                  <c:ptCount val="8"/>
                  <c:pt idx="0">
                    <c:v>1.8291340164132313E-4</c:v>
                  </c:pt>
                  <c:pt idx="1">
                    <c:v>1.8291340164132313E-4</c:v>
                  </c:pt>
                  <c:pt idx="2">
                    <c:v>1.9497628060869353E-4</c:v>
                  </c:pt>
                  <c:pt idx="3">
                    <c:v>2.7354992688721378E-4</c:v>
                  </c:pt>
                  <c:pt idx="4">
                    <c:v>1.5819667347956467E-4</c:v>
                  </c:pt>
                  <c:pt idx="5">
                    <c:v>1.890838107824147E-4</c:v>
                  </c:pt>
                  <c:pt idx="6">
                    <c:v>1.7263002346057884E-4</c:v>
                  </c:pt>
                  <c:pt idx="7">
                    <c:v>1.7017123728762157E-4</c:v>
                  </c:pt>
                </c:numCache>
              </c:numRef>
            </c:plus>
            <c:minus>
              <c:numRef>
                <c:f>('q_max=110 eta (0.002, 0.2) ETH'!$H$45,'q_max=110 eta (0.002, 0.2) ETH'!$H$45,'q_max=110 eta (0.002, 0.2) ETH'!$H$133,'q_max=110 eta (0.002, 0.2) ETH'!$H$221,'q_max=110 eta (0.002, 0.2) ETH'!$H$309,'q_max=110 eta (0.002, 0.2) ETH'!$H$397,'q_max=110 eta (0.002, 0.2) ETH'!$H$485,'q_max=110 eta (0.002, 0.2) ETH'!$H$573)</c:f>
                <c:numCache>
                  <c:formatCode>General</c:formatCode>
                  <c:ptCount val="8"/>
                  <c:pt idx="0">
                    <c:v>1.8291340164132313E-4</c:v>
                  </c:pt>
                  <c:pt idx="1">
                    <c:v>1.8291340164132313E-4</c:v>
                  </c:pt>
                  <c:pt idx="2">
                    <c:v>1.9497628060869353E-4</c:v>
                  </c:pt>
                  <c:pt idx="3">
                    <c:v>2.7354992688721378E-4</c:v>
                  </c:pt>
                  <c:pt idx="4">
                    <c:v>1.5819667347956467E-4</c:v>
                  </c:pt>
                  <c:pt idx="5">
                    <c:v>1.890838107824147E-4</c:v>
                  </c:pt>
                  <c:pt idx="6">
                    <c:v>1.7263002346057884E-4</c:v>
                  </c:pt>
                  <c:pt idx="7">
                    <c:v>1.7017123728762157E-4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ETH'!$H$44,'q_max=110 eta (0.002, 0.2) ETH'!$H$132,'q_max=110 eta (0.002, 0.2) ETH'!$H$220,'q_max=110 eta (0.002, 0.2) ETH'!$H$308,'q_max=110 eta (0.002, 0.2) ETH'!$H$396,'q_max=110 eta (0.002, 0.2) ETH'!$H$484,'q_max=110 eta (0.002, 0.2) ETH'!$H$572)</c:f>
              <c:numCache>
                <c:formatCode>General</c:formatCode>
                <c:ptCount val="7"/>
                <c:pt idx="0">
                  <c:v>0.98396850000000002</c:v>
                </c:pt>
                <c:pt idx="1">
                  <c:v>0.98217325</c:v>
                </c:pt>
                <c:pt idx="2">
                  <c:v>0.98186925000000003</c:v>
                </c:pt>
                <c:pt idx="3">
                  <c:v>0.98151524999999995</c:v>
                </c:pt>
                <c:pt idx="4">
                  <c:v>0.98136200000000007</c:v>
                </c:pt>
                <c:pt idx="5">
                  <c:v>0.98102549999999999</c:v>
                </c:pt>
                <c:pt idx="6">
                  <c:v>0.98079500000000008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1B-4035-8117-25ED28AB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ETH'!$H$79,'q_max=110 eta (0.002, 0.2) ETH'!$H$167,'q_max=110 eta (0.002, 0.2) ETH'!$H$255,'q_max=110 eta (0.002, 0.2) ETH'!$H$343,'q_max=110 eta (0.002, 0.2) ETH'!$H$431,'q_max=110 eta (0.002, 0.2) ETH'!$H$519,'q_max=110 eta (0.002, 0.2) ETH'!$H$607)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0.98300074999999998</c:v>
                      </c:pt>
                      <c:pt idx="1">
                        <c:v>0.97644675000000003</c:v>
                      </c:pt>
                      <c:pt idx="2">
                        <c:v>0.9719525</c:v>
                      </c:pt>
                      <c:pt idx="3">
                        <c:v>0.96801874999999993</c:v>
                      </c:pt>
                      <c:pt idx="4">
                        <c:v>0.9665712500000001</c:v>
                      </c:pt>
                      <c:pt idx="5">
                        <c:v>0.96634125000000004</c:v>
                      </c:pt>
                      <c:pt idx="6">
                        <c:v>0.96783350000000001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E51B-4035-8117-25ED28AB2FDF}"/>
                  </c:ext>
                </c:extLst>
              </c15:ser>
            </c15:filteredScatterSeries>
          </c:ext>
        </c:extLst>
      </c:scatterChart>
      <c:valAx>
        <c:axId val="-334856256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ax val="0.988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plus>
            <c:minus>
              <c:numRef>
                <c:f>('q_max=110 eta (0.002, 0.2) ETH'!$H$11,'q_max=110 eta (0.002, 0.2) ETH'!$H$99,'q_max=110 eta (0.002, 0.2) ETH'!$H$187,'q_max=110 eta (0.002, 0.2) ETH'!$H$275,'q_max=110 eta (0.002, 0.2) ETH'!$H$363,'q_max=110 eta (0.002, 0.2) ETH'!$H$451,'q_max=110 eta (0.002, 0.2) ETH'!$H$539)</c:f>
                <c:numCache>
                  <c:formatCode>General</c:formatCode>
                  <c:ptCount val="7"/>
                  <c:pt idx="0">
                    <c:v>3.570389570831172E-3</c:v>
                  </c:pt>
                  <c:pt idx="1">
                    <c:v>2.0705974077545831E-3</c:v>
                  </c:pt>
                  <c:pt idx="2">
                    <c:v>3.8675289106870295E-3</c:v>
                  </c:pt>
                  <c:pt idx="3">
                    <c:v>3.5197824240285084E-3</c:v>
                  </c:pt>
                  <c:pt idx="4">
                    <c:v>4.3692033813385253E-3</c:v>
                  </c:pt>
                  <c:pt idx="5">
                    <c:v>4.093734091572143E-3</c:v>
                  </c:pt>
                  <c:pt idx="6">
                    <c:v>3.9920146307973374E-3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ETH'!$H$10,'q_max=110 eta (0.002, 0.2) ETH'!$H$98,'q_max=110 eta (0.002, 0.2) ETH'!$H$186,'q_max=110 eta (0.002, 0.2) ETH'!$H$274,'q_max=110 eta (0.002, 0.2) ETH'!$H$362,'q_max=110 eta (0.002, 0.2) ETH'!$H$450,'q_max=110 eta (0.002, 0.2) ETH'!$H$538)</c:f>
              <c:numCache>
                <c:formatCode>General</c:formatCode>
                <c:ptCount val="7"/>
                <c:pt idx="0">
                  <c:v>1.3477275</c:v>
                </c:pt>
                <c:pt idx="1">
                  <c:v>1.37588175</c:v>
                </c:pt>
                <c:pt idx="2">
                  <c:v>1.3900065000000001</c:v>
                </c:pt>
                <c:pt idx="3">
                  <c:v>1.4203602499999999</c:v>
                </c:pt>
                <c:pt idx="4">
                  <c:v>1.4342294999999998</c:v>
                </c:pt>
                <c:pt idx="5">
                  <c:v>1.4254472499999999</c:v>
                </c:pt>
                <c:pt idx="6">
                  <c:v>1.4389339999999999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8D1-42B3-AFC9-0CF8912EE720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ETH'!$H$21,'q_max=110 eta (0.002, 0.2) ETH'!$H$21,'q_max=110 eta (0.002, 0.2) ETH'!$H$109,'q_max=110 eta (0.002, 0.2) ETH'!$H$197,'q_max=110 eta (0.002, 0.2) ETH'!$H$285,'q_max=110 eta (0.002, 0.2) ETH'!$H$373,'q_max=110 eta (0.002, 0.2) ETH'!$H$461,'q_max=110 eta (0.002, 0.2) ETH'!$H$549)</c:f>
                <c:numCache>
                  <c:formatCode>General</c:formatCode>
                  <c:ptCount val="8"/>
                  <c:pt idx="0">
                    <c:v>7.2737305550522003E-3</c:v>
                  </c:pt>
                  <c:pt idx="1">
                    <c:v>7.2737305550522003E-3</c:v>
                  </c:pt>
                  <c:pt idx="2">
                    <c:v>7.0389956403594965E-3</c:v>
                  </c:pt>
                  <c:pt idx="3">
                    <c:v>7.6725292521436506E-3</c:v>
                  </c:pt>
                  <c:pt idx="4">
                    <c:v>7.1978502650096856E-3</c:v>
                  </c:pt>
                  <c:pt idx="5">
                    <c:v>7.4150041174971711E-3</c:v>
                  </c:pt>
                  <c:pt idx="6">
                    <c:v>7.316054563424196E-3</c:v>
                  </c:pt>
                  <c:pt idx="7">
                    <c:v>8.4055801963636035E-3</c:v>
                  </c:pt>
                </c:numCache>
              </c:numRef>
            </c:plus>
            <c:minus>
              <c:numRef>
                <c:f>('q_max=110 eta (0.002, 0.2) ETH'!$H$21,'q_max=110 eta (0.002, 0.2) ETH'!$H$21,'q_max=110 eta (0.002, 0.2) ETH'!$H$109,'q_max=110 eta (0.002, 0.2) ETH'!$H$197,'q_max=110 eta (0.002, 0.2) ETH'!$H$285,'q_max=110 eta (0.002, 0.2) ETH'!$H$373,'q_max=110 eta (0.002, 0.2) ETH'!$H$461,'q_max=110 eta (0.002, 0.2) ETH'!$H$549)</c:f>
                <c:numCache>
                  <c:formatCode>General</c:formatCode>
                  <c:ptCount val="8"/>
                  <c:pt idx="0">
                    <c:v>7.2737305550522003E-3</c:v>
                  </c:pt>
                  <c:pt idx="1">
                    <c:v>7.2737305550522003E-3</c:v>
                  </c:pt>
                  <c:pt idx="2">
                    <c:v>7.0389956403594965E-3</c:v>
                  </c:pt>
                  <c:pt idx="3">
                    <c:v>7.6725292521436506E-3</c:v>
                  </c:pt>
                  <c:pt idx="4">
                    <c:v>7.1978502650096856E-3</c:v>
                  </c:pt>
                  <c:pt idx="5">
                    <c:v>7.4150041174971711E-3</c:v>
                  </c:pt>
                  <c:pt idx="6">
                    <c:v>7.316054563424196E-3</c:v>
                  </c:pt>
                  <c:pt idx="7">
                    <c:v>8.4055801963636035E-3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ETH'!$H$20,'q_max=110 eta (0.002, 0.2) ETH'!$H$108,'q_max=110 eta (0.002, 0.2) ETH'!$H$196,'q_max=110 eta (0.002, 0.2) ETH'!$H$284,'q_max=110 eta (0.002, 0.2) ETH'!$H$372,'q_max=110 eta (0.002, 0.2) ETH'!$H$460,'q_max=110 eta (0.002, 0.2) ETH'!$H$548)</c:f>
              <c:numCache>
                <c:formatCode>General</c:formatCode>
                <c:ptCount val="7"/>
                <c:pt idx="0">
                  <c:v>1.4204707500000002</c:v>
                </c:pt>
                <c:pt idx="1">
                  <c:v>1.4396957499999998</c:v>
                </c:pt>
                <c:pt idx="2">
                  <c:v>1.4461202500000001</c:v>
                </c:pt>
                <c:pt idx="3">
                  <c:v>1.4570115000000001</c:v>
                </c:pt>
                <c:pt idx="4">
                  <c:v>1.4600357500000003</c:v>
                </c:pt>
                <c:pt idx="5">
                  <c:v>1.4599055000000001</c:v>
                </c:pt>
                <c:pt idx="6">
                  <c:v>1.4687032499999999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1-42B3-AFC9-0CF8912EE720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ETH'!$H$41,'q_max=110 eta (0.002, 0.2) ETH'!$H$129,'q_max=110 eta (0.002, 0.2) ETH'!$H$217,'q_max=110 eta (0.002, 0.2) ETH'!$H$305,'q_max=110 eta (0.002, 0.2) ETH'!$H$393,'q_max=110 eta (0.002, 0.2) ETH'!$H$481,'q_max=110 eta (0.002, 0.2) ETH'!$H$569)</c:f>
                <c:numCache>
                  <c:formatCode>General</c:formatCode>
                  <c:ptCount val="7"/>
                  <c:pt idx="0">
                    <c:v>1.3974067542684199E-2</c:v>
                  </c:pt>
                  <c:pt idx="1">
                    <c:v>1.1848469051949286E-2</c:v>
                  </c:pt>
                  <c:pt idx="2">
                    <c:v>1.3677190498691608E-2</c:v>
                  </c:pt>
                  <c:pt idx="3">
                    <c:v>1.027173233016223E-2</c:v>
                  </c:pt>
                  <c:pt idx="4">
                    <c:v>1.4237119503256268E-2</c:v>
                  </c:pt>
                  <c:pt idx="5">
                    <c:v>1.3560987586178965E-2</c:v>
                  </c:pt>
                  <c:pt idx="6">
                    <c:v>1.226343266840488E-2</c:v>
                  </c:pt>
                </c:numCache>
              </c:numRef>
            </c:plus>
            <c:minus>
              <c:numRef>
                <c:f>('q_max=110 eta (0.002, 0.2) ETH'!$H$41,'q_max=110 eta (0.002, 0.2) ETH'!$H$129,'q_max=110 eta (0.002, 0.2) ETH'!$H$217,'q_max=110 eta (0.002, 0.2) ETH'!$H$305,'q_max=110 eta (0.002, 0.2) ETH'!$H$393,'q_max=110 eta (0.002, 0.2) ETH'!$H$481,'q_max=110 eta (0.002, 0.2) ETH'!$H$569)</c:f>
                <c:numCache>
                  <c:formatCode>General</c:formatCode>
                  <c:ptCount val="7"/>
                  <c:pt idx="0">
                    <c:v>1.3974067542684199E-2</c:v>
                  </c:pt>
                  <c:pt idx="1">
                    <c:v>1.1848469051949286E-2</c:v>
                  </c:pt>
                  <c:pt idx="2">
                    <c:v>1.3677190498691608E-2</c:v>
                  </c:pt>
                  <c:pt idx="3">
                    <c:v>1.027173233016223E-2</c:v>
                  </c:pt>
                  <c:pt idx="4">
                    <c:v>1.4237119503256268E-2</c:v>
                  </c:pt>
                  <c:pt idx="5">
                    <c:v>1.3560987586178965E-2</c:v>
                  </c:pt>
                  <c:pt idx="6">
                    <c:v>1.226343266840488E-2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ETH'!$H$40,'q_max=110 eta (0.002, 0.2) ETH'!$H$128,'q_max=110 eta (0.002, 0.2) ETH'!$H$216,'q_max=110 eta (0.002, 0.2) ETH'!$H$304,'q_max=110 eta (0.002, 0.2) ETH'!$H$392,'q_max=110 eta (0.002, 0.2) ETH'!$H$480,'q_max=110 eta (0.002, 0.2) ETH'!$H$568)</c:f>
              <c:numCache>
                <c:formatCode>General</c:formatCode>
                <c:ptCount val="7"/>
                <c:pt idx="0">
                  <c:v>1.41120275</c:v>
                </c:pt>
                <c:pt idx="1">
                  <c:v>1.4407915</c:v>
                </c:pt>
                <c:pt idx="2">
                  <c:v>1.4574292499999999</c:v>
                </c:pt>
                <c:pt idx="3">
                  <c:v>1.465328</c:v>
                </c:pt>
                <c:pt idx="4">
                  <c:v>1.489107</c:v>
                </c:pt>
                <c:pt idx="5">
                  <c:v>1.4777292499999999</c:v>
                </c:pt>
                <c:pt idx="6">
                  <c:v>1.4888135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D1-42B3-AFC9-0CF8912EE720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ETH'!$H$31,'q_max=110 eta (0.002, 0.2) ETH'!$H$119,'q_max=110 eta (0.002, 0.2) ETH'!$H$207,'q_max=110 eta (0.002, 0.2) ETH'!$H$295,'q_max=110 eta (0.002, 0.2) ETH'!$H$383,'q_max=110 eta (0.002, 0.2) ETH'!$H$471,'q_max=110 eta (0.002, 0.2) ETH'!$H$559)</c:f>
                <c:numCache>
                  <c:formatCode>General</c:formatCode>
                  <c:ptCount val="7"/>
                  <c:pt idx="0">
                    <c:v>1.4608431426748048E-3</c:v>
                  </c:pt>
                  <c:pt idx="1">
                    <c:v>1.6720995223072101E-3</c:v>
                  </c:pt>
                  <c:pt idx="2">
                    <c:v>1.7041960714659567E-3</c:v>
                  </c:pt>
                  <c:pt idx="3">
                    <c:v>2.1191043214056262E-3</c:v>
                  </c:pt>
                  <c:pt idx="4">
                    <c:v>2.1749945258551801E-3</c:v>
                  </c:pt>
                  <c:pt idx="5">
                    <c:v>2.4923428486065074E-3</c:v>
                  </c:pt>
                  <c:pt idx="6">
                    <c:v>1.9368380320770244E-3</c:v>
                  </c:pt>
                </c:numCache>
              </c:numRef>
            </c:plus>
            <c:minus>
              <c:numRef>
                <c:f>('q_max=110 eta (0.002, 0.2) ETH'!$H$31,'q_max=110 eta (0.002, 0.2) ETH'!$H$119,'q_max=110 eta (0.002, 0.2) ETH'!$H$207,'q_max=110 eta (0.002, 0.2) ETH'!$H$295,'q_max=110 eta (0.002, 0.2) ETH'!$H$383,'q_max=110 eta (0.002, 0.2) ETH'!$H$471,'q_max=110 eta (0.002, 0.2) ETH'!$H$559)</c:f>
                <c:numCache>
                  <c:formatCode>General</c:formatCode>
                  <c:ptCount val="7"/>
                  <c:pt idx="0">
                    <c:v>1.4608431426748048E-3</c:v>
                  </c:pt>
                  <c:pt idx="1">
                    <c:v>1.6720995223072101E-3</c:v>
                  </c:pt>
                  <c:pt idx="2">
                    <c:v>1.7041960714659567E-3</c:v>
                  </c:pt>
                  <c:pt idx="3">
                    <c:v>2.1191043214056262E-3</c:v>
                  </c:pt>
                  <c:pt idx="4">
                    <c:v>2.1749945258551801E-3</c:v>
                  </c:pt>
                  <c:pt idx="5">
                    <c:v>2.4923428486065074E-3</c:v>
                  </c:pt>
                  <c:pt idx="6">
                    <c:v>1.9368380320770244E-3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ETH'!$H$30,'q_max=110 eta (0.002, 0.2) ETH'!$H$118,'q_max=110 eta (0.002, 0.2) ETH'!$H$206,'q_max=110 eta (0.002, 0.2) ETH'!$H$294,'q_max=110 eta (0.002, 0.2) ETH'!$H$382,'q_max=110 eta (0.002, 0.2) ETH'!$H$470,'q_max=110 eta (0.002, 0.2) ETH'!$H$558)</c:f>
              <c:numCache>
                <c:formatCode>General</c:formatCode>
                <c:ptCount val="7"/>
                <c:pt idx="0">
                  <c:v>1.3463112500000001</c:v>
                </c:pt>
                <c:pt idx="1">
                  <c:v>1.3743842499999999</c:v>
                </c:pt>
                <c:pt idx="2">
                  <c:v>1.38995975</c:v>
                </c:pt>
                <c:pt idx="3">
                  <c:v>1.409319</c:v>
                </c:pt>
                <c:pt idx="4">
                  <c:v>1.4333525</c:v>
                </c:pt>
                <c:pt idx="5">
                  <c:v>1.4411350000000001</c:v>
                </c:pt>
                <c:pt idx="6">
                  <c:v>1.4402887500000001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D1-42B3-AFC9-0CF8912EE720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ETH'!$H$77,'q_max=110 eta (0.002, 0.2) ETH'!$H$165,'q_max=110 eta (0.002, 0.2) ETH'!$H$253,'q_max=110 eta (0.002, 0.2) ETH'!$H$341,'q_max=110 eta (0.002, 0.2) ETH'!$H$429,'q_max=110 eta (0.002, 0.2) ETH'!$H$517,'q_max=110 eta (0.002, 0.2) ETH'!$H$605)</c:f>
              <c:numCache>
                <c:formatCode>General</c:formatCode>
                <c:ptCount val="7"/>
                <c:pt idx="0">
                  <c:v>1.2972860000000002</c:v>
                </c:pt>
                <c:pt idx="1">
                  <c:v>1.4315027499999999</c:v>
                </c:pt>
                <c:pt idx="2">
                  <c:v>1.4708485</c:v>
                </c:pt>
                <c:pt idx="3">
                  <c:v>1.47191275</c:v>
                </c:pt>
                <c:pt idx="4">
                  <c:v>1.55234125</c:v>
                </c:pt>
                <c:pt idx="5">
                  <c:v>1.5254992499999998</c:v>
                </c:pt>
                <c:pt idx="6">
                  <c:v>1.5492347500000001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D1-42B3-AFC9-0CF8912EE720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ETH'!$H$87,'q_max=110 eta (0.002, 0.2) ETH'!$H$175,'q_max=110 eta (0.002, 0.2) ETH'!$H$263,'q_max=110 eta (0.002, 0.2) ETH'!$H$351,'q_max=110 eta (0.002, 0.2) ETH'!$H$439,'q_max=110 eta (0.002, 0.2) ETH'!$H$527,'q_max=110 eta (0.002, 0.2) ETH'!$H$615)</c:f>
              <c:numCache>
                <c:formatCode>General</c:formatCode>
                <c:ptCount val="7"/>
                <c:pt idx="0">
                  <c:v>1.3944497499999999</c:v>
                </c:pt>
                <c:pt idx="1">
                  <c:v>1.49825925</c:v>
                </c:pt>
                <c:pt idx="2">
                  <c:v>1.4768330000000001</c:v>
                </c:pt>
                <c:pt idx="3">
                  <c:v>1.4889697500000001</c:v>
                </c:pt>
                <c:pt idx="4">
                  <c:v>1.4979905</c:v>
                </c:pt>
                <c:pt idx="5">
                  <c:v>1.5069039999999998</c:v>
                </c:pt>
                <c:pt idx="6">
                  <c:v>1.4922534999999999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D1-42B3-AFC9-0CF8912EE720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ETH'!$H$51,'q_max=110 eta (0.002, 0.2) ETH'!$H$139,'q_max=110 eta (0.002, 0.2) ETH'!$H$227,'q_max=110 eta (0.002, 0.2) ETH'!$H$315,'q_max=110 eta (0.002, 0.2) ETH'!$H$403,'q_max=110 eta (0.002, 0.2) ETH'!$H$491,'q_max=110 eta (0.002, 0.2) ETH'!$H$579)</c:f>
                <c:numCache>
                  <c:formatCode>General</c:formatCode>
                  <c:ptCount val="7"/>
                  <c:pt idx="0">
                    <c:v>6.5534770875848806E-3</c:v>
                  </c:pt>
                  <c:pt idx="1">
                    <c:v>6.1752118587138369E-3</c:v>
                  </c:pt>
                  <c:pt idx="2">
                    <c:v>7.8187531095117706E-3</c:v>
                  </c:pt>
                  <c:pt idx="3">
                    <c:v>6.271836558178155E-3</c:v>
                  </c:pt>
                  <c:pt idx="4">
                    <c:v>6.1434932092824836E-3</c:v>
                  </c:pt>
                  <c:pt idx="5">
                    <c:v>6.4781382115157125E-3</c:v>
                  </c:pt>
                  <c:pt idx="6">
                    <c:v>5.6656814682789925E-3</c:v>
                  </c:pt>
                </c:numCache>
              </c:numRef>
            </c:plus>
            <c:minus>
              <c:numRef>
                <c:f>('q_max=110 eta (0.002, 0.2) ETH'!$H$51,'q_max=110 eta (0.002, 0.2) ETH'!$H$139,'q_max=110 eta (0.002, 0.2) ETH'!$H$227,'q_max=110 eta (0.002, 0.2) ETH'!$H$315,'q_max=110 eta (0.002, 0.2) ETH'!$H$403,'q_max=110 eta (0.002, 0.2) ETH'!$H$491,'q_max=110 eta (0.002, 0.2) ETH'!$H$579)</c:f>
                <c:numCache>
                  <c:formatCode>General</c:formatCode>
                  <c:ptCount val="7"/>
                  <c:pt idx="0">
                    <c:v>6.5534770875848806E-3</c:v>
                  </c:pt>
                  <c:pt idx="1">
                    <c:v>6.1752118587138369E-3</c:v>
                  </c:pt>
                  <c:pt idx="2">
                    <c:v>7.8187531095117706E-3</c:v>
                  </c:pt>
                  <c:pt idx="3">
                    <c:v>6.271836558178155E-3</c:v>
                  </c:pt>
                  <c:pt idx="4">
                    <c:v>6.1434932092824836E-3</c:v>
                  </c:pt>
                  <c:pt idx="5">
                    <c:v>6.4781382115157125E-3</c:v>
                  </c:pt>
                  <c:pt idx="6">
                    <c:v>5.6656814682789925E-3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ETH'!$H$50,'q_max=110 eta (0.002, 0.2) ETH'!$H$138,'q_max=110 eta (0.002, 0.2) ETH'!$H$226,'q_max=110 eta (0.002, 0.2) ETH'!$H$314,'q_max=110 eta (0.002, 0.2) ETH'!$H$402,'q_max=110 eta (0.002, 0.2) ETH'!$H$490,'q_max=110 eta (0.002, 0.2) ETH'!$H$578)</c:f>
              <c:numCache>
                <c:formatCode>General</c:formatCode>
                <c:ptCount val="7"/>
                <c:pt idx="0">
                  <c:v>1.5313105</c:v>
                </c:pt>
                <c:pt idx="1">
                  <c:v>1.5893712499999999</c:v>
                </c:pt>
                <c:pt idx="2">
                  <c:v>1.59092375</c:v>
                </c:pt>
                <c:pt idx="3">
                  <c:v>1.6224815000000001</c:v>
                </c:pt>
                <c:pt idx="4">
                  <c:v>1.62471375</c:v>
                </c:pt>
                <c:pt idx="5">
                  <c:v>1.64755775</c:v>
                </c:pt>
                <c:pt idx="6">
                  <c:v>1.6458172499999999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D1-42B3-AFC9-0CF8912EE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ETH'!$H$82,'q_max=110 eta (0.002, 0.2) ETH'!$H$170,'q_max=110 eta (0.002, 0.2) ETH'!$H$258,'q_max=110 eta (0.002, 0.2) ETH'!$H$346,'q_max=110 eta (0.002, 0.2) ETH'!$H$434,'q_max=110 eta (0.002, 0.2) ETH'!$H$522,'q_max=110 eta (0.002, 0.2) ETH'!$H$610)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1.813221</c:v>
                      </c:pt>
                      <c:pt idx="1">
                        <c:v>2.1365690000000002</c:v>
                      </c:pt>
                      <c:pt idx="2">
                        <c:v>2.2019387500000001</c:v>
                      </c:pt>
                      <c:pt idx="3">
                        <c:v>2.3858935000000003</c:v>
                      </c:pt>
                      <c:pt idx="4">
                        <c:v>2.2959992500000004</c:v>
                      </c:pt>
                      <c:pt idx="5">
                        <c:v>2.1541345000000001</c:v>
                      </c:pt>
                      <c:pt idx="6">
                        <c:v>1.9124215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8D1-42B3-AFC9-0CF8912EE720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1.7000000000000002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</a:defRPr>
                </a:pPr>
                <a:r>
                  <a:rPr lang="en-US" sz="1400" baseline="0">
                    <a:solidFill>
                      <a:sysClr val="windowText" lastClr="000000"/>
                    </a:solidFill>
                  </a:rPr>
                  <a:t>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plus>
            <c:minus>
              <c:numRef>
                <c:f>('q_max=110 eta (0.002, 0.2) ETH'!$H$7,'q_max=110 eta (0.002, 0.2) ETH'!$H$95,'q_max=110 eta (0.002, 0.2) ETH'!$H$183,'q_max=110 eta (0.002, 0.2) ETH'!$H$271,'q_max=110 eta (0.002, 0.2) ETH'!$H$359,'q_max=110 eta (0.002, 0.2) ETH'!$H$447,'q_max=110 eta (0.002, 0.2) ETH'!$H$535)</c:f>
                <c:numCache>
                  <c:formatCode>General</c:formatCode>
                  <c:ptCount val="7"/>
                  <c:pt idx="0">
                    <c:v>2.1589783463481053E-4</c:v>
                  </c:pt>
                  <c:pt idx="1">
                    <c:v>1.4125022123876479E-4</c:v>
                  </c:pt>
                  <c:pt idx="2">
                    <c:v>3.9396684505171246E-4</c:v>
                  </c:pt>
                  <c:pt idx="3">
                    <c:v>2.6407160487261787E-4</c:v>
                  </c:pt>
                  <c:pt idx="4">
                    <c:v>5.3499848130625566E-4</c:v>
                  </c:pt>
                  <c:pt idx="5">
                    <c:v>4.4188820701620906E-4</c:v>
                  </c:pt>
                  <c:pt idx="6">
                    <c:v>4.1220527349853254E-4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ETH'!$H$6,'q_max=110 eta (0.002, 0.2) ETH'!$H$94,'q_max=110 eta (0.002, 0.2) ETH'!$H$182,'q_max=110 eta (0.002, 0.2) ETH'!$H$270,'q_max=110 eta (0.002, 0.2) ETH'!$H$358,'q_max=110 eta (0.002, 0.2) ETH'!$H$446,'q_max=110 eta (0.002, 0.2) ETH'!$H$534)</c:f>
              <c:numCache>
                <c:formatCode>General</c:formatCode>
                <c:ptCount val="7"/>
                <c:pt idx="0">
                  <c:v>0.20477025000000001</c:v>
                </c:pt>
                <c:pt idx="1">
                  <c:v>0.20856574999999999</c:v>
                </c:pt>
                <c:pt idx="2">
                  <c:v>0.21195249999999999</c:v>
                </c:pt>
                <c:pt idx="3">
                  <c:v>0.21223124999999998</c:v>
                </c:pt>
                <c:pt idx="4">
                  <c:v>0.21408774999999999</c:v>
                </c:pt>
                <c:pt idx="5">
                  <c:v>0.21337449999999999</c:v>
                </c:pt>
                <c:pt idx="6">
                  <c:v>0.21435625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A64-4AAD-B9AB-1FEC56756689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ETH'!$H$17,'q_max=110 eta (0.002, 0.2) ETH'!$H$17,'q_max=110 eta (0.002, 0.2) ETH'!$H$105,'q_max=110 eta (0.002, 0.2) ETH'!$H$193,'q_max=110 eta (0.002, 0.2) ETH'!$H$281,'q_max=110 eta (0.002, 0.2) ETH'!$H$369,'q_max=110 eta (0.002, 0.2) ETH'!$H$457,'q_max=110 eta (0.002, 0.2) ETH'!$H$545)</c:f>
                <c:numCache>
                  <c:formatCode>General</c:formatCode>
                  <c:ptCount val="8"/>
                  <c:pt idx="0">
                    <c:v>7.6004942273512712E-4</c:v>
                  </c:pt>
                  <c:pt idx="1">
                    <c:v>7.6004942273512712E-4</c:v>
                  </c:pt>
                  <c:pt idx="2">
                    <c:v>9.2845607731329967E-4</c:v>
                  </c:pt>
                  <c:pt idx="3">
                    <c:v>9.1009614876671129E-4</c:v>
                  </c:pt>
                  <c:pt idx="4">
                    <c:v>7.7266118868492414E-4</c:v>
                  </c:pt>
                  <c:pt idx="5">
                    <c:v>8.7030113322918298E-4</c:v>
                  </c:pt>
                  <c:pt idx="6">
                    <c:v>7.3891614037047539E-4</c:v>
                  </c:pt>
                  <c:pt idx="7">
                    <c:v>8.0446884650681161E-4</c:v>
                  </c:pt>
                </c:numCache>
              </c:numRef>
            </c:plus>
            <c:minus>
              <c:numRef>
                <c:f>('q_max=110 eta (0.002, 0.2) ETH'!$H$17,'q_max=110 eta (0.002, 0.2) ETH'!$H$17,'q_max=110 eta (0.002, 0.2) ETH'!$H$105,'q_max=110 eta (0.002, 0.2) ETH'!$H$193,'q_max=110 eta (0.002, 0.2) ETH'!$H$281,'q_max=110 eta (0.002, 0.2) ETH'!$H$369,'q_max=110 eta (0.002, 0.2) ETH'!$H$457,'q_max=110 eta (0.002, 0.2) ETH'!$H$545)</c:f>
                <c:numCache>
                  <c:formatCode>General</c:formatCode>
                  <c:ptCount val="8"/>
                  <c:pt idx="0">
                    <c:v>7.6004942273512712E-4</c:v>
                  </c:pt>
                  <c:pt idx="1">
                    <c:v>7.6004942273512712E-4</c:v>
                  </c:pt>
                  <c:pt idx="2">
                    <c:v>9.2845607731329967E-4</c:v>
                  </c:pt>
                  <c:pt idx="3">
                    <c:v>9.1009614876671129E-4</c:v>
                  </c:pt>
                  <c:pt idx="4">
                    <c:v>7.7266118868492414E-4</c:v>
                  </c:pt>
                  <c:pt idx="5">
                    <c:v>8.7030113322918298E-4</c:v>
                  </c:pt>
                  <c:pt idx="6">
                    <c:v>7.3891614037047539E-4</c:v>
                  </c:pt>
                  <c:pt idx="7">
                    <c:v>8.0446884650681161E-4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ETH'!$H$16,'q_max=110 eta (0.002, 0.2) ETH'!$H$104,'q_max=110 eta (0.002, 0.2) ETH'!$H$192,'q_max=110 eta (0.002, 0.2) ETH'!$H$280,'q_max=110 eta (0.002, 0.2) ETH'!$H$368,'q_max=110 eta (0.002, 0.2) ETH'!$H$456,'q_max=110 eta (0.002, 0.2) ETH'!$H$544)</c:f>
              <c:numCache>
                <c:formatCode>General</c:formatCode>
                <c:ptCount val="7"/>
                <c:pt idx="0">
                  <c:v>0.21243400000000001</c:v>
                </c:pt>
                <c:pt idx="1">
                  <c:v>0.21422524999999998</c:v>
                </c:pt>
                <c:pt idx="2">
                  <c:v>0.21526474999999998</c:v>
                </c:pt>
                <c:pt idx="3">
                  <c:v>0.21556799999999998</c:v>
                </c:pt>
                <c:pt idx="4">
                  <c:v>0.21431899999999998</c:v>
                </c:pt>
                <c:pt idx="5">
                  <c:v>0.21436525000000001</c:v>
                </c:pt>
                <c:pt idx="6">
                  <c:v>0.21455199999999999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4-4AAD-B9AB-1FEC56756689}"/>
            </c:ext>
          </c:extLst>
        </c:ser>
        <c:ser>
          <c:idx val="4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ETH'!$H$37,'q_max=110 eta (0.002, 0.2) ETH'!$H$125,'q_max=110 eta (0.002, 0.2) ETH'!$H$213,'q_max=110 eta (0.002, 0.2) ETH'!$H$301,'q_max=110 eta (0.002, 0.2) ETH'!$H$389,'q_max=110 eta (0.002, 0.2) ETH'!$H$477,'q_max=110 eta (0.002, 0.2) ETH'!$H$565)</c:f>
                <c:numCache>
                  <c:formatCode>General</c:formatCode>
                  <c:ptCount val="7"/>
                  <c:pt idx="0">
                    <c:v>1.9134288267401011E-3</c:v>
                  </c:pt>
                  <c:pt idx="1">
                    <c:v>1.1253602201073221E-3</c:v>
                  </c:pt>
                  <c:pt idx="2">
                    <c:v>1.1402973844572301E-3</c:v>
                  </c:pt>
                  <c:pt idx="3">
                    <c:v>1.1706804111285027E-3</c:v>
                  </c:pt>
                  <c:pt idx="4">
                    <c:v>1.5256645068625015E-3</c:v>
                  </c:pt>
                  <c:pt idx="5">
                    <c:v>1.8462478503711249E-3</c:v>
                  </c:pt>
                  <c:pt idx="6">
                    <c:v>1.5259240233379905E-3</c:v>
                  </c:pt>
                </c:numCache>
              </c:numRef>
            </c:plus>
            <c:minus>
              <c:numRef>
                <c:f>('q_max=110 eta (0.002, 0.2) ETH'!$H$37,'q_max=110 eta (0.002, 0.2) ETH'!$H$125,'q_max=110 eta (0.002, 0.2) ETH'!$H$213,'q_max=110 eta (0.002, 0.2) ETH'!$H$301,'q_max=110 eta (0.002, 0.2) ETH'!$H$389,'q_max=110 eta (0.002, 0.2) ETH'!$H$477,'q_max=110 eta (0.002, 0.2) ETH'!$H$565)</c:f>
                <c:numCache>
                  <c:formatCode>General</c:formatCode>
                  <c:ptCount val="7"/>
                  <c:pt idx="0">
                    <c:v>1.9134288267401011E-3</c:v>
                  </c:pt>
                  <c:pt idx="1">
                    <c:v>1.1253602201073221E-3</c:v>
                  </c:pt>
                  <c:pt idx="2">
                    <c:v>1.1402973844572301E-3</c:v>
                  </c:pt>
                  <c:pt idx="3">
                    <c:v>1.1706804111285027E-3</c:v>
                  </c:pt>
                  <c:pt idx="4">
                    <c:v>1.5256645068625015E-3</c:v>
                  </c:pt>
                  <c:pt idx="5">
                    <c:v>1.8462478503711249E-3</c:v>
                  </c:pt>
                  <c:pt idx="6">
                    <c:v>1.5259240233379905E-3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ETH'!$H$36,'q_max=110 eta (0.002, 0.2) ETH'!$H$124,'q_max=110 eta (0.002, 0.2) ETH'!$H$212,'q_max=110 eta (0.002, 0.2) ETH'!$H$300,'q_max=110 eta (0.002, 0.2) ETH'!$H$388,'q_max=110 eta (0.002, 0.2) ETH'!$H$476,'q_max=110 eta (0.002, 0.2) ETH'!$H$564)</c:f>
              <c:numCache>
                <c:formatCode>General</c:formatCode>
                <c:ptCount val="7"/>
                <c:pt idx="0">
                  <c:v>0.21102725</c:v>
                </c:pt>
                <c:pt idx="1">
                  <c:v>0.21372849999999999</c:v>
                </c:pt>
                <c:pt idx="2">
                  <c:v>0.21367450000000002</c:v>
                </c:pt>
                <c:pt idx="3">
                  <c:v>0.21433150000000001</c:v>
                </c:pt>
                <c:pt idx="4">
                  <c:v>0.21764775</c:v>
                </c:pt>
                <c:pt idx="5">
                  <c:v>0.21715975000000001</c:v>
                </c:pt>
                <c:pt idx="6">
                  <c:v>0.21805225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4-4AAD-B9AB-1FEC56756689}"/>
            </c:ext>
          </c:extLst>
        </c:ser>
        <c:ser>
          <c:idx val="3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ETH'!$H$27,'q_max=110 eta (0.002, 0.2) ETH'!$H$115,'q_max=110 eta (0.002, 0.2) ETH'!$H$203,'q_max=110 eta (0.002, 0.2) ETH'!$H$291,'q_max=110 eta (0.002, 0.2) ETH'!$H$379,'q_max=110 eta (0.002, 0.2) ETH'!$H$467,'q_max=110 eta (0.002, 0.2) ETH'!$H$555)</c:f>
                <c:numCache>
                  <c:formatCode>General</c:formatCode>
                  <c:ptCount val="7"/>
                  <c:pt idx="0">
                    <c:v>1.0996306197992124E-4</c:v>
                  </c:pt>
                  <c:pt idx="1">
                    <c:v>1.4071291696216094E-4</c:v>
                  </c:pt>
                  <c:pt idx="2">
                    <c:v>1.2733199715703826E-4</c:v>
                  </c:pt>
                  <c:pt idx="3">
                    <c:v>2.4098054900759108E-4</c:v>
                  </c:pt>
                  <c:pt idx="4">
                    <c:v>2.3455862806556489E-4</c:v>
                  </c:pt>
                  <c:pt idx="5">
                    <c:v>2.6520699462872393E-4</c:v>
                  </c:pt>
                  <c:pt idx="6">
                    <c:v>1.7367444400371633E-4</c:v>
                  </c:pt>
                </c:numCache>
              </c:numRef>
            </c:plus>
            <c:minus>
              <c:numRef>
                <c:f>('q_max=110 eta (0.002, 0.2) ETH'!$H$27,'q_max=110 eta (0.002, 0.2) ETH'!$H$115,'q_max=110 eta (0.002, 0.2) ETH'!$H$203,'q_max=110 eta (0.002, 0.2) ETH'!$H$291,'q_max=110 eta (0.002, 0.2) ETH'!$H$379,'q_max=110 eta (0.002, 0.2) ETH'!$H$467,'q_max=110 eta (0.002, 0.2) ETH'!$H$555)</c:f>
                <c:numCache>
                  <c:formatCode>General</c:formatCode>
                  <c:ptCount val="7"/>
                  <c:pt idx="0">
                    <c:v>1.0996306197992124E-4</c:v>
                  </c:pt>
                  <c:pt idx="1">
                    <c:v>1.4071291696216094E-4</c:v>
                  </c:pt>
                  <c:pt idx="2">
                    <c:v>1.2733199715703826E-4</c:v>
                  </c:pt>
                  <c:pt idx="3">
                    <c:v>2.4098054900759108E-4</c:v>
                  </c:pt>
                  <c:pt idx="4">
                    <c:v>2.3455862806556489E-4</c:v>
                  </c:pt>
                  <c:pt idx="5">
                    <c:v>2.6520699462872393E-4</c:v>
                  </c:pt>
                  <c:pt idx="6">
                    <c:v>1.7367444400371633E-4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ETH'!$H$26,'q_max=110 eta (0.002, 0.2) ETH'!$H$114,'q_max=110 eta (0.002, 0.2) ETH'!$H$202,'q_max=110 eta (0.002, 0.2) ETH'!$H$290,'q_max=110 eta (0.002, 0.2) ETH'!$H$378,'q_max=110 eta (0.002, 0.2) ETH'!$H$466,'q_max=110 eta (0.002, 0.2) ETH'!$H$554)</c:f>
              <c:numCache>
                <c:formatCode>General</c:formatCode>
                <c:ptCount val="7"/>
                <c:pt idx="0">
                  <c:v>0.20443424999999998</c:v>
                </c:pt>
                <c:pt idx="1">
                  <c:v>0.20972774999999999</c:v>
                </c:pt>
                <c:pt idx="2">
                  <c:v>0.21169524999999997</c:v>
                </c:pt>
                <c:pt idx="3">
                  <c:v>0.21229999999999999</c:v>
                </c:pt>
                <c:pt idx="4">
                  <c:v>0.214031</c:v>
                </c:pt>
                <c:pt idx="5">
                  <c:v>0.21412799999999999</c:v>
                </c:pt>
                <c:pt idx="6">
                  <c:v>0.21444250000000001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64-4AAD-B9AB-1FEC56756689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ETH'!$H$75,'q_max=110 eta (0.002, 0.2) ETH'!$H$163,'q_max=110 eta (0.002, 0.2) ETH'!$H$251,'q_max=110 eta (0.002, 0.2) ETH'!$H$339,'q_max=110 eta (0.002, 0.2) ETH'!$H$427,'q_max=110 eta (0.002, 0.2) ETH'!$H$515,'q_max=110 eta (0.002, 0.2) ETH'!$H$603)</c:f>
              <c:numCache>
                <c:formatCode>General</c:formatCode>
                <c:ptCount val="7"/>
                <c:pt idx="0">
                  <c:v>0.20028475000000001</c:v>
                </c:pt>
                <c:pt idx="1">
                  <c:v>0.21054475</c:v>
                </c:pt>
                <c:pt idx="2">
                  <c:v>0.21671474999999998</c:v>
                </c:pt>
                <c:pt idx="3">
                  <c:v>0.22008349999999999</c:v>
                </c:pt>
                <c:pt idx="4">
                  <c:v>0.22518874999999999</c:v>
                </c:pt>
                <c:pt idx="5">
                  <c:v>0.22477199999999997</c:v>
                </c:pt>
                <c:pt idx="6">
                  <c:v>0.22589975000000001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64-4AAD-B9AB-1FEC56756689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ETH'!$H$85,'q_max=110 eta (0.002, 0.2) ETH'!$H$173,'q_max=110 eta (0.002, 0.2) ETH'!$H$261,'q_max=110 eta (0.002, 0.2) ETH'!$H$349,'q_max=110 eta (0.002, 0.2) ETH'!$H$437,'q_max=110 eta (0.002, 0.2) ETH'!$H$525,'q_max=110 eta (0.002, 0.2) ETH'!$H$613)</c:f>
              <c:numCache>
                <c:formatCode>General</c:formatCode>
                <c:ptCount val="7"/>
                <c:pt idx="0">
                  <c:v>0.20568525000000001</c:v>
                </c:pt>
                <c:pt idx="1">
                  <c:v>0.21343099999999998</c:v>
                </c:pt>
                <c:pt idx="2">
                  <c:v>0.21341900000000003</c:v>
                </c:pt>
                <c:pt idx="3">
                  <c:v>0.21360425</c:v>
                </c:pt>
                <c:pt idx="4">
                  <c:v>0.21564025000000001</c:v>
                </c:pt>
                <c:pt idx="5">
                  <c:v>0.21630125</c:v>
                </c:pt>
                <c:pt idx="6">
                  <c:v>0.21654225000000002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64-4AAD-B9AB-1FEC56756689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ETH'!$H$47,'q_max=110 eta (0.002, 0.2) ETH'!$H$135,'q_max=110 eta (0.002, 0.2) ETH'!$H$223,'q_max=110 eta (0.002, 0.2) ETH'!$H$311,'q_max=110 eta (0.002, 0.2) ETH'!$H$399,'q_max=110 eta (0.002, 0.2) ETH'!$H$487,'q_max=110 eta (0.002, 0.2) ETH'!$H$575)</c:f>
                <c:numCache>
                  <c:formatCode>General</c:formatCode>
                  <c:ptCount val="7"/>
                  <c:pt idx="0">
                    <c:v>6.7001795684891907E-4</c:v>
                  </c:pt>
                  <c:pt idx="1">
                    <c:v>6.5564000221157942E-4</c:v>
                  </c:pt>
                  <c:pt idx="2">
                    <c:v>8.6115246182078594E-4</c:v>
                  </c:pt>
                  <c:pt idx="3">
                    <c:v>5.5655283891109574E-4</c:v>
                  </c:pt>
                  <c:pt idx="4">
                    <c:v>6.6382749076849775E-4</c:v>
                  </c:pt>
                  <c:pt idx="5">
                    <c:v>6.1119841295605463E-4</c:v>
                  </c:pt>
                  <c:pt idx="6">
                    <c:v>5.4772746416443282E-4</c:v>
                  </c:pt>
                </c:numCache>
              </c:numRef>
            </c:plus>
            <c:minus>
              <c:numRef>
                <c:f>('q_max=110 eta (0.002, 0.2) ETH'!$H$47,'q_max=110 eta (0.002, 0.2) ETH'!$H$135,'q_max=110 eta (0.002, 0.2) ETH'!$H$223,'q_max=110 eta (0.002, 0.2) ETH'!$H$311,'q_max=110 eta (0.002, 0.2) ETH'!$H$399,'q_max=110 eta (0.002, 0.2) ETH'!$H$487,'q_max=110 eta (0.002, 0.2) ETH'!$H$575)</c:f>
                <c:numCache>
                  <c:formatCode>General</c:formatCode>
                  <c:ptCount val="7"/>
                  <c:pt idx="0">
                    <c:v>6.7001795684891907E-4</c:v>
                  </c:pt>
                  <c:pt idx="1">
                    <c:v>6.5564000221157942E-4</c:v>
                  </c:pt>
                  <c:pt idx="2">
                    <c:v>8.6115246182078594E-4</c:v>
                  </c:pt>
                  <c:pt idx="3">
                    <c:v>5.5655283891109574E-4</c:v>
                  </c:pt>
                  <c:pt idx="4">
                    <c:v>6.6382749076849775E-4</c:v>
                  </c:pt>
                  <c:pt idx="5">
                    <c:v>6.1119841295605463E-4</c:v>
                  </c:pt>
                  <c:pt idx="6">
                    <c:v>5.4772746416443282E-4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ETH'!$H$46,'q_max=110 eta (0.002, 0.2) ETH'!$H$134,'q_max=110 eta (0.002, 0.2) ETH'!$H$222,'q_max=110 eta (0.002, 0.2) ETH'!$H$310,'q_max=110 eta (0.002, 0.2) ETH'!$H$398,'q_max=110 eta (0.002, 0.2) ETH'!$H$486,'q_max=110 eta (0.002, 0.2) ETH'!$H$574)</c:f>
              <c:numCache>
                <c:formatCode>General</c:formatCode>
                <c:ptCount val="7"/>
                <c:pt idx="0">
                  <c:v>0.22532874999999999</c:v>
                </c:pt>
                <c:pt idx="1">
                  <c:v>0.2319435</c:v>
                </c:pt>
                <c:pt idx="2">
                  <c:v>0.23280925000000002</c:v>
                </c:pt>
                <c:pt idx="3">
                  <c:v>0.23505274999999998</c:v>
                </c:pt>
                <c:pt idx="4">
                  <c:v>0.2352195</c:v>
                </c:pt>
                <c:pt idx="5">
                  <c:v>0.23681150000000001</c:v>
                </c:pt>
                <c:pt idx="6">
                  <c:v>0.23727275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64-4AAD-B9AB-1FEC56756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ETH'!$H$80,'q_max=110 eta (0.002, 0.2) ETH'!$H$168,'q_max=110 eta (0.002, 0.2) ETH'!$H$256,'q_max=110 eta (0.002, 0.2) ETH'!$H$344,'q_max=110 eta (0.002, 0.2) ETH'!$H$432,'q_max=110 eta (0.002, 0.2) ETH'!$H$520,'q_max=110 eta (0.002, 0.2) ETH'!$H$608)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0.24306074999999999</c:v>
                      </c:pt>
                      <c:pt idx="1">
                        <c:v>0.26943475</c:v>
                      </c:pt>
                      <c:pt idx="2">
                        <c:v>0.27945575</c:v>
                      </c:pt>
                      <c:pt idx="3">
                        <c:v>0.29331050000000003</c:v>
                      </c:pt>
                      <c:pt idx="4">
                        <c:v>0.29045500000000002</c:v>
                      </c:pt>
                      <c:pt idx="5">
                        <c:v>0.28405649999999999</c:v>
                      </c:pt>
                      <c:pt idx="6">
                        <c:v>0.26881375000000002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0A64-4AAD-B9AB-1FEC56756689}"/>
                  </c:ext>
                </c:extLst>
              </c15:ser>
            </c15:filteredScatterSeries>
          </c:ext>
        </c:extLst>
      </c:scatterChart>
      <c:valAx>
        <c:axId val="-334866048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24000000000000002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plus>
            <c:minus>
              <c:numRef>
                <c:f>('q_max=110 eta (0.002, 0.2) ETH'!$H$13,'q_max=110 eta (0.002, 0.2) ETH'!$H$101,'q_max=110 eta (0.002, 0.2) ETH'!$H$189,'q_max=110 eta (0.002, 0.2) ETH'!$H$277,'q_max=110 eta (0.002, 0.2) ETH'!$H$365,'q_max=110 eta (0.002, 0.2) ETH'!$H$453,'q_max=110 eta (0.002, 0.2) ETH'!$H$541)</c:f>
                <c:numCache>
                  <c:formatCode>General</c:formatCode>
                  <c:ptCount val="7"/>
                  <c:pt idx="0">
                    <c:v>2.3128274122272936E-2</c:v>
                  </c:pt>
                  <c:pt idx="1">
                    <c:v>2.4927957290710765E-2</c:v>
                  </c:pt>
                  <c:pt idx="2">
                    <c:v>3.4372055904833505E-2</c:v>
                  </c:pt>
                  <c:pt idx="3">
                    <c:v>3.1167987577400628E-2</c:v>
                  </c:pt>
                  <c:pt idx="4">
                    <c:v>3.3249341400432279E-2</c:v>
                  </c:pt>
                  <c:pt idx="5">
                    <c:v>4.0251532562437915E-2</c:v>
                  </c:pt>
                  <c:pt idx="6">
                    <c:v>3.6922318546849138E-2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5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ETH'!$H$12,'q_max=110 eta (0.002, 0.2) ETH'!$H$100,'q_max=110 eta (0.002, 0.2) ETH'!$H$188,'q_max=110 eta (0.002, 0.2) ETH'!$H$276,'q_max=110 eta (0.002, 0.2) ETH'!$H$364,'q_max=110 eta (0.002, 0.2) ETH'!$H$452,'q_max=110 eta (0.002, 0.2) ETH'!$H$540)</c:f>
              <c:numCache>
                <c:formatCode>General</c:formatCode>
                <c:ptCount val="7"/>
                <c:pt idx="0">
                  <c:v>21.03694175</c:v>
                </c:pt>
                <c:pt idx="1">
                  <c:v>21.140064000000002</c:v>
                </c:pt>
                <c:pt idx="2">
                  <c:v>21.300010749999998</c:v>
                </c:pt>
                <c:pt idx="3">
                  <c:v>21.516634499999999</c:v>
                </c:pt>
                <c:pt idx="4">
                  <c:v>21.364019749999997</c:v>
                </c:pt>
                <c:pt idx="5">
                  <c:v>21.326842249999999</c:v>
                </c:pt>
                <c:pt idx="6">
                  <c:v>21.492296499999998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C87-40D0-BAA7-4D6ABD32985E}"/>
            </c:ext>
          </c:extLst>
        </c:ser>
        <c:ser>
          <c:idx val="1"/>
          <c:order val="1"/>
          <c:tx>
            <c:v>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ETH'!$H$23,'q_max=110 eta (0.002, 0.2) ETH'!$H$23,'q_max=110 eta (0.002, 0.2) ETH'!$H$111,'q_max=110 eta (0.002, 0.2) ETH'!$H$199,'q_max=110 eta (0.002, 0.2) ETH'!$H$287,'q_max=110 eta (0.002, 0.2) ETH'!$H$375,'q_max=110 eta (0.002, 0.2) ETH'!$H$463,'q_max=110 eta (0.002, 0.2) ETH'!$H$551)</c:f>
                <c:numCache>
                  <c:formatCode>General</c:formatCode>
                  <c:ptCount val="8"/>
                  <c:pt idx="0">
                    <c:v>8.1505962895744619E-2</c:v>
                  </c:pt>
                  <c:pt idx="1">
                    <c:v>8.1505962895744619E-2</c:v>
                  </c:pt>
                  <c:pt idx="2">
                    <c:v>6.6109006569169529E-2</c:v>
                  </c:pt>
                  <c:pt idx="3">
                    <c:v>6.7942072148356653E-2</c:v>
                  </c:pt>
                  <c:pt idx="4">
                    <c:v>8.3848243351083387E-2</c:v>
                  </c:pt>
                  <c:pt idx="5">
                    <c:v>7.0394106591478961E-2</c:v>
                  </c:pt>
                  <c:pt idx="6">
                    <c:v>6.178716333865393E-2</c:v>
                  </c:pt>
                  <c:pt idx="7">
                    <c:v>8.0128293750943561E-2</c:v>
                  </c:pt>
                </c:numCache>
              </c:numRef>
            </c:plus>
            <c:minus>
              <c:numRef>
                <c:f>('q_max=110 eta (0.002, 0.2) ETH'!$H$23,'q_max=110 eta (0.002, 0.2) ETH'!$H$23,'q_max=110 eta (0.002, 0.2) ETH'!$H$111,'q_max=110 eta (0.002, 0.2) ETH'!$H$199,'q_max=110 eta (0.002, 0.2) ETH'!$H$287,'q_max=110 eta (0.002, 0.2) ETH'!$H$375,'q_max=110 eta (0.002, 0.2) ETH'!$H$463,'q_max=110 eta (0.002, 0.2) ETH'!$H$551)</c:f>
                <c:numCache>
                  <c:formatCode>General</c:formatCode>
                  <c:ptCount val="8"/>
                  <c:pt idx="0">
                    <c:v>8.1505962895744619E-2</c:v>
                  </c:pt>
                  <c:pt idx="1">
                    <c:v>8.1505962895744619E-2</c:v>
                  </c:pt>
                  <c:pt idx="2">
                    <c:v>6.6109006569169529E-2</c:v>
                  </c:pt>
                  <c:pt idx="3">
                    <c:v>6.7942072148356653E-2</c:v>
                  </c:pt>
                  <c:pt idx="4">
                    <c:v>8.3848243351083387E-2</c:v>
                  </c:pt>
                  <c:pt idx="5">
                    <c:v>7.0394106591478961E-2</c:v>
                  </c:pt>
                  <c:pt idx="6">
                    <c:v>6.178716333865393E-2</c:v>
                  </c:pt>
                  <c:pt idx="7">
                    <c:v>8.0128293750943561E-2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7030A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ETH'!$H$22,'q_max=110 eta (0.002, 0.2) ETH'!$H$110,'q_max=110 eta (0.002, 0.2) ETH'!$H$198,'q_max=110 eta (0.002, 0.2) ETH'!$H$286,'q_max=110 eta (0.002, 0.2) ETH'!$H$374,'q_max=110 eta (0.002, 0.2) ETH'!$H$462,'q_max=110 eta (0.002, 0.2) ETH'!$H$550)</c:f>
              <c:numCache>
                <c:formatCode>General</c:formatCode>
                <c:ptCount val="7"/>
                <c:pt idx="0">
                  <c:v>21.626063500000001</c:v>
                </c:pt>
                <c:pt idx="1">
                  <c:v>21.723670249999998</c:v>
                </c:pt>
                <c:pt idx="2">
                  <c:v>21.793387249999999</c:v>
                </c:pt>
                <c:pt idx="3">
                  <c:v>21.853691749999999</c:v>
                </c:pt>
                <c:pt idx="4">
                  <c:v>21.821959750000001</c:v>
                </c:pt>
                <c:pt idx="5">
                  <c:v>21.720830749999998</c:v>
                </c:pt>
                <c:pt idx="6">
                  <c:v>21.918097249999999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7-40D0-BAA7-4D6ABD32985E}"/>
            </c:ext>
          </c:extLst>
        </c:ser>
        <c:ser>
          <c:idx val="5"/>
          <c:order val="2"/>
          <c:tx>
            <c:v>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ETH'!$H$43,'q_max=110 eta (0.002, 0.2) ETH'!$H$131,'q_max=110 eta (0.002, 0.2) ETH'!$H$219,'q_max=110 eta (0.002, 0.2) ETH'!$H$307,'q_max=110 eta (0.002, 0.2) ETH'!$H$395,'q_max=110 eta (0.002, 0.2) ETH'!$H$483,'q_max=110 eta (0.002, 0.2) ETH'!$H$571)</c:f>
                <c:numCache>
                  <c:formatCode>General</c:formatCode>
                  <c:ptCount val="7"/>
                  <c:pt idx="0">
                    <c:v>0.10533671744814341</c:v>
                  </c:pt>
                  <c:pt idx="1">
                    <c:v>0.11244168932245505</c:v>
                  </c:pt>
                  <c:pt idx="2">
                    <c:v>0.12426298466734774</c:v>
                  </c:pt>
                  <c:pt idx="3">
                    <c:v>7.592260319479964E-2</c:v>
                  </c:pt>
                  <c:pt idx="4">
                    <c:v>9.1651069549473885E-2</c:v>
                  </c:pt>
                  <c:pt idx="5">
                    <c:v>8.506592913881561E-2</c:v>
                  </c:pt>
                  <c:pt idx="6">
                    <c:v>9.0470758132462345E-2</c:v>
                  </c:pt>
                </c:numCache>
              </c:numRef>
            </c:plus>
            <c:minus>
              <c:numRef>
                <c:f>('q_max=110 eta (0.002, 0.2) ETH'!$H$43,'q_max=110 eta (0.002, 0.2) ETH'!$H$131,'q_max=110 eta (0.002, 0.2) ETH'!$H$219,'q_max=110 eta (0.002, 0.2) ETH'!$H$307,'q_max=110 eta (0.002, 0.2) ETH'!$H$395,'q_max=110 eta (0.002, 0.2) ETH'!$H$483,'q_max=110 eta (0.002, 0.2) ETH'!$H$571)</c:f>
                <c:numCache>
                  <c:formatCode>General</c:formatCode>
                  <c:ptCount val="7"/>
                  <c:pt idx="0">
                    <c:v>0.10533671744814341</c:v>
                  </c:pt>
                  <c:pt idx="1">
                    <c:v>0.11244168932245505</c:v>
                  </c:pt>
                  <c:pt idx="2">
                    <c:v>0.12426298466734774</c:v>
                  </c:pt>
                  <c:pt idx="3">
                    <c:v>7.592260319479964E-2</c:v>
                  </c:pt>
                  <c:pt idx="4">
                    <c:v>9.1651069549473885E-2</c:v>
                  </c:pt>
                  <c:pt idx="5">
                    <c:v>8.506592913881561E-2</c:v>
                  </c:pt>
                  <c:pt idx="6">
                    <c:v>9.0470758132462345E-2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ETH'!$H$42,'q_max=110 eta (0.002, 0.2) ETH'!$H$130,'q_max=110 eta (0.002, 0.2) ETH'!$H$218,'q_max=110 eta (0.002, 0.2) ETH'!$H$306,'q_max=110 eta (0.002, 0.2) ETH'!$H$394,'q_max=110 eta (0.002, 0.2) ETH'!$H$482,'q_max=110 eta (0.002, 0.2) ETH'!$H$570)</c:f>
              <c:numCache>
                <c:formatCode>General</c:formatCode>
                <c:ptCount val="7"/>
                <c:pt idx="0">
                  <c:v>21.22221725</c:v>
                </c:pt>
                <c:pt idx="1">
                  <c:v>21.461707000000001</c:v>
                </c:pt>
                <c:pt idx="2">
                  <c:v>21.70562425</c:v>
                </c:pt>
                <c:pt idx="3">
                  <c:v>21.791359249999999</c:v>
                </c:pt>
                <c:pt idx="4">
                  <c:v>21.870367000000002</c:v>
                </c:pt>
                <c:pt idx="5">
                  <c:v>21.808753000000003</c:v>
                </c:pt>
                <c:pt idx="6">
                  <c:v>21.944396750000003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7-40D0-BAA7-4D6ABD32985E}"/>
            </c:ext>
          </c:extLst>
        </c:ser>
        <c:ser>
          <c:idx val="2"/>
          <c:order val="3"/>
          <c:tx>
            <c:v>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ETH'!$H$33,'q_max=110 eta (0.002, 0.2) ETH'!$H$121,'q_max=110 eta (0.002, 0.2) ETH'!$H$209,'q_max=110 eta (0.002, 0.2) ETH'!$H$297,'q_max=110 eta (0.002, 0.2) ETH'!$H$385,'q_max=110 eta (0.002, 0.2) ETH'!$H$473,'q_max=110 eta (0.002, 0.2) ETH'!$H$561)</c:f>
                <c:numCache>
                  <c:formatCode>General</c:formatCode>
                  <c:ptCount val="7"/>
                  <c:pt idx="0">
                    <c:v>1.2561414057541451E-2</c:v>
                  </c:pt>
                  <c:pt idx="1">
                    <c:v>1.4693696363151786E-2</c:v>
                  </c:pt>
                  <c:pt idx="2">
                    <c:v>1.2441999108362772E-2</c:v>
                  </c:pt>
                  <c:pt idx="3">
                    <c:v>1.3245434220421013E-2</c:v>
                  </c:pt>
                  <c:pt idx="4">
                    <c:v>1.4994138633979612E-2</c:v>
                  </c:pt>
                  <c:pt idx="5">
                    <c:v>1.5332643689201154E-2</c:v>
                  </c:pt>
                  <c:pt idx="6">
                    <c:v>1.3734620312371215E-2</c:v>
                  </c:pt>
                </c:numCache>
              </c:numRef>
            </c:plus>
            <c:minus>
              <c:numRef>
                <c:f>('q_max=110 eta (0.002, 0.2) ETH'!$H$33,'q_max=110 eta (0.002, 0.2) ETH'!$H$121,'q_max=110 eta (0.002, 0.2) ETH'!$H$209,'q_max=110 eta (0.002, 0.2) ETH'!$H$297,'q_max=110 eta (0.002, 0.2) ETH'!$H$385,'q_max=110 eta (0.002, 0.2) ETH'!$H$473,'q_max=110 eta (0.002, 0.2) ETH'!$H$561)</c:f>
                <c:numCache>
                  <c:formatCode>General</c:formatCode>
                  <c:ptCount val="7"/>
                  <c:pt idx="0">
                    <c:v>1.2561414057541451E-2</c:v>
                  </c:pt>
                  <c:pt idx="1">
                    <c:v>1.4693696363151786E-2</c:v>
                  </c:pt>
                  <c:pt idx="2">
                    <c:v>1.2441999108362772E-2</c:v>
                  </c:pt>
                  <c:pt idx="3">
                    <c:v>1.3245434220421013E-2</c:v>
                  </c:pt>
                  <c:pt idx="4">
                    <c:v>1.4994138633979612E-2</c:v>
                  </c:pt>
                  <c:pt idx="5">
                    <c:v>1.5332643689201154E-2</c:v>
                  </c:pt>
                  <c:pt idx="6">
                    <c:v>1.3734620312371215E-2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ETH'!$H$32,'q_max=110 eta (0.002, 0.2) ETH'!$H$120,'q_max=110 eta (0.002, 0.2) ETH'!$H$208,'q_max=110 eta (0.002, 0.2) ETH'!$H$296,'q_max=110 eta (0.002, 0.2) ETH'!$H$384,'q_max=110 eta (0.002, 0.2) ETH'!$H$472,'q_max=110 eta (0.002, 0.2) ETH'!$H$560)</c:f>
              <c:numCache>
                <c:formatCode>General</c:formatCode>
                <c:ptCount val="7"/>
                <c:pt idx="0">
                  <c:v>21.039029249999999</c:v>
                </c:pt>
                <c:pt idx="1">
                  <c:v>21.156670250000001</c:v>
                </c:pt>
                <c:pt idx="2">
                  <c:v>21.317143500000004</c:v>
                </c:pt>
                <c:pt idx="3">
                  <c:v>21.241239749999998</c:v>
                </c:pt>
                <c:pt idx="4">
                  <c:v>21.374426499999998</c:v>
                </c:pt>
                <c:pt idx="5">
                  <c:v>21.401729500000002</c:v>
                </c:pt>
                <c:pt idx="6">
                  <c:v>21.492715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7-40D0-BAA7-4D6ABD32985E}"/>
            </c:ext>
          </c:extLst>
        </c:ser>
        <c:ser>
          <c:idx val="0"/>
          <c:order val="4"/>
          <c:tx>
            <c:v>Linear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ETH'!$H$78,'q_max=110 eta (0.002, 0.2) ETH'!$H$166,'q_max=110 eta (0.002, 0.2) ETH'!$H$254,'q_max=110 eta (0.002, 0.2) ETH'!$H$342,'q_max=110 eta (0.002, 0.2) ETH'!$H$430,'q_max=110 eta (0.002, 0.2) ETH'!$H$518,'q_max=110 eta (0.002, 0.2) ETH'!$H$606)</c:f>
              <c:numCache>
                <c:formatCode>General</c:formatCode>
                <c:ptCount val="7"/>
                <c:pt idx="0">
                  <c:v>20.239097999999998</c:v>
                </c:pt>
                <c:pt idx="1">
                  <c:v>20.880834</c:v>
                </c:pt>
                <c:pt idx="2">
                  <c:v>21.607505</c:v>
                </c:pt>
                <c:pt idx="3">
                  <c:v>21.419332750000002</c:v>
                </c:pt>
                <c:pt idx="4">
                  <c:v>22.60725725</c:v>
                </c:pt>
                <c:pt idx="5">
                  <c:v>22.6008055</c:v>
                </c:pt>
                <c:pt idx="6">
                  <c:v>22.734855250000003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C87-40D0-BAA7-4D6ABD32985E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ETH'!$H$88,'q_max=110 eta (0.002, 0.2) ETH'!$H$176,'q_max=110 eta (0.002, 0.2) ETH'!$H$264,'q_max=110 eta (0.002, 0.2) ETH'!$H$352,'q_max=110 eta (0.002, 0.2) ETH'!$H$440,'q_max=110 eta (0.002, 0.2) ETH'!$H$528,'q_max=110 eta (0.002, 0.2) ETH'!$H$616)</c:f>
              <c:numCache>
                <c:formatCode>General</c:formatCode>
                <c:ptCount val="7"/>
                <c:pt idx="0">
                  <c:v>21.518478250000001</c:v>
                </c:pt>
                <c:pt idx="1">
                  <c:v>22.19113475</c:v>
                </c:pt>
                <c:pt idx="2">
                  <c:v>22.115638499999999</c:v>
                </c:pt>
                <c:pt idx="3">
                  <c:v>22.333159000000002</c:v>
                </c:pt>
                <c:pt idx="4">
                  <c:v>21.959001000000001</c:v>
                </c:pt>
                <c:pt idx="5">
                  <c:v>21.74990425</c:v>
                </c:pt>
                <c:pt idx="6">
                  <c:v>22.12132325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C87-40D0-BAA7-4D6ABD32985E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ETH'!$H$53,'q_max=110 eta (0.002, 0.2) ETH'!$H$141,'q_max=110 eta (0.002, 0.2) ETH'!$H$229,'q_max=110 eta (0.002, 0.2) ETH'!$H$317,'q_max=110 eta (0.002, 0.2) ETH'!$H$405,'q_max=110 eta (0.002, 0.2) ETH'!$H$493,'q_max=110 eta (0.002, 0.2) ETH'!$H$581)</c:f>
                <c:numCache>
                  <c:formatCode>General</c:formatCode>
                  <c:ptCount val="7"/>
                  <c:pt idx="0">
                    <c:v>6.383687266433484E-2</c:v>
                  </c:pt>
                  <c:pt idx="1">
                    <c:v>6.7120674836912211E-2</c:v>
                  </c:pt>
                  <c:pt idx="2">
                    <c:v>8.2306860138219945E-2</c:v>
                  </c:pt>
                  <c:pt idx="3">
                    <c:v>6.0186898197925935E-2</c:v>
                  </c:pt>
                  <c:pt idx="4">
                    <c:v>6.3001421617888909E-2</c:v>
                  </c:pt>
                  <c:pt idx="5">
                    <c:v>6.067929955563512E-2</c:v>
                  </c:pt>
                  <c:pt idx="6">
                    <c:v>6.7252364867341277E-2</c:v>
                  </c:pt>
                </c:numCache>
              </c:numRef>
            </c:plus>
            <c:minus>
              <c:numRef>
                <c:f>('q_max=110 eta (0.002, 0.2) ETH'!$H$53,'q_max=110 eta (0.002, 0.2) ETH'!$H$141,'q_max=110 eta (0.002, 0.2) ETH'!$H$229,'q_max=110 eta (0.002, 0.2) ETH'!$H$317,'q_max=110 eta (0.002, 0.2) ETH'!$H$405,'q_max=110 eta (0.002, 0.2) ETH'!$H$493,'q_max=110 eta (0.002, 0.2) ETH'!$H$581)</c:f>
                <c:numCache>
                  <c:formatCode>General</c:formatCode>
                  <c:ptCount val="7"/>
                  <c:pt idx="0">
                    <c:v>6.383687266433484E-2</c:v>
                  </c:pt>
                  <c:pt idx="1">
                    <c:v>6.7120674836912211E-2</c:v>
                  </c:pt>
                  <c:pt idx="2">
                    <c:v>8.2306860138219945E-2</c:v>
                  </c:pt>
                  <c:pt idx="3">
                    <c:v>6.0186898197925935E-2</c:v>
                  </c:pt>
                  <c:pt idx="4">
                    <c:v>6.3001421617888909E-2</c:v>
                  </c:pt>
                  <c:pt idx="5">
                    <c:v>6.067929955563512E-2</c:v>
                  </c:pt>
                  <c:pt idx="6">
                    <c:v>6.7252364867341277E-2</c:v>
                  </c:pt>
                </c:numCache>
              </c:numRef>
            </c:minus>
            <c:spPr>
              <a:noFill/>
              <a:ln w="1587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ETH'!$H$52,'q_max=110 eta (0.002, 0.2) ETH'!$H$140,'q_max=110 eta (0.002, 0.2) ETH'!$H$228,'q_max=110 eta (0.002, 0.2) ETH'!$H$316,'q_max=110 eta (0.002, 0.2) ETH'!$H$404,'q_max=110 eta (0.002, 0.2) ETH'!$H$492,'q_max=110 eta (0.002, 0.2) ETH'!$H$580)</c:f>
              <c:numCache>
                <c:formatCode>General</c:formatCode>
                <c:ptCount val="7"/>
                <c:pt idx="0">
                  <c:v>22.588726999999999</c:v>
                </c:pt>
                <c:pt idx="1">
                  <c:v>23.104951499999999</c:v>
                </c:pt>
                <c:pt idx="2">
                  <c:v>23.120784499999999</c:v>
                </c:pt>
                <c:pt idx="3">
                  <c:v>23.372801249999998</c:v>
                </c:pt>
                <c:pt idx="4">
                  <c:v>23.3532765</c:v>
                </c:pt>
                <c:pt idx="5">
                  <c:v>23.623588250000001</c:v>
                </c:pt>
                <c:pt idx="6">
                  <c:v>23.566357000000004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87-40D0-BAA7-4D6ABD32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ETH'!$H$83,'q_max=110 eta (0.002, 0.2) ETH'!$H$171,'q_max=110 eta (0.002, 0.2) ETH'!$H$259,'q_max=110 eta (0.002, 0.2) ETH'!$H$347,'q_max=110 eta (0.002, 0.2) ETH'!$H$435,'q_max=110 eta (0.002, 0.2) ETH'!$H$523,'q_max=110 eta (0.002, 0.2) ETH'!$H$611)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25.902563999999998</c:v>
                      </c:pt>
                      <c:pt idx="1">
                        <c:v>28.58009775</c:v>
                      </c:pt>
                      <c:pt idx="2">
                        <c:v>28.904060999999999</c:v>
                      </c:pt>
                      <c:pt idx="3">
                        <c:v>30.048425000000002</c:v>
                      </c:pt>
                      <c:pt idx="4">
                        <c:v>29.488062249999999</c:v>
                      </c:pt>
                      <c:pt idx="5">
                        <c:v>26.89174525</c:v>
                      </c:pt>
                      <c:pt idx="6">
                        <c:v>25.508282749999999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CC87-40D0-BAA7-4D6ABD32985E}"/>
                  </c:ext>
                </c:extLst>
              </c15:ser>
            </c15:filteredScatterSeries>
          </c:ext>
        </c:extLst>
      </c:scatterChart>
      <c:valAx>
        <c:axId val="-185953104"/>
        <c:scaling>
          <c:orientation val="minMax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</a:t>
                </a:r>
              </a:p>
              <a:p>
                <a:pPr>
                  <a:defRPr lang="ja-JP">
                    <a:solidFill>
                      <a:sysClr val="windowText" lastClr="000000"/>
                    </a:solidFill>
                  </a:defRPr>
                </a:pPr>
                <a:r>
                  <a:rPr lang="en-US" sz="1400" baseline="0">
                    <a:solidFill>
                      <a:sysClr val="windowText" lastClr="000000"/>
                    </a:solidFill>
                  </a:rPr>
                  <a:t>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  <c:extLst xmlns:c15="http://schemas.microsoft.com/office/drawing/2012/chart"/>
            </c:numRef>
          </c:xVal>
          <c:yVal>
            <c:numRef>
              <c:f>('q_max=110 eta (0.002, 0.2) ETH'!$H$8,'q_max=110 eta (0.002, 0.2) ETH'!$H$96,'q_max=110 eta (0.002, 0.2) ETH'!$H$184,'q_max=110 eta (0.002, 0.2) ETH'!$H$272,'q_max=110 eta (0.002, 0.2) ETH'!$H$360,'q_max=110 eta (0.002, 0.2) ETH'!$H$448,'q_max=110 eta (0.002, 0.2) ETH'!$H$536)</c:f>
              <c:numCache>
                <c:formatCode>General</c:formatCode>
                <c:ptCount val="7"/>
                <c:pt idx="0">
                  <c:v>0.90226399999999995</c:v>
                </c:pt>
                <c:pt idx="1">
                  <c:v>0.90018100000000012</c:v>
                </c:pt>
                <c:pt idx="2">
                  <c:v>0.89880925</c:v>
                </c:pt>
                <c:pt idx="3">
                  <c:v>0.89855324999999997</c:v>
                </c:pt>
                <c:pt idx="4">
                  <c:v>0.89771325000000002</c:v>
                </c:pt>
                <c:pt idx="5">
                  <c:v>0.89785074999999992</c:v>
                </c:pt>
                <c:pt idx="6">
                  <c:v>0.89706300000000005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AB-4504-B42A-5BAF1734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ETH'!$H$18,'q_max=110 eta (0.002, 0.2) ETH'!$H$106,'q_max=110 eta (0.002, 0.2) ETH'!$H$194,'q_max=110 eta (0.002, 0.2) ETH'!$H$282,'q_max=110 eta (0.002, 0.2) ETH'!$H$370,'q_max=110 eta (0.002, 0.2) ETH'!$H$458,'q_max=110 eta (0.002, 0.2) ETH'!$H$546)</c:f>
              <c:numCache>
                <c:formatCode>General</c:formatCode>
                <c:ptCount val="7"/>
                <c:pt idx="0">
                  <c:v>0.8983565</c:v>
                </c:pt>
                <c:pt idx="1">
                  <c:v>0.89747049999999995</c:v>
                </c:pt>
                <c:pt idx="2">
                  <c:v>0.89705174999999993</c:v>
                </c:pt>
                <c:pt idx="3">
                  <c:v>0.89638550000000006</c:v>
                </c:pt>
                <c:pt idx="4">
                  <c:v>0.89716425000000011</c:v>
                </c:pt>
                <c:pt idx="5">
                  <c:v>0.89640175</c:v>
                </c:pt>
                <c:pt idx="6">
                  <c:v>0.89689574999999988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B-4504-B42A-5BAF17340D85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ETH'!$H$38,'q_max=110 eta (0.002, 0.2) ETH'!$H$126,'q_max=110 eta (0.002, 0.2) ETH'!$H$214,'q_max=110 eta (0.002, 0.2) ETH'!$H$302,'q_max=110 eta (0.002, 0.2) ETH'!$H$390,'q_max=110 eta (0.002, 0.2) ETH'!$H$478,'q_max=110 eta (0.002, 0.2) ETH'!$H$566)</c:f>
              <c:numCache>
                <c:formatCode>General</c:formatCode>
                <c:ptCount val="7"/>
                <c:pt idx="0">
                  <c:v>0.89930550000000009</c:v>
                </c:pt>
                <c:pt idx="1">
                  <c:v>0.898621</c:v>
                </c:pt>
                <c:pt idx="2">
                  <c:v>0.89871975000000004</c:v>
                </c:pt>
                <c:pt idx="3">
                  <c:v>0.89799950000000006</c:v>
                </c:pt>
                <c:pt idx="4">
                  <c:v>0.89633250000000009</c:v>
                </c:pt>
                <c:pt idx="5">
                  <c:v>0.89581525000000006</c:v>
                </c:pt>
                <c:pt idx="6">
                  <c:v>0.89606224999999995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AB-4504-B42A-5BAF17340D85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ETH'!$H$28,'q_max=110 eta (0.002, 0.2) ETH'!$H$116,'q_max=110 eta (0.002, 0.2) ETH'!$H$204,'q_max=110 eta (0.002, 0.2) ETH'!$H$292,'q_max=110 eta (0.002, 0.2) ETH'!$H$380,'q_max=110 eta (0.002, 0.2) ETH'!$H$468,'q_max=110 eta (0.002, 0.2) ETH'!$H$556)</c:f>
              <c:numCache>
                <c:formatCode>General</c:formatCode>
                <c:ptCount val="7"/>
                <c:pt idx="0">
                  <c:v>0.90271650000000003</c:v>
                </c:pt>
                <c:pt idx="1">
                  <c:v>0.89990375000000011</c:v>
                </c:pt>
                <c:pt idx="2">
                  <c:v>0.89919424999999997</c:v>
                </c:pt>
                <c:pt idx="3">
                  <c:v>0.89863825000000008</c:v>
                </c:pt>
                <c:pt idx="4">
                  <c:v>0.89778325000000003</c:v>
                </c:pt>
                <c:pt idx="5">
                  <c:v>0.89790649999999994</c:v>
                </c:pt>
                <c:pt idx="6">
                  <c:v>0.89711650000000009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AB-4504-B42A-5BAF17340D85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('q_max=110 eta (0.002, 0.2) ETH'!$J$76,'q_max=110 eta (0.002, 0.2) ETH'!$J$164,'q_max=110 eta (0.002, 0.2) ETH'!$J$252,'q_max=110 eta (0.002, 0.2) ETH'!$J$340,'q_max=110 eta (0.002, 0.2) ETH'!$J$428,'q_max=110 eta (0.002, 0.2) ETH'!$J$516,'q_max=110 eta (0.002, 0.2) ETH'!$J$604)</c:f>
                <c:numCache>
                  <c:formatCode>General</c:formatCode>
                  <c:ptCount val="7"/>
                  <c:pt idx="0">
                    <c:v>1.9294306268625615E-2</c:v>
                  </c:pt>
                  <c:pt idx="1">
                    <c:v>2.0953224207675709E-2</c:v>
                  </c:pt>
                  <c:pt idx="2">
                    <c:v>2.3353649701156925E-2</c:v>
                  </c:pt>
                  <c:pt idx="3">
                    <c:v>2.6714431679343332E-2</c:v>
                  </c:pt>
                  <c:pt idx="4">
                    <c:v>2.7863890623684419E-2</c:v>
                  </c:pt>
                  <c:pt idx="5">
                    <c:v>2.8651522020439791E-2</c:v>
                  </c:pt>
                  <c:pt idx="6">
                    <c:v>2.8856817381958392E-2</c:v>
                  </c:pt>
                </c:numCache>
              </c:numRef>
            </c:plus>
            <c:minus>
              <c:numRef>
                <c:f>('q_max=110 eta (0.002, 0.2) ETH'!$J$76,'q_max=110 eta (0.002, 0.2) ETH'!$J$164,'q_max=110 eta (0.002, 0.2) ETH'!$J$252,'q_max=110 eta (0.002, 0.2) ETH'!$J$340,'q_max=110 eta (0.002, 0.2) ETH'!$J$428,'q_max=110 eta (0.002, 0.2) ETH'!$J$516,'q_max=110 eta (0.002, 0.2) ETH'!$J$604)</c:f>
                <c:numCache>
                  <c:formatCode>General</c:formatCode>
                  <c:ptCount val="7"/>
                  <c:pt idx="0">
                    <c:v>1.9294306268625615E-2</c:v>
                  </c:pt>
                  <c:pt idx="1">
                    <c:v>2.0953224207675709E-2</c:v>
                  </c:pt>
                  <c:pt idx="2">
                    <c:v>2.3353649701156925E-2</c:v>
                  </c:pt>
                  <c:pt idx="3">
                    <c:v>2.6714431679343332E-2</c:v>
                  </c:pt>
                  <c:pt idx="4">
                    <c:v>2.7863890623684419E-2</c:v>
                  </c:pt>
                  <c:pt idx="5">
                    <c:v>2.8651522020439791E-2</c:v>
                  </c:pt>
                  <c:pt idx="6">
                    <c:v>2.8856817381958392E-2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ETH'!$H$76,'q_max=110 eta (0.002, 0.2) ETH'!$H$164,'q_max=110 eta (0.002, 0.2) ETH'!$H$252,'q_max=110 eta (0.002, 0.2) ETH'!$H$340,'q_max=110 eta (0.002, 0.2) ETH'!$H$428,'q_max=110 eta (0.002, 0.2) ETH'!$H$516,'q_max=110 eta (0.002, 0.2) ETH'!$H$604)</c:f>
              <c:numCache>
                <c:formatCode>General</c:formatCode>
                <c:ptCount val="7"/>
                <c:pt idx="0">
                  <c:v>0.90252949999999998</c:v>
                </c:pt>
                <c:pt idx="1">
                  <c:v>0.89691924999999995</c:v>
                </c:pt>
                <c:pt idx="2">
                  <c:v>0.89428974999999999</c:v>
                </c:pt>
                <c:pt idx="3">
                  <c:v>0.89421274999999989</c:v>
                </c:pt>
                <c:pt idx="4">
                  <c:v>0.89116974999999998</c:v>
                </c:pt>
                <c:pt idx="5">
                  <c:v>0.89074799999999998</c:v>
                </c:pt>
                <c:pt idx="6">
                  <c:v>0.89045099999999999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AB-4504-B42A-5BAF17340D8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ETH'!$H$86,'q_max=110 eta (0.002, 0.2) ETH'!$H$174,'q_max=110 eta (0.002, 0.2) ETH'!$H$262,'q_max=110 eta (0.002, 0.2) ETH'!$H$350,'q_max=110 eta (0.002, 0.2) ETH'!$H$438,'q_max=110 eta (0.002, 0.2) ETH'!$H$526,'q_max=110 eta (0.002, 0.2) ETH'!$H$614)</c:f>
              <c:numCache>
                <c:formatCode>General</c:formatCode>
                <c:ptCount val="7"/>
                <c:pt idx="0">
                  <c:v>0.90370325000000007</c:v>
                </c:pt>
                <c:pt idx="1">
                  <c:v>0.90110299999999999</c:v>
                </c:pt>
                <c:pt idx="2">
                  <c:v>0.90029124999999999</c:v>
                </c:pt>
                <c:pt idx="3">
                  <c:v>0.89921375000000003</c:v>
                </c:pt>
                <c:pt idx="4">
                  <c:v>0.89786450000000007</c:v>
                </c:pt>
                <c:pt idx="5">
                  <c:v>0.89647599999999994</c:v>
                </c:pt>
                <c:pt idx="6">
                  <c:v>0.89529700000000001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AB-4504-B42A-5BAF17340D8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ETH'!$H$48,'q_max=110 eta (0.002, 0.2) ETH'!$H$136,'q_max=110 eta (0.002, 0.2) ETH'!$H$224,'q_max=110 eta (0.002, 0.2) ETH'!$H$312,'q_max=110 eta (0.002, 0.2) ETH'!$H$400,'q_max=110 eta (0.002, 0.2) ETH'!$H$488,'q_max=110 eta (0.002, 0.2) ETH'!$H$576)</c:f>
              <c:numCache>
                <c:formatCode>General</c:formatCode>
                <c:ptCount val="7"/>
                <c:pt idx="0">
                  <c:v>0.89161174999999993</c:v>
                </c:pt>
                <c:pt idx="1">
                  <c:v>0.88789275000000001</c:v>
                </c:pt>
                <c:pt idx="2">
                  <c:v>0.88747399999999999</c:v>
                </c:pt>
                <c:pt idx="3">
                  <c:v>0.88603425000000002</c:v>
                </c:pt>
                <c:pt idx="4">
                  <c:v>0.88597000000000004</c:v>
                </c:pt>
                <c:pt idx="5">
                  <c:v>0.88500299999999998</c:v>
                </c:pt>
                <c:pt idx="6">
                  <c:v>0.88457975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AB-4504-B42A-5BAF17340D8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ETH'!$H$58,'q_max=110 eta (0.002, 0.2) ETH'!$H$146,'q_max=110 eta (0.002, 0.2) ETH'!$H$234,'q_max=110 eta (0.002, 0.2) ETH'!$H$322,'q_max=110 eta (0.002, 0.2) ETH'!$H$410,'q_max=110 eta (0.002, 0.2) ETH'!$H$498,'q_max=110 eta (0.002, 0.2) ETH'!$H$586)</c:f>
              <c:numCache>
                <c:formatCode>General</c:formatCode>
                <c:ptCount val="7"/>
                <c:pt idx="0">
                  <c:v>0.90267850000000005</c:v>
                </c:pt>
                <c:pt idx="1">
                  <c:v>0.90007650000000006</c:v>
                </c:pt>
                <c:pt idx="2">
                  <c:v>0.89607850000000011</c:v>
                </c:pt>
                <c:pt idx="3">
                  <c:v>0.89300400000000002</c:v>
                </c:pt>
                <c:pt idx="4">
                  <c:v>0.89024700000000001</c:v>
                </c:pt>
                <c:pt idx="5">
                  <c:v>0.89037975000000003</c:v>
                </c:pt>
                <c:pt idx="6">
                  <c:v>0.88865274999999999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AB-4504-B42A-5BAF17340D85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'q_max=110 eta (0.002, 0.2) ETH'!$N$633:$N$639</c:f>
              <c:numCache>
                <c:formatCode>General</c:formatCode>
                <c:ptCount val="7"/>
                <c:pt idx="0">
                  <c:v>0.314</c:v>
                </c:pt>
                <c:pt idx="1">
                  <c:v>0.628</c:v>
                </c:pt>
                <c:pt idx="2">
                  <c:v>0.94199999999999995</c:v>
                </c:pt>
                <c:pt idx="3">
                  <c:v>1.256</c:v>
                </c:pt>
                <c:pt idx="4">
                  <c:v>1.57</c:v>
                </c:pt>
                <c:pt idx="5">
                  <c:v>1.8839999999999999</c:v>
                </c:pt>
                <c:pt idx="6">
                  <c:v>2.198</c:v>
                </c:pt>
              </c:numCache>
            </c:numRef>
          </c:xVal>
          <c:yVal>
            <c:numRef>
              <c:f>('q_max=110 eta (0.002, 0.2) ETH'!$H$91,'q_max=110 eta (0.002, 0.2) ETH'!$H$179,'q_max=110 eta (0.002, 0.2) ETH'!$H$267,'q_max=110 eta (0.002, 0.2) ETH'!$H$355,'q_max=110 eta (0.002, 0.2) ETH'!$H$443,'q_max=110 eta (0.002, 0.2) ETH'!$H$531,'q_max=110 eta (0.002, 0.2) ETH'!$H$619)</c:f>
              <c:numCache>
                <c:formatCode>General</c:formatCode>
                <c:ptCount val="7"/>
                <c:pt idx="0">
                  <c:v>0.89741300000000002</c:v>
                </c:pt>
                <c:pt idx="1">
                  <c:v>0.85531699999999999</c:v>
                </c:pt>
                <c:pt idx="2">
                  <c:v>0.83198649999999996</c:v>
                </c:pt>
                <c:pt idx="3">
                  <c:v>0.81965600000000005</c:v>
                </c:pt>
                <c:pt idx="4">
                  <c:v>0.82532349999999999</c:v>
                </c:pt>
                <c:pt idx="5">
                  <c:v>0.84443900000000005</c:v>
                </c:pt>
                <c:pt idx="6">
                  <c:v>0.86382349999999997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AB-4504-B42A-5BAF1734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6"/>
                <c:tx>
                  <c:v>No prediction</c:v>
                </c:tx>
                <c:spPr>
                  <a:ln w="19050" cap="rnd">
                    <a:solidFill>
                      <a:srgbClr val="000000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000000"/>
                    </a:solidFill>
                    <a:ln w="19050">
                      <a:noFill/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'q_max=110 eta (0.002, 0.2) ETH'!$N$633:$N$639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0.314</c:v>
                      </c:pt>
                      <c:pt idx="1">
                        <c:v>0.628</c:v>
                      </c:pt>
                      <c:pt idx="2">
                        <c:v>0.94199999999999995</c:v>
                      </c:pt>
                      <c:pt idx="3">
                        <c:v>1.256</c:v>
                      </c:pt>
                      <c:pt idx="4">
                        <c:v>1.57</c:v>
                      </c:pt>
                      <c:pt idx="5">
                        <c:v>1.8839999999999999</c:v>
                      </c:pt>
                      <c:pt idx="6">
                        <c:v>2.198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('q_max=110 eta (0.002, 0.2) ETH'!$H$81,'q_max=110 eta (0.002, 0.2) ETH'!$H$169,'q_max=110 eta (0.002, 0.2) ETH'!$H$257,'q_max=110 eta (0.002, 0.2) ETH'!$H$345,'q_max=110 eta (0.002, 0.2) ETH'!$H$433,'q_max=110 eta (0.002, 0.2) ETH'!$H$521,'q_max=110 eta (0.002, 0.2) ETH'!$H$609)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0.88050675</c:v>
                      </c:pt>
                      <c:pt idx="1">
                        <c:v>0.86503350000000001</c:v>
                      </c:pt>
                      <c:pt idx="2">
                        <c:v>0.85692199999999996</c:v>
                      </c:pt>
                      <c:pt idx="3">
                        <c:v>0.85041199999999995</c:v>
                      </c:pt>
                      <c:pt idx="4">
                        <c:v>0.85205825000000002</c:v>
                      </c:pt>
                      <c:pt idx="5">
                        <c:v>0.85456774999999996</c:v>
                      </c:pt>
                      <c:pt idx="6">
                        <c:v>0.86210774999999995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B8AB-4504-B42A-5BAF17340D85}"/>
                  </c:ext>
                </c:extLst>
              </c15:ser>
            </c15:filteredScatterSeries>
          </c:ext>
        </c:extLst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90400000000000003"/>
          <c:min val="0.884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image'!$L$8,'Magdeburg dataset full image'!$L$96,'Magdeburg dataset full image'!$L$184,'Magdeburg dataset full image'!$L$272,'Magdeburg dataset full image'!$L$360,'Magdeburg dataset full image'!$L$448,'Magdeburg dataset full image'!$L$536,'Magdeburg dataset full image'!$L$624,'Magdeburg dataset full image'!$L$712,'Magdeburg dataset full image'!$L$800,'Magdeburg dataset full image'!$L$888,'Magdeburg dataset full image'!$L$976,'Magdeburg dataset full image'!$L$1064)</c:f>
              <c:numCache>
                <c:formatCode>General</c:formatCode>
                <c:ptCount val="13"/>
                <c:pt idx="0">
                  <c:v>0.66872162499999999</c:v>
                </c:pt>
                <c:pt idx="1">
                  <c:v>0.66408699999999998</c:v>
                </c:pt>
                <c:pt idx="2">
                  <c:v>0.66125350000000005</c:v>
                </c:pt>
                <c:pt idx="3">
                  <c:v>0.66121687500000004</c:v>
                </c:pt>
                <c:pt idx="4">
                  <c:v>0.6602905</c:v>
                </c:pt>
                <c:pt idx="5">
                  <c:v>0.65972712499999997</c:v>
                </c:pt>
                <c:pt idx="6">
                  <c:v>0.65732475000000001</c:v>
                </c:pt>
                <c:pt idx="7">
                  <c:v>0.65773737499999996</c:v>
                </c:pt>
                <c:pt idx="8">
                  <c:v>0.65863237500000005</c:v>
                </c:pt>
                <c:pt idx="9">
                  <c:v>0.65698887499999992</c:v>
                </c:pt>
                <c:pt idx="10">
                  <c:v>0.65972487499999999</c:v>
                </c:pt>
                <c:pt idx="11">
                  <c:v>0.65898299999999999</c:v>
                </c:pt>
                <c:pt idx="12">
                  <c:v>0.6596883750000001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47E-4270-838F-1BA30213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image'!$L$18,'Magdeburg dataset full image'!$L$106,'Magdeburg dataset full image'!$L$194,'Magdeburg dataset full image'!$L$282,'Magdeburg dataset full image'!$L$370,'Magdeburg dataset full image'!$L$458,'Magdeburg dataset full image'!$L$546,'Magdeburg dataset full image'!$L$634,'Magdeburg dataset full image'!$L$722,'Magdeburg dataset full image'!$L$810,'Magdeburg dataset full image'!$L$898,'Magdeburg dataset full image'!$L$986,'Magdeburg dataset full image'!$L$1074)</c:f>
              <c:numCache>
                <c:formatCode>General</c:formatCode>
                <c:ptCount val="13"/>
                <c:pt idx="0">
                  <c:v>0.66091450000000018</c:v>
                </c:pt>
                <c:pt idx="1">
                  <c:v>0.65659699999999999</c:v>
                </c:pt>
                <c:pt idx="2">
                  <c:v>0.65664262500000015</c:v>
                </c:pt>
                <c:pt idx="3">
                  <c:v>0.65599724999999998</c:v>
                </c:pt>
                <c:pt idx="4">
                  <c:v>0.65505737499999994</c:v>
                </c:pt>
                <c:pt idx="5">
                  <c:v>0.65478012500000005</c:v>
                </c:pt>
                <c:pt idx="6">
                  <c:v>0.65227674999999996</c:v>
                </c:pt>
                <c:pt idx="7">
                  <c:v>0.65367975</c:v>
                </c:pt>
                <c:pt idx="8">
                  <c:v>0.65472112500000001</c:v>
                </c:pt>
                <c:pt idx="9">
                  <c:v>0.65365337500000009</c:v>
                </c:pt>
                <c:pt idx="10">
                  <c:v>0.65418524999999983</c:v>
                </c:pt>
                <c:pt idx="11">
                  <c:v>0.65578024999999995</c:v>
                </c:pt>
                <c:pt idx="12">
                  <c:v>0.656366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E-4270-838F-1BA302130165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image'!$L$38,'Magdeburg dataset full image'!$L$126,'Magdeburg dataset full image'!$L$214,'Magdeburg dataset full image'!$L$302,'Magdeburg dataset full image'!$L$390,'Magdeburg dataset full image'!$L$478,'Magdeburg dataset full image'!$L$566,'Magdeburg dataset full image'!$L$654,'Magdeburg dataset full image'!$L$742,'Magdeburg dataset full image'!$L$830,'Magdeburg dataset full image'!$L$918,'Magdeburg dataset full image'!$L$1006,'Magdeburg dataset full image'!$L$1094)</c:f>
              <c:numCache>
                <c:formatCode>General</c:formatCode>
                <c:ptCount val="13"/>
                <c:pt idx="0">
                  <c:v>0.657871125</c:v>
                </c:pt>
                <c:pt idx="1">
                  <c:v>0.65839775</c:v>
                </c:pt>
                <c:pt idx="2">
                  <c:v>0.65564287499999996</c:v>
                </c:pt>
                <c:pt idx="3">
                  <c:v>0.65615237500000001</c:v>
                </c:pt>
                <c:pt idx="4">
                  <c:v>0.65564287499999996</c:v>
                </c:pt>
                <c:pt idx="5">
                  <c:v>0.65244950000000002</c:v>
                </c:pt>
                <c:pt idx="6">
                  <c:v>0.65393587499999994</c:v>
                </c:pt>
                <c:pt idx="7">
                  <c:v>0.65430687499999995</c:v>
                </c:pt>
                <c:pt idx="8">
                  <c:v>0.65106074999999997</c:v>
                </c:pt>
                <c:pt idx="9">
                  <c:v>0.65234787500000002</c:v>
                </c:pt>
                <c:pt idx="10">
                  <c:v>0.65167549999999996</c:v>
                </c:pt>
                <c:pt idx="11">
                  <c:v>0.65364337499999992</c:v>
                </c:pt>
                <c:pt idx="12">
                  <c:v>0.65345449999999994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E-4270-838F-1BA302130165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image'!$L$28,'Magdeburg dataset full image'!$L$116,'Magdeburg dataset full image'!$L$204,'Magdeburg dataset full image'!$L$292,'Magdeburg dataset full image'!$L$380,'Magdeburg dataset full image'!$L$468,'Magdeburg dataset full image'!$L$556,'Magdeburg dataset full image'!$L$644,'Magdeburg dataset full image'!$L$732,'Magdeburg dataset full image'!$L$820,'Magdeburg dataset full image'!$L$908,'Magdeburg dataset full image'!$L$996,'Magdeburg dataset full image'!$L$1084)</c:f>
              <c:numCache>
                <c:formatCode>General</c:formatCode>
                <c:ptCount val="13"/>
                <c:pt idx="0">
                  <c:v>0.66918012500000001</c:v>
                </c:pt>
                <c:pt idx="1">
                  <c:v>0.66507374999999991</c:v>
                </c:pt>
                <c:pt idx="2">
                  <c:v>0.66200487499999994</c:v>
                </c:pt>
                <c:pt idx="3">
                  <c:v>0.66044225000000001</c:v>
                </c:pt>
                <c:pt idx="4">
                  <c:v>0.65964912499999995</c:v>
                </c:pt>
                <c:pt idx="5">
                  <c:v>0.65837275000000006</c:v>
                </c:pt>
                <c:pt idx="6">
                  <c:v>0.65772074999999997</c:v>
                </c:pt>
                <c:pt idx="7">
                  <c:v>0.65717875000000003</c:v>
                </c:pt>
                <c:pt idx="8">
                  <c:v>0.65771812500000015</c:v>
                </c:pt>
                <c:pt idx="9">
                  <c:v>0.65736250000000007</c:v>
                </c:pt>
                <c:pt idx="10">
                  <c:v>0.65614075000000005</c:v>
                </c:pt>
                <c:pt idx="11">
                  <c:v>0.65735762500000017</c:v>
                </c:pt>
                <c:pt idx="12">
                  <c:v>0.65669837499999995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E-4270-838F-1BA302130165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image'!$L$76,'Magdeburg dataset full image'!$L$164,'Magdeburg dataset full image'!$L$252,'Magdeburg dataset full image'!$L$340,'Magdeburg dataset full image'!$L$428,'Magdeburg dataset full image'!$L$516,'Magdeburg dataset full image'!$L$604,'Magdeburg dataset full image'!$L$692,'Magdeburg dataset full image'!$L$780,'Magdeburg dataset full image'!$L$868,'Magdeburg dataset full image'!$L$956,'Magdeburg dataset full image'!$L$1044,'Magdeburg dataset full image'!$L$1132)</c:f>
              <c:numCache>
                <c:formatCode>General</c:formatCode>
                <c:ptCount val="13"/>
                <c:pt idx="0">
                  <c:v>0.678936875</c:v>
                </c:pt>
                <c:pt idx="1">
                  <c:v>0.67275337499999999</c:v>
                </c:pt>
                <c:pt idx="2">
                  <c:v>0.66471487499999993</c:v>
                </c:pt>
                <c:pt idx="3">
                  <c:v>0.65705374999999999</c:v>
                </c:pt>
                <c:pt idx="4">
                  <c:v>0.65195562500000004</c:v>
                </c:pt>
                <c:pt idx="5">
                  <c:v>0.64758987499999998</c:v>
                </c:pt>
                <c:pt idx="6">
                  <c:v>0.64423837499999992</c:v>
                </c:pt>
                <c:pt idx="7">
                  <c:v>0.64337962500000001</c:v>
                </c:pt>
                <c:pt idx="8">
                  <c:v>0.64194562499999996</c:v>
                </c:pt>
                <c:pt idx="9">
                  <c:v>0.6412270000000001</c:v>
                </c:pt>
                <c:pt idx="10">
                  <c:v>0.63937500000000014</c:v>
                </c:pt>
                <c:pt idx="11">
                  <c:v>0.63894000000000006</c:v>
                </c:pt>
                <c:pt idx="12">
                  <c:v>0.64020850000000007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E-4270-838F-1BA30213016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image'!$L$86,'Magdeburg dataset full image'!$L$174,'Magdeburg dataset full image'!$L$262,'Magdeburg dataset full image'!$L$350,'Magdeburg dataset full image'!$L$438,'Magdeburg dataset full image'!$L$526,'Magdeburg dataset full image'!$L$614,'Magdeburg dataset full image'!$L$702,'Magdeburg dataset full image'!$L$790,'Magdeburg dataset full image'!$L$878,'Magdeburg dataset full image'!$L$966,'Magdeburg dataset full image'!$L$1054,'Magdeburg dataset full image'!$L$1142)</c:f>
              <c:numCache>
                <c:formatCode>General</c:formatCode>
                <c:ptCount val="13"/>
                <c:pt idx="0">
                  <c:v>0.66799987500000013</c:v>
                </c:pt>
                <c:pt idx="1">
                  <c:v>0.66318050000000006</c:v>
                </c:pt>
                <c:pt idx="2">
                  <c:v>0.65897237499999994</c:v>
                </c:pt>
                <c:pt idx="3">
                  <c:v>0.65683875000000003</c:v>
                </c:pt>
                <c:pt idx="4">
                  <c:v>0.654817125</c:v>
                </c:pt>
                <c:pt idx="5">
                  <c:v>0.65429187499999997</c:v>
                </c:pt>
                <c:pt idx="6">
                  <c:v>0.65412387499999991</c:v>
                </c:pt>
                <c:pt idx="7">
                  <c:v>0.65341724999999995</c:v>
                </c:pt>
                <c:pt idx="8">
                  <c:v>0.65321262499999999</c:v>
                </c:pt>
                <c:pt idx="9">
                  <c:v>0.65381725000000002</c:v>
                </c:pt>
                <c:pt idx="10">
                  <c:v>0.65233675000000002</c:v>
                </c:pt>
                <c:pt idx="11">
                  <c:v>0.65429599999999999</c:v>
                </c:pt>
                <c:pt idx="12">
                  <c:v>0.65421937500000005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E-4270-838F-1BA302130165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image'!$L$81,'Magdeburg dataset full image'!$L$169,'Magdeburg dataset full image'!$L$257,'Magdeburg dataset full image'!$L$345,'Magdeburg dataset full image'!$L$433,'Magdeburg dataset full image'!$L$521,'Magdeburg dataset full image'!$L$609,'Magdeburg dataset full image'!$L$697,'Magdeburg dataset full image'!$L$785,'Magdeburg dataset full image'!$L$873,'Magdeburg dataset full image'!$L$961,'Magdeburg dataset full image'!$L$1049,'Magdeburg dataset full image'!$L$1137)</c:f>
              <c:numCache>
                <c:formatCode>General</c:formatCode>
                <c:ptCount val="13"/>
                <c:pt idx="0">
                  <c:v>0.66800000000000004</c:v>
                </c:pt>
                <c:pt idx="1">
                  <c:v>0.65145525000000004</c:v>
                </c:pt>
                <c:pt idx="2">
                  <c:v>0.63626037499999999</c:v>
                </c:pt>
                <c:pt idx="3">
                  <c:v>0.62405612500000007</c:v>
                </c:pt>
                <c:pt idx="4">
                  <c:v>0.61462424999999998</c:v>
                </c:pt>
                <c:pt idx="5">
                  <c:v>0.60672187499999997</c:v>
                </c:pt>
                <c:pt idx="6">
                  <c:v>0.60053575000000003</c:v>
                </c:pt>
                <c:pt idx="7">
                  <c:v>0.59573349999999992</c:v>
                </c:pt>
                <c:pt idx="8">
                  <c:v>0.59236537499999997</c:v>
                </c:pt>
                <c:pt idx="9">
                  <c:v>0.58983000000000008</c:v>
                </c:pt>
                <c:pt idx="10">
                  <c:v>0.58808099999999985</c:v>
                </c:pt>
                <c:pt idx="11">
                  <c:v>0.58779425000000007</c:v>
                </c:pt>
                <c:pt idx="12">
                  <c:v>0.58855124999999986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47E-4270-838F-1BA30213016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image'!$L$48,'Magdeburg dataset full image'!$L$136,'Magdeburg dataset full image'!$L$224,'Magdeburg dataset full image'!$L$312,'Magdeburg dataset full image'!$L$400,'Magdeburg dataset full image'!$L$488,'Magdeburg dataset full image'!$L$576,'Magdeburg dataset full image'!$L$664,'Magdeburg dataset full image'!$L$752,'Magdeburg dataset full image'!$L$840,'Magdeburg dataset full image'!$L$928,'Magdeburg dataset full image'!$L$1016,'Magdeburg dataset full image'!$L$1104)</c:f>
              <c:numCache>
                <c:formatCode>General</c:formatCode>
                <c:ptCount val="13"/>
                <c:pt idx="0">
                  <c:v>0.65610399999999991</c:v>
                </c:pt>
                <c:pt idx="1">
                  <c:v>0.65251124999999999</c:v>
                </c:pt>
                <c:pt idx="2">
                  <c:v>0.6499935</c:v>
                </c:pt>
                <c:pt idx="3">
                  <c:v>0.64745787500000007</c:v>
                </c:pt>
                <c:pt idx="4">
                  <c:v>0.64555249999999997</c:v>
                </c:pt>
                <c:pt idx="5">
                  <c:v>0.64455962499999997</c:v>
                </c:pt>
                <c:pt idx="6">
                  <c:v>0.64402662499999996</c:v>
                </c:pt>
                <c:pt idx="7">
                  <c:v>0.64348737499999997</c:v>
                </c:pt>
                <c:pt idx="8">
                  <c:v>0.64325162499999999</c:v>
                </c:pt>
                <c:pt idx="9">
                  <c:v>0.642618625</c:v>
                </c:pt>
                <c:pt idx="10">
                  <c:v>0.64180312499999992</c:v>
                </c:pt>
                <c:pt idx="11">
                  <c:v>0.64251499999999995</c:v>
                </c:pt>
                <c:pt idx="12">
                  <c:v>0.64203862500000008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7E-4270-838F-1BA30213016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image'!$L$58,'Magdeburg dataset full image'!$L$146,'Magdeburg dataset full image'!$L$234,'Magdeburg dataset full image'!$L$322,'Magdeburg dataset full image'!$L$410,'Magdeburg dataset full image'!$L$498,'Magdeburg dataset full image'!$L$586,'Magdeburg dataset full image'!$L$674,'Magdeburg dataset full image'!$L$762,'Magdeburg dataset full image'!$L$850,'Magdeburg dataset full image'!$L$938,'Magdeburg dataset full image'!$L$1026,'Magdeburg dataset full image'!$L$1114)</c:f>
              <c:numCache>
                <c:formatCode>General</c:formatCode>
                <c:ptCount val="13"/>
                <c:pt idx="0">
                  <c:v>0.67535999999999996</c:v>
                </c:pt>
                <c:pt idx="1">
                  <c:v>0.66814762500000002</c:v>
                </c:pt>
                <c:pt idx="2">
                  <c:v>0.66211350000000002</c:v>
                </c:pt>
                <c:pt idx="3">
                  <c:v>0.65312387500000002</c:v>
                </c:pt>
                <c:pt idx="4">
                  <c:v>0.65071374999999987</c:v>
                </c:pt>
                <c:pt idx="5">
                  <c:v>0.64756037500000008</c:v>
                </c:pt>
                <c:pt idx="6">
                  <c:v>0.64472275000000001</c:v>
                </c:pt>
                <c:pt idx="7">
                  <c:v>0.641656</c:v>
                </c:pt>
                <c:pt idx="8">
                  <c:v>0.64099637499999995</c:v>
                </c:pt>
                <c:pt idx="9">
                  <c:v>0.63934537499999988</c:v>
                </c:pt>
                <c:pt idx="10">
                  <c:v>0.64009062500000002</c:v>
                </c:pt>
                <c:pt idx="11">
                  <c:v>0.63619162500000004</c:v>
                </c:pt>
                <c:pt idx="12">
                  <c:v>0.63440074999999996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5-4645-AAB3-6AF30C87EF66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image'!$L$91,'Magdeburg dataset full image'!$L$179,'Magdeburg dataset full image'!$L$267,'Magdeburg dataset full image'!$L$355,'Magdeburg dataset full image'!$L$443,'Magdeburg dataset full image'!$L$531,'Magdeburg dataset full image'!$L$619,'Magdeburg dataset full image'!$L$707,'Magdeburg dataset full image'!$L$795,'Magdeburg dataset full image'!$L$883,'Magdeburg dataset full image'!$L$971,'Magdeburg dataset full image'!$L$1059,'Magdeburg dataset full image'!$L$1147)</c:f>
              <c:numCache>
                <c:formatCode>General</c:formatCode>
                <c:ptCount val="13"/>
                <c:pt idx="0">
                  <c:v>0.72325050000000002</c:v>
                </c:pt>
                <c:pt idx="1">
                  <c:v>0.67987924999999994</c:v>
                </c:pt>
                <c:pt idx="2">
                  <c:v>0.64762175</c:v>
                </c:pt>
                <c:pt idx="3">
                  <c:v>0.6255155</c:v>
                </c:pt>
                <c:pt idx="4">
                  <c:v>0.6115901250000001</c:v>
                </c:pt>
                <c:pt idx="5">
                  <c:v>0.5974235</c:v>
                </c:pt>
                <c:pt idx="6">
                  <c:v>0.58746612499999995</c:v>
                </c:pt>
                <c:pt idx="7">
                  <c:v>0.57964424999999997</c:v>
                </c:pt>
                <c:pt idx="8">
                  <c:v>0.57497649999999989</c:v>
                </c:pt>
                <c:pt idx="9">
                  <c:v>0.57223400000000002</c:v>
                </c:pt>
                <c:pt idx="10">
                  <c:v>0.57025787500000003</c:v>
                </c:pt>
                <c:pt idx="11">
                  <c:v>0.57078200000000012</c:v>
                </c:pt>
                <c:pt idx="12">
                  <c:v>0.57359637499999994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9-4577-9B6F-02F65F59B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in val="0.63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image'!$L$4,'Magdeburg dataset full image'!$L$92,'Magdeburg dataset full image'!$L$180,'Magdeburg dataset full image'!$L$268,'Magdeburg dataset full image'!$L$356,'Magdeburg dataset full image'!$L$444,'Magdeburg dataset full image'!$L$532,'Magdeburg dataset full image'!$L$620,'Magdeburg dataset full image'!$L$708,'Magdeburg dataset full image'!$L$796,'Magdeburg dataset full image'!$L$884,'Magdeburg dataset full image'!$L$972,'Magdeburg dataset full image'!$L$1060)</c:f>
              <c:numCache>
                <c:formatCode>General</c:formatCode>
                <c:ptCount val="13"/>
                <c:pt idx="0">
                  <c:v>0.94593187499999998</c:v>
                </c:pt>
                <c:pt idx="1">
                  <c:v>0.94369362499999987</c:v>
                </c:pt>
                <c:pt idx="2">
                  <c:v>0.94252437500000008</c:v>
                </c:pt>
                <c:pt idx="3">
                  <c:v>0.94233187499999993</c:v>
                </c:pt>
                <c:pt idx="4">
                  <c:v>0.942063875</c:v>
                </c:pt>
                <c:pt idx="5">
                  <c:v>0.94145187500000005</c:v>
                </c:pt>
                <c:pt idx="6">
                  <c:v>0.94009550000000008</c:v>
                </c:pt>
                <c:pt idx="7">
                  <c:v>0.94027087499999995</c:v>
                </c:pt>
                <c:pt idx="8">
                  <c:v>0.94133500000000003</c:v>
                </c:pt>
                <c:pt idx="9">
                  <c:v>0.94044712499999994</c:v>
                </c:pt>
                <c:pt idx="10">
                  <c:v>0.94175762500000004</c:v>
                </c:pt>
                <c:pt idx="11">
                  <c:v>0.94147062499999989</c:v>
                </c:pt>
                <c:pt idx="12">
                  <c:v>0.94175137499999995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1DF4-463E-9B5E-A716323CAFDE}"/>
            </c:ext>
          </c:extLst>
        </c:ser>
        <c:ser>
          <c:idx val="2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image'!$L$14,'Magdeburg dataset full image'!$L$102,'Magdeburg dataset full image'!$L$190,'Magdeburg dataset full image'!$L$278,'Magdeburg dataset full image'!$L$366,'Magdeburg dataset full image'!$L$454,'Magdeburg dataset full image'!$L$542,'Magdeburg dataset full image'!$L$630,'Magdeburg dataset full image'!$L$718,'Magdeburg dataset full image'!$L$806,'Magdeburg dataset full image'!$L$894,'Magdeburg dataset full image'!$L$982,'Magdeburg dataset full image'!$L$1070)</c:f>
              <c:numCache>
                <c:formatCode>General</c:formatCode>
                <c:ptCount val="13"/>
                <c:pt idx="0">
                  <c:v>0.94171625000000003</c:v>
                </c:pt>
                <c:pt idx="1">
                  <c:v>0.93989637500000001</c:v>
                </c:pt>
                <c:pt idx="2">
                  <c:v>0.93969212499999988</c:v>
                </c:pt>
                <c:pt idx="3">
                  <c:v>0.93964962499999993</c:v>
                </c:pt>
                <c:pt idx="4">
                  <c:v>0.93911287500000007</c:v>
                </c:pt>
                <c:pt idx="5">
                  <c:v>0.93905999999999989</c:v>
                </c:pt>
                <c:pt idx="6">
                  <c:v>0.93767212499999997</c:v>
                </c:pt>
                <c:pt idx="7">
                  <c:v>0.938838375</c:v>
                </c:pt>
                <c:pt idx="8">
                  <c:v>0.93915312500000003</c:v>
                </c:pt>
                <c:pt idx="9">
                  <c:v>0.93869874999999992</c:v>
                </c:pt>
                <c:pt idx="10">
                  <c:v>0.93892624999999996</c:v>
                </c:pt>
                <c:pt idx="11">
                  <c:v>0.93958450000000004</c:v>
                </c:pt>
                <c:pt idx="12">
                  <c:v>0.93947375000000011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4-463E-9B5E-A716323CAFDE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image'!$L$34,'Magdeburg dataset full image'!$L$122,'Magdeburg dataset full image'!$L$210,'Magdeburg dataset full image'!$L$298,'Magdeburg dataset full image'!$L$386,'Magdeburg dataset full image'!$L$474,'Magdeburg dataset full image'!$L$562,'Magdeburg dataset full image'!$L$650,'Magdeburg dataset full image'!$L$738,'Magdeburg dataset full image'!$L$826,'Magdeburg dataset full image'!$L$914,'Magdeburg dataset full image'!$L$1002,'Magdeburg dataset full image'!$L$1090)</c:f>
              <c:numCache>
                <c:formatCode>General</c:formatCode>
                <c:ptCount val="13"/>
                <c:pt idx="0">
                  <c:v>0.94084212499999997</c:v>
                </c:pt>
                <c:pt idx="1">
                  <c:v>0.94123299999999999</c:v>
                </c:pt>
                <c:pt idx="2">
                  <c:v>0.9400099999999999</c:v>
                </c:pt>
                <c:pt idx="3">
                  <c:v>0.94036212499999994</c:v>
                </c:pt>
                <c:pt idx="4">
                  <c:v>0.94020075000000003</c:v>
                </c:pt>
                <c:pt idx="5">
                  <c:v>0.93844799999999995</c:v>
                </c:pt>
                <c:pt idx="6">
                  <c:v>0.9394906249999998</c:v>
                </c:pt>
                <c:pt idx="7">
                  <c:v>0.93921712499999999</c:v>
                </c:pt>
                <c:pt idx="8">
                  <c:v>0.93802599999999992</c:v>
                </c:pt>
                <c:pt idx="9">
                  <c:v>0.93860337499999991</c:v>
                </c:pt>
                <c:pt idx="10">
                  <c:v>0.93833137500000008</c:v>
                </c:pt>
                <c:pt idx="11">
                  <c:v>0.93904175000000012</c:v>
                </c:pt>
                <c:pt idx="12">
                  <c:v>0.93935062499999999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F4-463E-9B5E-A716323CAFDE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image'!$L$24,'Magdeburg dataset full image'!$L$112,'Magdeburg dataset full image'!$L$200,'Magdeburg dataset full image'!$L$288,'Magdeburg dataset full image'!$L$376,'Magdeburg dataset full image'!$L$464,'Magdeburg dataset full image'!$L$552,'Magdeburg dataset full image'!$L$640,'Magdeburg dataset full image'!$L$728,'Magdeburg dataset full image'!$L$816,'Magdeburg dataset full image'!$L$904,'Magdeburg dataset full image'!$L$992,'Magdeburg dataset full image'!$L$1080)</c:f>
              <c:numCache>
                <c:formatCode>General</c:formatCode>
                <c:ptCount val="13"/>
                <c:pt idx="0">
                  <c:v>0.94612412499999998</c:v>
                </c:pt>
                <c:pt idx="1">
                  <c:v>0.94423125000000008</c:v>
                </c:pt>
                <c:pt idx="2">
                  <c:v>0.94276875000000004</c:v>
                </c:pt>
                <c:pt idx="3">
                  <c:v>0.94192437499999992</c:v>
                </c:pt>
                <c:pt idx="4">
                  <c:v>0.9415278749999999</c:v>
                </c:pt>
                <c:pt idx="5">
                  <c:v>0.94100412499999986</c:v>
                </c:pt>
                <c:pt idx="6">
                  <c:v>0.94073562499999996</c:v>
                </c:pt>
                <c:pt idx="7">
                  <c:v>0.940484875</c:v>
                </c:pt>
                <c:pt idx="8">
                  <c:v>0.94086087499999993</c:v>
                </c:pt>
                <c:pt idx="9">
                  <c:v>0.94071562499999994</c:v>
                </c:pt>
                <c:pt idx="10">
                  <c:v>0.94043725</c:v>
                </c:pt>
                <c:pt idx="11">
                  <c:v>0.94089599999999995</c:v>
                </c:pt>
                <c:pt idx="12">
                  <c:v>0.94071125000000011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F4-463E-9B5E-A716323CAFDE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image'!$L$74,'Magdeburg dataset full image'!$L$162,'Magdeburg dataset full image'!$L$250,'Magdeburg dataset full image'!$L$338,'Magdeburg dataset full image'!$L$426,'Magdeburg dataset full image'!$L$514,'Magdeburg dataset full image'!$L$602,'Magdeburg dataset full image'!$L$690,'Magdeburg dataset full image'!$L$778,'Magdeburg dataset full image'!$L$866,'Magdeburg dataset full image'!$L$954,'Magdeburg dataset full image'!$L$1042,'Magdeburg dataset full image'!$L$1130)</c:f>
              <c:numCache>
                <c:formatCode>General</c:formatCode>
                <c:ptCount val="13"/>
                <c:pt idx="0">
                  <c:v>0.95121937499999998</c:v>
                </c:pt>
                <c:pt idx="1">
                  <c:v>0.94856149999999995</c:v>
                </c:pt>
                <c:pt idx="2">
                  <c:v>0.94506000000000001</c:v>
                </c:pt>
                <c:pt idx="3">
                  <c:v>0.94134200000000001</c:v>
                </c:pt>
                <c:pt idx="4">
                  <c:v>0.93885062500000005</c:v>
                </c:pt>
                <c:pt idx="5">
                  <c:v>0.93658549999999985</c:v>
                </c:pt>
                <c:pt idx="6">
                  <c:v>0.93470799999999998</c:v>
                </c:pt>
                <c:pt idx="7">
                  <c:v>0.93419725000000009</c:v>
                </c:pt>
                <c:pt idx="8">
                  <c:v>0.93338925000000006</c:v>
                </c:pt>
                <c:pt idx="9">
                  <c:v>0.93290412500000008</c:v>
                </c:pt>
                <c:pt idx="10">
                  <c:v>0.93188537500000002</c:v>
                </c:pt>
                <c:pt idx="11">
                  <c:v>0.93167212500000007</c:v>
                </c:pt>
                <c:pt idx="12">
                  <c:v>0.93219350000000001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F4-463E-9B5E-A716323CAFDE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image'!$L$84,'Magdeburg dataset full image'!$L$172,'Magdeburg dataset full image'!$L$260,'Magdeburg dataset full image'!$L$348,'Magdeburg dataset full image'!$L$436,'Magdeburg dataset full image'!$L$524,'Magdeburg dataset full image'!$L$612,'Magdeburg dataset full image'!$L$700,'Magdeburg dataset full image'!$L$788,'Magdeburg dataset full image'!$L$876,'Magdeburg dataset full image'!$L$964,'Magdeburg dataset full image'!$L$1052,'Magdeburg dataset full image'!$L$1140)</c:f>
              <c:numCache>
                <c:formatCode>General</c:formatCode>
                <c:ptCount val="13"/>
                <c:pt idx="0">
                  <c:v>0.94479274999999996</c:v>
                </c:pt>
                <c:pt idx="1">
                  <c:v>0.94282600000000005</c:v>
                </c:pt>
                <c:pt idx="2">
                  <c:v>0.94082812500000002</c:v>
                </c:pt>
                <c:pt idx="3">
                  <c:v>0.94015925</c:v>
                </c:pt>
                <c:pt idx="4">
                  <c:v>0.939133</c:v>
                </c:pt>
                <c:pt idx="5">
                  <c:v>0.93910937499999991</c:v>
                </c:pt>
                <c:pt idx="6">
                  <c:v>0.93913562500000003</c:v>
                </c:pt>
                <c:pt idx="7">
                  <c:v>0.93875999999999993</c:v>
                </c:pt>
                <c:pt idx="8">
                  <c:v>0.93869150000000001</c:v>
                </c:pt>
                <c:pt idx="9">
                  <c:v>0.93894387499999998</c:v>
                </c:pt>
                <c:pt idx="10">
                  <c:v>0.938403125</c:v>
                </c:pt>
                <c:pt idx="11">
                  <c:v>0.93912562499999996</c:v>
                </c:pt>
                <c:pt idx="12">
                  <c:v>0.93913737500000005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F4-463E-9B5E-A716323CAFDE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image'!$L$79,'Magdeburg dataset full image'!$L$167,'Magdeburg dataset full image'!$L$255,'Magdeburg dataset full image'!$L$343,'Magdeburg dataset full image'!$L$431,'Magdeburg dataset full image'!$L$519,'Magdeburg dataset full image'!$L$607,'Magdeburg dataset full image'!$L$695,'Magdeburg dataset full image'!$L$783,'Magdeburg dataset full image'!$L$871,'Magdeburg dataset full image'!$L$959,'Magdeburg dataset full image'!$L$1047,'Magdeburg dataset full image'!$L$1135)</c:f>
              <c:numCache>
                <c:formatCode>General</c:formatCode>
                <c:ptCount val="13"/>
                <c:pt idx="0">
                  <c:v>0.94539037500000001</c:v>
                </c:pt>
                <c:pt idx="1">
                  <c:v>0.93789600000000006</c:v>
                </c:pt>
                <c:pt idx="2">
                  <c:v>0.93009012499999999</c:v>
                </c:pt>
                <c:pt idx="3">
                  <c:v>0.92324012499999997</c:v>
                </c:pt>
                <c:pt idx="4">
                  <c:v>0.91770675000000002</c:v>
                </c:pt>
                <c:pt idx="5">
                  <c:v>0.91270700000000005</c:v>
                </c:pt>
                <c:pt idx="6">
                  <c:v>0.90890074999999992</c:v>
                </c:pt>
                <c:pt idx="7">
                  <c:v>0.90570012500000008</c:v>
                </c:pt>
                <c:pt idx="8">
                  <c:v>0.90349625000000011</c:v>
                </c:pt>
                <c:pt idx="9">
                  <c:v>0.90169974999999991</c:v>
                </c:pt>
                <c:pt idx="10">
                  <c:v>0.9004748749999999</c:v>
                </c:pt>
                <c:pt idx="11">
                  <c:v>0.89996862499999986</c:v>
                </c:pt>
                <c:pt idx="12">
                  <c:v>0.90015687499999997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DF4-463E-9B5E-A716323CAFDE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image'!$L$44,'Magdeburg dataset full image'!$L$132,'Magdeburg dataset full image'!$L$220,'Magdeburg dataset full image'!$L$308,'Magdeburg dataset full image'!$L$396,'Magdeburg dataset full image'!$L$484,'Magdeburg dataset full image'!$L$572,'Magdeburg dataset full image'!$L$660,'Magdeburg dataset full image'!$L$748,'Magdeburg dataset full image'!$L$836,'Magdeburg dataset full image'!$L$924,'Magdeburg dataset full image'!$L$1012,'Magdeburg dataset full image'!$L$1100)</c:f>
              <c:numCache>
                <c:formatCode>General</c:formatCode>
                <c:ptCount val="13"/>
                <c:pt idx="0">
                  <c:v>0.94026787499999986</c:v>
                </c:pt>
                <c:pt idx="1">
                  <c:v>0.93856787499999994</c:v>
                </c:pt>
                <c:pt idx="2">
                  <c:v>0.93713212499999998</c:v>
                </c:pt>
                <c:pt idx="3">
                  <c:v>0.93600012500000007</c:v>
                </c:pt>
                <c:pt idx="4">
                  <c:v>0.93509700000000007</c:v>
                </c:pt>
                <c:pt idx="5">
                  <c:v>0.93469274999999996</c:v>
                </c:pt>
                <c:pt idx="6">
                  <c:v>0.93425012500000015</c:v>
                </c:pt>
                <c:pt idx="7">
                  <c:v>0.93406612499999997</c:v>
                </c:pt>
                <c:pt idx="8">
                  <c:v>0.93393387500000002</c:v>
                </c:pt>
                <c:pt idx="9">
                  <c:v>0.93370474999999997</c:v>
                </c:pt>
                <c:pt idx="10">
                  <c:v>0.93314674999999991</c:v>
                </c:pt>
                <c:pt idx="11">
                  <c:v>0.93355825000000003</c:v>
                </c:pt>
                <c:pt idx="12">
                  <c:v>0.93344562499999983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F4-463E-9B5E-A716323CAFDE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image'!$L$54,'Magdeburg dataset full image'!$L$142,'Magdeburg dataset full image'!$L$230,'Magdeburg dataset full image'!$L$318,'Magdeburg dataset full image'!$L$406,'Magdeburg dataset full image'!$L$494,'Magdeburg dataset full image'!$L$582,'Magdeburg dataset full image'!$L$670,'Magdeburg dataset full image'!$L$758,'Magdeburg dataset full image'!$L$846,'Magdeburg dataset full image'!$L$934,'Magdeburg dataset full image'!$L$1022,'Magdeburg dataset full image'!$L$1110)</c:f>
              <c:numCache>
                <c:formatCode>General</c:formatCode>
                <c:ptCount val="13"/>
                <c:pt idx="0">
                  <c:v>0.9495905</c:v>
                </c:pt>
                <c:pt idx="1">
                  <c:v>0.94579424999999984</c:v>
                </c:pt>
                <c:pt idx="2">
                  <c:v>0.94309462499999985</c:v>
                </c:pt>
                <c:pt idx="3">
                  <c:v>0.93859700000000001</c:v>
                </c:pt>
                <c:pt idx="4">
                  <c:v>0.93745837500000007</c:v>
                </c:pt>
                <c:pt idx="5">
                  <c:v>0.93570187500000002</c:v>
                </c:pt>
                <c:pt idx="6">
                  <c:v>0.93395262499999998</c:v>
                </c:pt>
                <c:pt idx="7">
                  <c:v>0.93209937499999995</c:v>
                </c:pt>
                <c:pt idx="8">
                  <c:v>0.9319925</c:v>
                </c:pt>
                <c:pt idx="9">
                  <c:v>0.93084074999999999</c:v>
                </c:pt>
                <c:pt idx="10">
                  <c:v>0.9310091250000001</c:v>
                </c:pt>
                <c:pt idx="11">
                  <c:v>0.92905237500000004</c:v>
                </c:pt>
                <c:pt idx="12">
                  <c:v>0.92756900000000009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97-4F69-BA2E-86CE2B23AEAE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image'!$L$89,'Magdeburg dataset full image'!$L$177,'Magdeburg dataset full image'!$L$265,'Magdeburg dataset full image'!$L$353,'Magdeburg dataset full image'!$L$441,'Magdeburg dataset full image'!$L$529,'Magdeburg dataset full image'!$L$617,'Magdeburg dataset full image'!$L$705,'Magdeburg dataset full image'!$L$793,'Magdeburg dataset full image'!$L$881,'Magdeburg dataset full image'!$L$969,'Magdeburg dataset full image'!$L$1057,'Magdeburg dataset full image'!$L$1145)</c:f>
              <c:numCache>
                <c:formatCode>General</c:formatCode>
                <c:ptCount val="13"/>
                <c:pt idx="0">
                  <c:v>0.96681012500000008</c:v>
                </c:pt>
                <c:pt idx="1">
                  <c:v>0.9495285</c:v>
                </c:pt>
                <c:pt idx="2">
                  <c:v>0.93371925</c:v>
                </c:pt>
                <c:pt idx="3">
                  <c:v>0.92218</c:v>
                </c:pt>
                <c:pt idx="4">
                  <c:v>0.91408812500000003</c:v>
                </c:pt>
                <c:pt idx="5">
                  <c:v>0.90569224999999998</c:v>
                </c:pt>
                <c:pt idx="6">
                  <c:v>0.89981062499999998</c:v>
                </c:pt>
                <c:pt idx="7">
                  <c:v>0.89444037499999995</c:v>
                </c:pt>
                <c:pt idx="8">
                  <c:v>0.89123399999999997</c:v>
                </c:pt>
                <c:pt idx="9">
                  <c:v>0.8889108750000001</c:v>
                </c:pt>
                <c:pt idx="10">
                  <c:v>0.88751437500000008</c:v>
                </c:pt>
                <c:pt idx="11">
                  <c:v>0.887653625</c:v>
                </c:pt>
                <c:pt idx="12">
                  <c:v>0.88910299999999998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2-44E9-9604-4F6CA1B85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in val="0.925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image'!$L$10,'Magdeburg dataset full image'!$L$98,'Magdeburg dataset full image'!$L$186,'Magdeburg dataset full image'!$L$274,'Magdeburg dataset full image'!$L$362,'Magdeburg dataset full image'!$L$450,'Magdeburg dataset full image'!$L$538,'Magdeburg dataset full image'!$L$626,'Magdeburg dataset full image'!$L$714,'Magdeburg dataset full image'!$L$802,'Magdeburg dataset full image'!$L$890,'Magdeburg dataset full image'!$L$978,'Magdeburg dataset full image'!$L$1066)</c:f>
              <c:numCache>
                <c:formatCode>General</c:formatCode>
                <c:ptCount val="13"/>
                <c:pt idx="0">
                  <c:v>2.6058448749999998</c:v>
                </c:pt>
                <c:pt idx="1">
                  <c:v>2.6798606249999999</c:v>
                </c:pt>
                <c:pt idx="2">
                  <c:v>2.7093400000000005</c:v>
                </c:pt>
                <c:pt idx="3">
                  <c:v>2.7133223750000002</c:v>
                </c:pt>
                <c:pt idx="4">
                  <c:v>2.726499</c:v>
                </c:pt>
                <c:pt idx="5">
                  <c:v>2.7327456249999997</c:v>
                </c:pt>
                <c:pt idx="6">
                  <c:v>2.7484546250000004</c:v>
                </c:pt>
                <c:pt idx="7">
                  <c:v>2.755331</c:v>
                </c:pt>
                <c:pt idx="8">
                  <c:v>2.7566993750000006</c:v>
                </c:pt>
                <c:pt idx="9">
                  <c:v>2.7824836249999993</c:v>
                </c:pt>
                <c:pt idx="10">
                  <c:v>2.7259678750000003</c:v>
                </c:pt>
                <c:pt idx="11">
                  <c:v>2.7599419999999992</c:v>
                </c:pt>
                <c:pt idx="12">
                  <c:v>2.7522103750000002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2FD-4F3E-99E3-B30DCF649E37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image'!$L$20,'Magdeburg dataset full image'!$L$108,'Magdeburg dataset full image'!$L$196,'Magdeburg dataset full image'!$L$284,'Magdeburg dataset full image'!$L$372,'Magdeburg dataset full image'!$L$460,'Magdeburg dataset full image'!$L$548,'Magdeburg dataset full image'!$L$636,'Magdeburg dataset full image'!$L$724,'Magdeburg dataset full image'!$L$812,'Magdeburg dataset full image'!$L$900,'Magdeburg dataset full image'!$L$988,'Magdeburg dataset full image'!$L$1076)</c:f>
              <c:numCache>
                <c:formatCode>General</c:formatCode>
                <c:ptCount val="13"/>
                <c:pt idx="0">
                  <c:v>2.7527172499999999</c:v>
                </c:pt>
                <c:pt idx="1">
                  <c:v>2.8036937499999999</c:v>
                </c:pt>
                <c:pt idx="2">
                  <c:v>2.8021473750000006</c:v>
                </c:pt>
                <c:pt idx="3">
                  <c:v>2.8035991250000003</c:v>
                </c:pt>
                <c:pt idx="4">
                  <c:v>2.8175631249999999</c:v>
                </c:pt>
                <c:pt idx="5">
                  <c:v>2.819413875</c:v>
                </c:pt>
                <c:pt idx="6">
                  <c:v>2.84387225</c:v>
                </c:pt>
                <c:pt idx="7">
                  <c:v>2.8390157500000002</c:v>
                </c:pt>
                <c:pt idx="8">
                  <c:v>2.8320402500000004</c:v>
                </c:pt>
                <c:pt idx="9">
                  <c:v>2.8454397499999997</c:v>
                </c:pt>
                <c:pt idx="10">
                  <c:v>2.8623093750000002</c:v>
                </c:pt>
                <c:pt idx="11">
                  <c:v>2.8422476250000002</c:v>
                </c:pt>
                <c:pt idx="12">
                  <c:v>2.8426684999999998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D-4F3E-99E3-B30DCF649E37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image'!$L$40,'Magdeburg dataset full image'!$L$128,'Magdeburg dataset full image'!$L$216,'Magdeburg dataset full image'!$L$304,'Magdeburg dataset full image'!$L$392,'Magdeburg dataset full image'!$L$480,'Magdeburg dataset full image'!$L$568,'Magdeburg dataset full image'!$L$656,'Magdeburg dataset full image'!$L$744,'Magdeburg dataset full image'!$L$832,'Magdeburg dataset full image'!$L$920,'Magdeburg dataset full image'!$L$1008,'Magdeburg dataset full image'!$L$1096)</c:f>
              <c:numCache>
                <c:formatCode>General</c:formatCode>
                <c:ptCount val="13"/>
                <c:pt idx="0">
                  <c:v>2.779152625</c:v>
                </c:pt>
                <c:pt idx="1">
                  <c:v>2.7661224999999998</c:v>
                </c:pt>
                <c:pt idx="2">
                  <c:v>2.800944125</c:v>
                </c:pt>
                <c:pt idx="3">
                  <c:v>2.7851121249999995</c:v>
                </c:pt>
                <c:pt idx="4">
                  <c:v>2.79540525</c:v>
                </c:pt>
                <c:pt idx="5">
                  <c:v>2.8510032499999993</c:v>
                </c:pt>
                <c:pt idx="6">
                  <c:v>2.8184</c:v>
                </c:pt>
                <c:pt idx="7">
                  <c:v>2.8184022500000001</c:v>
                </c:pt>
                <c:pt idx="8">
                  <c:v>2.8622097500000003</c:v>
                </c:pt>
                <c:pt idx="9">
                  <c:v>2.8395061250000002</c:v>
                </c:pt>
                <c:pt idx="10">
                  <c:v>2.8955021249999997</c:v>
                </c:pt>
                <c:pt idx="11">
                  <c:v>2.86917475</c:v>
                </c:pt>
                <c:pt idx="12">
                  <c:v>2.8580927499999995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FD-4F3E-99E3-B30DCF649E37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image'!$L$30,'Magdeburg dataset full image'!$L$118,'Magdeburg dataset full image'!$L$206,'Magdeburg dataset full image'!$L$294,'Magdeburg dataset full image'!$L$382,'Magdeburg dataset full image'!$L$470,'Magdeburg dataset full image'!$L$558,'Magdeburg dataset full image'!$L$646,'Magdeburg dataset full image'!$L$734,'Magdeburg dataset full image'!$L$822,'Magdeburg dataset full image'!$L$910,'Magdeburg dataset full image'!$L$998,'Magdeburg dataset full image'!$L$1086)</c:f>
              <c:numCache>
                <c:formatCode>General</c:formatCode>
                <c:ptCount val="13"/>
                <c:pt idx="0">
                  <c:v>2.6004311250000001</c:v>
                </c:pt>
                <c:pt idx="1">
                  <c:v>2.6537674999999998</c:v>
                </c:pt>
                <c:pt idx="2">
                  <c:v>2.6984462500000004</c:v>
                </c:pt>
                <c:pt idx="3">
                  <c:v>2.7190743749999999</c:v>
                </c:pt>
                <c:pt idx="4">
                  <c:v>2.73153925</c:v>
                </c:pt>
                <c:pt idx="5">
                  <c:v>2.7429521250000004</c:v>
                </c:pt>
                <c:pt idx="6">
                  <c:v>2.7518872500000002</c:v>
                </c:pt>
                <c:pt idx="7">
                  <c:v>2.7590828749999998</c:v>
                </c:pt>
                <c:pt idx="8">
                  <c:v>2.7491587499999999</c:v>
                </c:pt>
                <c:pt idx="9">
                  <c:v>2.7524822499999999</c:v>
                </c:pt>
                <c:pt idx="10">
                  <c:v>2.7800172500000002</c:v>
                </c:pt>
                <c:pt idx="11">
                  <c:v>2.7649711250000002</c:v>
                </c:pt>
                <c:pt idx="12">
                  <c:v>2.768605875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FD-4F3E-99E3-B30DCF649E37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image'!$L$77,'Magdeburg dataset full image'!$L$165,'Magdeburg dataset full image'!$L$253,'Magdeburg dataset full image'!$L$341,'Magdeburg dataset full image'!$L$429,'Magdeburg dataset full image'!$L$517,'Magdeburg dataset full image'!$L$605,'Magdeburg dataset full image'!$L$693,'Magdeburg dataset full image'!$L$781,'Magdeburg dataset full image'!$L$869,'Magdeburg dataset full image'!$L$957,'Magdeburg dataset full image'!$L$1045,'Magdeburg dataset full image'!$L$1133)</c:f>
              <c:numCache>
                <c:formatCode>General</c:formatCode>
                <c:ptCount val="13"/>
                <c:pt idx="0">
                  <c:v>2.4959258750000002</c:v>
                </c:pt>
                <c:pt idx="1">
                  <c:v>2.5680457499999996</c:v>
                </c:pt>
                <c:pt idx="2">
                  <c:v>2.6279515</c:v>
                </c:pt>
                <c:pt idx="3">
                  <c:v>2.7320437500000003</c:v>
                </c:pt>
                <c:pt idx="4">
                  <c:v>2.8045881249999995</c:v>
                </c:pt>
                <c:pt idx="5">
                  <c:v>2.8749524999999996</c:v>
                </c:pt>
                <c:pt idx="6">
                  <c:v>2.9311978750000001</c:v>
                </c:pt>
                <c:pt idx="7">
                  <c:v>2.9468412499999999</c:v>
                </c:pt>
                <c:pt idx="8">
                  <c:v>2.9840518750000005</c:v>
                </c:pt>
                <c:pt idx="9">
                  <c:v>3.0102846250000002</c:v>
                </c:pt>
                <c:pt idx="10">
                  <c:v>3.0712078749999998</c:v>
                </c:pt>
                <c:pt idx="11">
                  <c:v>3.087151</c:v>
                </c:pt>
                <c:pt idx="12">
                  <c:v>3.0874778749999998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FD-4F3E-99E3-B30DCF649E37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image'!$L$87,'Magdeburg dataset full image'!$L$175,'Magdeburg dataset full image'!$L$263,'Magdeburg dataset full image'!$L$351,'Magdeburg dataset full image'!$L$439,'Magdeburg dataset full image'!$L$527,'Magdeburg dataset full image'!$L$615,'Magdeburg dataset full image'!$L$703,'Magdeburg dataset full image'!$L$791,'Magdeburg dataset full image'!$L$879,'Magdeburg dataset full image'!$L$967,'Magdeburg dataset full image'!$L$1055,'Magdeburg dataset full image'!$L$1143)</c:f>
              <c:numCache>
                <c:formatCode>General</c:formatCode>
                <c:ptCount val="13"/>
                <c:pt idx="0">
                  <c:v>2.665657875</c:v>
                </c:pt>
                <c:pt idx="1">
                  <c:v>2.7182893749999999</c:v>
                </c:pt>
                <c:pt idx="2">
                  <c:v>2.8003896250000002</c:v>
                </c:pt>
                <c:pt idx="3">
                  <c:v>2.8043666250000001</c:v>
                </c:pt>
                <c:pt idx="4">
                  <c:v>2.8502027499999998</c:v>
                </c:pt>
                <c:pt idx="5">
                  <c:v>2.8568202499999997</c:v>
                </c:pt>
                <c:pt idx="6">
                  <c:v>2.865144125</c:v>
                </c:pt>
                <c:pt idx="7">
                  <c:v>2.8780460000000003</c:v>
                </c:pt>
                <c:pt idx="8">
                  <c:v>2.8704871249999999</c:v>
                </c:pt>
                <c:pt idx="9">
                  <c:v>2.8736993750000002</c:v>
                </c:pt>
                <c:pt idx="10">
                  <c:v>2.8834149999999994</c:v>
                </c:pt>
                <c:pt idx="11">
                  <c:v>2.8540159999999997</c:v>
                </c:pt>
                <c:pt idx="12">
                  <c:v>2.853612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FD-4F3E-99E3-B30DCF649E37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image'!$L$82,'Magdeburg dataset full image'!$L$170,'Magdeburg dataset full image'!$L$258,'Magdeburg dataset full image'!$L$346,'Magdeburg dataset full image'!$L$434,'Magdeburg dataset full image'!$L$522,'Magdeburg dataset full image'!$L$610,'Magdeburg dataset full image'!$L$698,'Magdeburg dataset full image'!$L$786,'Magdeburg dataset full image'!$L$874,'Magdeburg dataset full image'!$L$962,'Magdeburg dataset full image'!$L$1050,'Magdeburg dataset full image'!$L$1138)</c:f>
              <c:numCache>
                <c:formatCode>General</c:formatCode>
                <c:ptCount val="13"/>
                <c:pt idx="0">
                  <c:v>2.6678507499999999</c:v>
                </c:pt>
                <c:pt idx="1">
                  <c:v>2.8877402499999998</c:v>
                </c:pt>
                <c:pt idx="2">
                  <c:v>3.0869218750000003</c:v>
                </c:pt>
                <c:pt idx="3">
                  <c:v>3.2931909999999998</c:v>
                </c:pt>
                <c:pt idx="4">
                  <c:v>3.4607806249999999</c:v>
                </c:pt>
                <c:pt idx="5">
                  <c:v>3.6686213749999994</c:v>
                </c:pt>
                <c:pt idx="6">
                  <c:v>3.803452375</c:v>
                </c:pt>
                <c:pt idx="7">
                  <c:v>3.9020628749999999</c:v>
                </c:pt>
                <c:pt idx="8">
                  <c:v>3.9801287499999995</c:v>
                </c:pt>
                <c:pt idx="9">
                  <c:v>4.0424120000000006</c:v>
                </c:pt>
                <c:pt idx="10">
                  <c:v>4.1512196249999995</c:v>
                </c:pt>
                <c:pt idx="11">
                  <c:v>4.1025535</c:v>
                </c:pt>
                <c:pt idx="12">
                  <c:v>4.0877017499999999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2FD-4F3E-99E3-B30DCF649E37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image'!$L$50,'Magdeburg dataset full image'!$L$138,'Magdeburg dataset full image'!$L$226,'Magdeburg dataset full image'!$L$314,'Magdeburg dataset full image'!$L$402,'Magdeburg dataset full image'!$L$490,'Magdeburg dataset full image'!$L$578,'Magdeburg dataset full image'!$L$666,'Magdeburg dataset full image'!$L$754,'Magdeburg dataset full image'!$L$842,'Magdeburg dataset full image'!$L$930,'Magdeburg dataset full image'!$L$1018,'Magdeburg dataset full image'!$L$1106)</c:f>
              <c:numCache>
                <c:formatCode>General</c:formatCode>
                <c:ptCount val="13"/>
                <c:pt idx="0">
                  <c:v>2.7442387500000001</c:v>
                </c:pt>
                <c:pt idx="1">
                  <c:v>2.8053948749999997</c:v>
                </c:pt>
                <c:pt idx="2">
                  <c:v>2.8367144999999998</c:v>
                </c:pt>
                <c:pt idx="3">
                  <c:v>2.8927542499999999</c:v>
                </c:pt>
                <c:pt idx="4">
                  <c:v>2.9200851249999999</c:v>
                </c:pt>
                <c:pt idx="5">
                  <c:v>2.9381360000000001</c:v>
                </c:pt>
                <c:pt idx="6">
                  <c:v>2.9463883749999997</c:v>
                </c:pt>
                <c:pt idx="7">
                  <c:v>2.9601588749999999</c:v>
                </c:pt>
                <c:pt idx="8">
                  <c:v>2.9623893750000003</c:v>
                </c:pt>
                <c:pt idx="9">
                  <c:v>2.9716038750000004</c:v>
                </c:pt>
                <c:pt idx="10">
                  <c:v>2.9827082499999995</c:v>
                </c:pt>
                <c:pt idx="11">
                  <c:v>2.9751539999999999</c:v>
                </c:pt>
                <c:pt idx="12">
                  <c:v>2.9790593749999998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FD-4F3E-99E3-B30DCF649E37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image'!$L$60,'Magdeburg dataset full image'!$L$148,'Magdeburg dataset full image'!$L$236,'Magdeburg dataset full image'!$L$324,'Magdeburg dataset full image'!$L$412,'Magdeburg dataset full image'!$L$500,'Magdeburg dataset full image'!$L$588,'Magdeburg dataset full image'!$L$676,'Magdeburg dataset full image'!$L$764,'Magdeburg dataset full image'!$L$852,'Magdeburg dataset full image'!$L$940,'Magdeburg dataset full image'!$L$1028,'Magdeburg dataset full image'!$L$1116)</c:f>
              <c:numCache>
                <c:formatCode>General</c:formatCode>
                <c:ptCount val="13"/>
                <c:pt idx="0">
                  <c:v>2.5376145000000001</c:v>
                </c:pt>
                <c:pt idx="1">
                  <c:v>2.6173878750000004</c:v>
                </c:pt>
                <c:pt idx="2">
                  <c:v>2.6546168749999994</c:v>
                </c:pt>
                <c:pt idx="3">
                  <c:v>2.840912125</c:v>
                </c:pt>
                <c:pt idx="4">
                  <c:v>2.8769518749999996</c:v>
                </c:pt>
                <c:pt idx="5">
                  <c:v>2.9232892499999998</c:v>
                </c:pt>
                <c:pt idx="6">
                  <c:v>2.9868981249999997</c:v>
                </c:pt>
                <c:pt idx="7">
                  <c:v>3.0477059999999998</c:v>
                </c:pt>
                <c:pt idx="8">
                  <c:v>3.0401757500000004</c:v>
                </c:pt>
                <c:pt idx="9">
                  <c:v>3.0939537499999998</c:v>
                </c:pt>
                <c:pt idx="10">
                  <c:v>3.0789273750000001</c:v>
                </c:pt>
                <c:pt idx="11">
                  <c:v>3.1882691249999997</c:v>
                </c:pt>
                <c:pt idx="12">
                  <c:v>3.2644671249999999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16-40F4-BEDF-D95842B37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3.3"/>
          <c:min val="2.449999999999999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image'!$L$6,'Magdeburg dataset full image'!$L$94,'Magdeburg dataset full image'!$L$182,'Magdeburg dataset full image'!$L$270,'Magdeburg dataset full image'!$L$358,'Magdeburg dataset full image'!$L$446,'Magdeburg dataset full image'!$L$534,'Magdeburg dataset full image'!$L$622,'Magdeburg dataset full image'!$L$710,'Magdeburg dataset full image'!$L$798,'Magdeburg dataset full image'!$L$886,'Magdeburg dataset full image'!$L$974,'Magdeburg dataset full image'!$L$1062)</c:f>
              <c:numCache>
                <c:formatCode>General</c:formatCode>
                <c:ptCount val="13"/>
                <c:pt idx="0">
                  <c:v>0.32151174999999999</c:v>
                </c:pt>
                <c:pt idx="1">
                  <c:v>0.32772737500000004</c:v>
                </c:pt>
                <c:pt idx="2">
                  <c:v>0.33094487499999997</c:v>
                </c:pt>
                <c:pt idx="3">
                  <c:v>0.33124575000000001</c:v>
                </c:pt>
                <c:pt idx="4">
                  <c:v>0.33207775</c:v>
                </c:pt>
                <c:pt idx="5">
                  <c:v>0.33358374999999996</c:v>
                </c:pt>
                <c:pt idx="6">
                  <c:v>0.33716950000000001</c:v>
                </c:pt>
                <c:pt idx="7">
                  <c:v>0.33686950000000004</c:v>
                </c:pt>
                <c:pt idx="8">
                  <c:v>0.3346075</c:v>
                </c:pt>
                <c:pt idx="9">
                  <c:v>0.33649024999999999</c:v>
                </c:pt>
                <c:pt idx="10">
                  <c:v>0.33347037500000004</c:v>
                </c:pt>
                <c:pt idx="11">
                  <c:v>0.33399949999999995</c:v>
                </c:pt>
                <c:pt idx="12">
                  <c:v>0.33315462500000004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BF2-4DA0-916F-E621829983E8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image'!$L$16,'Magdeburg dataset full image'!$L$104,'Magdeburg dataset full image'!$L$192,'Magdeburg dataset full image'!$L$280,'Magdeburg dataset full image'!$L$368,'Magdeburg dataset full image'!$L$456,'Magdeburg dataset full image'!$L$544,'Magdeburg dataset full image'!$L$632,'Magdeburg dataset full image'!$L$720,'Magdeburg dataset full image'!$L$808,'Magdeburg dataset full image'!$L$896,'Magdeburg dataset full image'!$L$984,'Magdeburg dataset full image'!$L$1072)</c:f>
              <c:numCache>
                <c:formatCode>General</c:formatCode>
                <c:ptCount val="13"/>
                <c:pt idx="0">
                  <c:v>0.33346425000000002</c:v>
                </c:pt>
                <c:pt idx="1">
                  <c:v>0.33836512499999999</c:v>
                </c:pt>
                <c:pt idx="2">
                  <c:v>0.33884487499999999</c:v>
                </c:pt>
                <c:pt idx="3">
                  <c:v>0.33905425</c:v>
                </c:pt>
                <c:pt idx="4">
                  <c:v>0.34045350000000008</c:v>
                </c:pt>
                <c:pt idx="5">
                  <c:v>0.34045025000000001</c:v>
                </c:pt>
                <c:pt idx="6">
                  <c:v>0.34400599999999998</c:v>
                </c:pt>
                <c:pt idx="7">
                  <c:v>0.34121037500000001</c:v>
                </c:pt>
                <c:pt idx="8">
                  <c:v>0.34038137499999999</c:v>
                </c:pt>
                <c:pt idx="9">
                  <c:v>0.34162399999999998</c:v>
                </c:pt>
                <c:pt idx="10">
                  <c:v>0.34105124999999997</c:v>
                </c:pt>
                <c:pt idx="11">
                  <c:v>0.33917437500000003</c:v>
                </c:pt>
                <c:pt idx="12">
                  <c:v>0.33917087499999998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2-4DA0-916F-E621829983E8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image'!$L$36,'Magdeburg dataset full image'!$L$124,'Magdeburg dataset full image'!$L$212,'Magdeburg dataset full image'!$L$300,'Magdeburg dataset full image'!$L$388,'Magdeburg dataset full image'!$L$476,'Magdeburg dataset full image'!$L$564,'Magdeburg dataset full image'!$L$652,'Magdeburg dataset full image'!$L$740,'Magdeburg dataset full image'!$L$828,'Magdeburg dataset full image'!$L$916,'Magdeburg dataset full image'!$L$1004,'Magdeburg dataset full image'!$L$1092)</c:f>
              <c:numCache>
                <c:formatCode>General</c:formatCode>
                <c:ptCount val="13"/>
                <c:pt idx="0">
                  <c:v>0.33555162499999996</c:v>
                </c:pt>
                <c:pt idx="1">
                  <c:v>0.33462337499999995</c:v>
                </c:pt>
                <c:pt idx="2">
                  <c:v>0.33807700000000002</c:v>
                </c:pt>
                <c:pt idx="3">
                  <c:v>0.336814</c:v>
                </c:pt>
                <c:pt idx="4">
                  <c:v>0.33751462499999996</c:v>
                </c:pt>
                <c:pt idx="5">
                  <c:v>0.34211974999999994</c:v>
                </c:pt>
                <c:pt idx="6">
                  <c:v>0.33932499999999999</c:v>
                </c:pt>
                <c:pt idx="7">
                  <c:v>0.33998087500000002</c:v>
                </c:pt>
                <c:pt idx="8">
                  <c:v>0.34323749999999997</c:v>
                </c:pt>
                <c:pt idx="9">
                  <c:v>0.34139237499999997</c:v>
                </c:pt>
                <c:pt idx="10">
                  <c:v>0.34226212500000003</c:v>
                </c:pt>
                <c:pt idx="11">
                  <c:v>0.34042312499999999</c:v>
                </c:pt>
                <c:pt idx="12">
                  <c:v>0.33960512500000001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2-4DA0-916F-E621829983E8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image'!$L$26,'Magdeburg dataset full image'!$L$114,'Magdeburg dataset full image'!$L$202,'Magdeburg dataset full image'!$L$290,'Magdeburg dataset full image'!$L$378,'Magdeburg dataset full image'!$L$466,'Magdeburg dataset full image'!$L$554,'Magdeburg dataset full image'!$L$642,'Magdeburg dataset full image'!$L$730,'Magdeburg dataset full image'!$L$818,'Magdeburg dataset full image'!$L$906,'Magdeburg dataset full image'!$L$994,'Magdeburg dataset full image'!$L$1082)</c:f>
              <c:numCache>
                <c:formatCode>General</c:formatCode>
                <c:ptCount val="13"/>
                <c:pt idx="0">
                  <c:v>0.32098649999999995</c:v>
                </c:pt>
                <c:pt idx="1">
                  <c:v>0.32619437499999998</c:v>
                </c:pt>
                <c:pt idx="2">
                  <c:v>0.33028874999999996</c:v>
                </c:pt>
                <c:pt idx="3">
                  <c:v>0.33232062500000004</c:v>
                </c:pt>
                <c:pt idx="4">
                  <c:v>0.33332925000000002</c:v>
                </c:pt>
                <c:pt idx="5">
                  <c:v>0.33512924999999999</c:v>
                </c:pt>
                <c:pt idx="6">
                  <c:v>0.33584387500000001</c:v>
                </c:pt>
                <c:pt idx="7">
                  <c:v>0.3365225</c:v>
                </c:pt>
                <c:pt idx="8">
                  <c:v>0.33557462500000002</c:v>
                </c:pt>
                <c:pt idx="9">
                  <c:v>0.33598499999999998</c:v>
                </c:pt>
                <c:pt idx="10">
                  <c:v>0.336808</c:v>
                </c:pt>
                <c:pt idx="11">
                  <c:v>0.33576374999999997</c:v>
                </c:pt>
                <c:pt idx="12">
                  <c:v>0.33628212500000004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2-4DA0-916F-E621829983E8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image'!$L$75,'Magdeburg dataset full image'!$L$163,'Magdeburg dataset full image'!$L$251,'Magdeburg dataset full image'!$L$339,'Magdeburg dataset full image'!$L$427,'Magdeburg dataset full image'!$L$515,'Magdeburg dataset full image'!$L$603,'Magdeburg dataset full image'!$L$691,'Magdeburg dataset full image'!$L$779,'Magdeburg dataset full image'!$L$867,'Magdeburg dataset full image'!$L$955,'Magdeburg dataset full image'!$L$1043,'Magdeburg dataset full image'!$L$1131)</c:f>
              <c:numCache>
                <c:formatCode>General</c:formatCode>
                <c:ptCount val="13"/>
                <c:pt idx="0">
                  <c:v>0.30563062499999999</c:v>
                </c:pt>
                <c:pt idx="1">
                  <c:v>0.31363849999999993</c:v>
                </c:pt>
                <c:pt idx="2">
                  <c:v>0.32359874999999999</c:v>
                </c:pt>
                <c:pt idx="3">
                  <c:v>0.33350049999999998</c:v>
                </c:pt>
                <c:pt idx="4">
                  <c:v>0.34003587499999999</c:v>
                </c:pt>
                <c:pt idx="5">
                  <c:v>0.34584774999999995</c:v>
                </c:pt>
                <c:pt idx="6">
                  <c:v>0.35042675000000001</c:v>
                </c:pt>
                <c:pt idx="7">
                  <c:v>0.35136387499999999</c:v>
                </c:pt>
                <c:pt idx="8">
                  <c:v>0.35329425000000003</c:v>
                </c:pt>
                <c:pt idx="9">
                  <c:v>0.35444400000000004</c:v>
                </c:pt>
                <c:pt idx="10">
                  <c:v>0.35700337500000001</c:v>
                </c:pt>
                <c:pt idx="11">
                  <c:v>0.35750512499999998</c:v>
                </c:pt>
                <c:pt idx="12">
                  <c:v>0.35615912500000002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2-4DA0-916F-E621829983E8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image'!$L$85,'Magdeburg dataset full image'!$L$173,'Magdeburg dataset full image'!$L$261,'Magdeburg dataset full image'!$L$349,'Magdeburg dataset full image'!$L$437,'Magdeburg dataset full image'!$L$525,'Magdeburg dataset full image'!$L$613,'Magdeburg dataset full image'!$L$701,'Magdeburg dataset full image'!$L$789,'Magdeburg dataset full image'!$L$877,'Magdeburg dataset full image'!$L$965,'Magdeburg dataset full image'!$L$1053,'Magdeburg dataset full image'!$L$1141)</c:f>
              <c:numCache>
                <c:formatCode>General</c:formatCode>
                <c:ptCount val="13"/>
                <c:pt idx="0">
                  <c:v>0.32371737499999997</c:v>
                </c:pt>
                <c:pt idx="1">
                  <c:v>0.32935237499999998</c:v>
                </c:pt>
                <c:pt idx="2">
                  <c:v>0.33449800000000002</c:v>
                </c:pt>
                <c:pt idx="3">
                  <c:v>0.33658212500000001</c:v>
                </c:pt>
                <c:pt idx="4">
                  <c:v>0.33898637499999995</c:v>
                </c:pt>
                <c:pt idx="5">
                  <c:v>0.33951575000000001</c:v>
                </c:pt>
                <c:pt idx="6">
                  <c:v>0.3396055</c:v>
                </c:pt>
                <c:pt idx="7">
                  <c:v>0.34040862500000002</c:v>
                </c:pt>
                <c:pt idx="8">
                  <c:v>0.340814375</c:v>
                </c:pt>
                <c:pt idx="9">
                  <c:v>0.33983112500000001</c:v>
                </c:pt>
                <c:pt idx="10">
                  <c:v>0.34164399999999995</c:v>
                </c:pt>
                <c:pt idx="11">
                  <c:v>0.33956175000000005</c:v>
                </c:pt>
                <c:pt idx="12">
                  <c:v>0.33960250000000003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F2-4DA0-916F-E621829983E8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image'!$L$80,'Magdeburg dataset full image'!$L$168,'Magdeburg dataset full image'!$L$256,'Magdeburg dataset full image'!$L$344,'Magdeburg dataset full image'!$L$432,'Magdeburg dataset full image'!$L$520,'Magdeburg dataset full image'!$L$608,'Magdeburg dataset full image'!$L$696,'Magdeburg dataset full image'!$L$784,'Magdeburg dataset full image'!$L$872,'Magdeburg dataset full image'!$L$960,'Magdeburg dataset full image'!$L$1048,'Magdeburg dataset full image'!$L$1136)</c:f>
              <c:numCache>
                <c:formatCode>General</c:formatCode>
                <c:ptCount val="13"/>
                <c:pt idx="0">
                  <c:v>0.32327337499999997</c:v>
                </c:pt>
                <c:pt idx="1">
                  <c:v>0.34391425000000003</c:v>
                </c:pt>
                <c:pt idx="2">
                  <c:v>0.36359125000000003</c:v>
                </c:pt>
                <c:pt idx="3">
                  <c:v>0.37989025000000004</c:v>
                </c:pt>
                <c:pt idx="4">
                  <c:v>0.39288899999999999</c:v>
                </c:pt>
                <c:pt idx="5">
                  <c:v>0.40454062500000004</c:v>
                </c:pt>
                <c:pt idx="6">
                  <c:v>0.41302337499999997</c:v>
                </c:pt>
                <c:pt idx="7">
                  <c:v>0.42010100000000006</c:v>
                </c:pt>
                <c:pt idx="8">
                  <c:v>0.42488262500000001</c:v>
                </c:pt>
                <c:pt idx="9">
                  <c:v>0.42880049999999997</c:v>
                </c:pt>
                <c:pt idx="10">
                  <c:v>0.43148012499999999</c:v>
                </c:pt>
                <c:pt idx="11">
                  <c:v>0.43247187500000006</c:v>
                </c:pt>
                <c:pt idx="12">
                  <c:v>0.43192000000000003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BF2-4DA0-916F-E621829983E8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image'!$L$46,'Magdeburg dataset full image'!$L$134,'Magdeburg dataset full image'!$L$222,'Magdeburg dataset full image'!$L$310,'Magdeburg dataset full image'!$L$398,'Magdeburg dataset full image'!$L$486,'Magdeburg dataset full image'!$L$574,'Magdeburg dataset full image'!$L$662,'Magdeburg dataset full image'!$L$750,'Magdeburg dataset full image'!$L$838,'Magdeburg dataset full image'!$L$926,'Magdeburg dataset full image'!$L$1014,'Magdeburg dataset full image'!$L$1102)</c:f>
              <c:numCache>
                <c:formatCode>General</c:formatCode>
                <c:ptCount val="13"/>
                <c:pt idx="0">
                  <c:v>0.33697450000000001</c:v>
                </c:pt>
                <c:pt idx="1">
                  <c:v>0.34141949999999999</c:v>
                </c:pt>
                <c:pt idx="2">
                  <c:v>0.34500587500000002</c:v>
                </c:pt>
                <c:pt idx="3">
                  <c:v>0.34790325</c:v>
                </c:pt>
                <c:pt idx="4">
                  <c:v>0.35021562499999997</c:v>
                </c:pt>
                <c:pt idx="5">
                  <c:v>0.35122625000000007</c:v>
                </c:pt>
                <c:pt idx="6">
                  <c:v>0.35232549999999996</c:v>
                </c:pt>
                <c:pt idx="7">
                  <c:v>0.35279474999999993</c:v>
                </c:pt>
                <c:pt idx="8">
                  <c:v>0.35310287500000004</c:v>
                </c:pt>
                <c:pt idx="9">
                  <c:v>0.35373125</c:v>
                </c:pt>
                <c:pt idx="10">
                  <c:v>0.35514037500000001</c:v>
                </c:pt>
                <c:pt idx="11">
                  <c:v>0.35414499999999999</c:v>
                </c:pt>
                <c:pt idx="12">
                  <c:v>0.35452624999999999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F2-4DA0-916F-E621829983E8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image'!$L$56,'Magdeburg dataset full image'!$L$144,'Magdeburg dataset full image'!$L$232,'Magdeburg dataset full image'!$L$320,'Magdeburg dataset full image'!$L$408,'Magdeburg dataset full image'!$L$496,'Magdeburg dataset full image'!$L$584,'Magdeburg dataset full image'!$L$672,'Magdeburg dataset full image'!$L$760,'Magdeburg dataset full image'!$L$848,'Magdeburg dataset full image'!$L$936,'Magdeburg dataset full image'!$L$1024,'Magdeburg dataset full image'!$L$1112)</c:f>
              <c:numCache>
                <c:formatCode>General</c:formatCode>
                <c:ptCount val="13"/>
                <c:pt idx="0">
                  <c:v>0.31047712499999996</c:v>
                </c:pt>
                <c:pt idx="1">
                  <c:v>0.32095174999999998</c:v>
                </c:pt>
                <c:pt idx="2">
                  <c:v>0.32809212500000001</c:v>
                </c:pt>
                <c:pt idx="3">
                  <c:v>0.33961224999999995</c:v>
                </c:pt>
                <c:pt idx="4">
                  <c:v>0.34259687500000002</c:v>
                </c:pt>
                <c:pt idx="5">
                  <c:v>0.34674637500000005</c:v>
                </c:pt>
                <c:pt idx="6">
                  <c:v>0.35075200000000001</c:v>
                </c:pt>
                <c:pt idx="7">
                  <c:v>0.35567425000000003</c:v>
                </c:pt>
                <c:pt idx="8">
                  <c:v>0.35591462499999998</c:v>
                </c:pt>
                <c:pt idx="9">
                  <c:v>0.35869087500000002</c:v>
                </c:pt>
                <c:pt idx="10">
                  <c:v>0.35826587499999996</c:v>
                </c:pt>
                <c:pt idx="11">
                  <c:v>0.36305024999999996</c:v>
                </c:pt>
                <c:pt idx="12">
                  <c:v>0.36627300000000002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62-4CD5-AC43-BC4DE2783E2B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image'!$L$90,'Magdeburg dataset full image'!$L$178,'Magdeburg dataset full image'!$L$266,'Magdeburg dataset full image'!$L$354,'Magdeburg dataset full image'!$L$442,'Magdeburg dataset full image'!$L$530,'Magdeburg dataset full image'!$L$618,'Magdeburg dataset full image'!$L$706,'Magdeburg dataset full image'!$L$794,'Magdeburg dataset full image'!$L$882,'Magdeburg dataset full image'!$L$970,'Magdeburg dataset full image'!$L$1058,'Magdeburg dataset full image'!$L$1146)</c:f>
              <c:numCache>
                <c:formatCode>General</c:formatCode>
                <c:ptCount val="13"/>
                <c:pt idx="0">
                  <c:v>0.25345337499999998</c:v>
                </c:pt>
                <c:pt idx="1">
                  <c:v>0.30987074999999997</c:v>
                </c:pt>
                <c:pt idx="2">
                  <c:v>0.35403137499999998</c:v>
                </c:pt>
                <c:pt idx="3">
                  <c:v>0.38232762499999995</c:v>
                </c:pt>
                <c:pt idx="4">
                  <c:v>0.40006399999999998</c:v>
                </c:pt>
                <c:pt idx="5">
                  <c:v>0.42117862499999997</c:v>
                </c:pt>
                <c:pt idx="6">
                  <c:v>0.43471437499999993</c:v>
                </c:pt>
                <c:pt idx="7">
                  <c:v>0.44780799999999998</c:v>
                </c:pt>
                <c:pt idx="8">
                  <c:v>0.45477062499999998</c:v>
                </c:pt>
                <c:pt idx="9">
                  <c:v>0.46011999999999997</c:v>
                </c:pt>
                <c:pt idx="10">
                  <c:v>0.46333812499999993</c:v>
                </c:pt>
                <c:pt idx="11">
                  <c:v>0.46238174999999998</c:v>
                </c:pt>
                <c:pt idx="12">
                  <c:v>0.45793725000000002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E-4703-88AB-2AA21B4DF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37000000000000005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image'!$L$12,'Magdeburg dataset full image'!$L$100,'Magdeburg dataset full image'!$L$188,'Magdeburg dataset full image'!$L$276,'Magdeburg dataset full image'!$L$364,'Magdeburg dataset full image'!$L$452,'Magdeburg dataset full image'!$L$540,'Magdeburg dataset full image'!$L$628,'Magdeburg dataset full image'!$L$716,'Magdeburg dataset full image'!$L$804,'Magdeburg dataset full image'!$L$892,'Magdeburg dataset full image'!$L$980,'Magdeburg dataset full image'!$L$1068)</c:f>
              <c:numCache>
                <c:formatCode>General</c:formatCode>
                <c:ptCount val="13"/>
                <c:pt idx="0">
                  <c:v>21.234016999999998</c:v>
                </c:pt>
                <c:pt idx="1">
                  <c:v>21.373852625000001</c:v>
                </c:pt>
                <c:pt idx="2">
                  <c:v>21.472863</c:v>
                </c:pt>
                <c:pt idx="3">
                  <c:v>21.668550875000001</c:v>
                </c:pt>
                <c:pt idx="4">
                  <c:v>21.793700875000003</c:v>
                </c:pt>
                <c:pt idx="5">
                  <c:v>21.784321625</c:v>
                </c:pt>
                <c:pt idx="6">
                  <c:v>22.008963874999999</c:v>
                </c:pt>
                <c:pt idx="7">
                  <c:v>21.966012624999998</c:v>
                </c:pt>
                <c:pt idx="8">
                  <c:v>24.313727624999999</c:v>
                </c:pt>
                <c:pt idx="9">
                  <c:v>24.205565499999999</c:v>
                </c:pt>
                <c:pt idx="10">
                  <c:v>22.0390145</c:v>
                </c:pt>
                <c:pt idx="11">
                  <c:v>24.316530874999998</c:v>
                </c:pt>
                <c:pt idx="12">
                  <c:v>24.333780000000001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96F-473B-8205-72CC5DA86165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image'!$L$22,'Magdeburg dataset full image'!$L$110,'Magdeburg dataset full image'!$L$198,'Magdeburg dataset full image'!$L$286,'Magdeburg dataset full image'!$L$374,'Magdeburg dataset full image'!$L$462,'Magdeburg dataset full image'!$L$550,'Magdeburg dataset full image'!$L$638,'Magdeburg dataset full image'!$L$726,'Magdeburg dataset full image'!$L$814,'Magdeburg dataset full image'!$L$902,'Magdeburg dataset full image'!$L$990,'Magdeburg dataset full image'!$L$1078)</c:f>
              <c:numCache>
                <c:formatCode>General</c:formatCode>
                <c:ptCount val="13"/>
                <c:pt idx="0">
                  <c:v>22.514313999999999</c:v>
                </c:pt>
                <c:pt idx="1">
                  <c:v>24.477111499999999</c:v>
                </c:pt>
                <c:pt idx="2">
                  <c:v>22.439425</c:v>
                </c:pt>
                <c:pt idx="3">
                  <c:v>22.521494000000001</c:v>
                </c:pt>
                <c:pt idx="4">
                  <c:v>22.484247125000003</c:v>
                </c:pt>
                <c:pt idx="5">
                  <c:v>22.578790125000001</c:v>
                </c:pt>
                <c:pt idx="6">
                  <c:v>22.620136250000002</c:v>
                </c:pt>
                <c:pt idx="7">
                  <c:v>24.628113000000003</c:v>
                </c:pt>
                <c:pt idx="8">
                  <c:v>24.671737624999999</c:v>
                </c:pt>
                <c:pt idx="9">
                  <c:v>24.800626000000001</c:v>
                </c:pt>
                <c:pt idx="10">
                  <c:v>24.904969375</c:v>
                </c:pt>
                <c:pt idx="11">
                  <c:v>24.838848500000001</c:v>
                </c:pt>
                <c:pt idx="12">
                  <c:v>24.964265875000002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6F-473B-8205-72CC5DA86165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image'!$L$42,'Magdeburg dataset full image'!$L$130,'Magdeburg dataset full image'!$L$218,'Magdeburg dataset full image'!$L$306,'Magdeburg dataset full image'!$L$394,'Magdeburg dataset full image'!$L$482,'Magdeburg dataset full image'!$L$570,'Magdeburg dataset full image'!$L$658,'Magdeburg dataset full image'!$L$746,'Magdeburg dataset full image'!$L$834,'Magdeburg dataset full image'!$L$922,'Magdeburg dataset full image'!$L$1010,'Magdeburg dataset full image'!$L$1098)</c:f>
              <c:numCache>
                <c:formatCode>General</c:formatCode>
                <c:ptCount val="13"/>
                <c:pt idx="0">
                  <c:v>22.113796875000002</c:v>
                </c:pt>
                <c:pt idx="1">
                  <c:v>22.129075000000004</c:v>
                </c:pt>
                <c:pt idx="2">
                  <c:v>22.286963</c:v>
                </c:pt>
                <c:pt idx="3">
                  <c:v>22.133067500000003</c:v>
                </c:pt>
                <c:pt idx="4">
                  <c:v>22.416914125000005</c:v>
                </c:pt>
                <c:pt idx="5">
                  <c:v>24.491346250000003</c:v>
                </c:pt>
                <c:pt idx="6">
                  <c:v>22.422922124999999</c:v>
                </c:pt>
                <c:pt idx="7">
                  <c:v>22.484589500000002</c:v>
                </c:pt>
                <c:pt idx="8">
                  <c:v>22.573037124999995</c:v>
                </c:pt>
                <c:pt idx="9">
                  <c:v>22.612115625000001</c:v>
                </c:pt>
                <c:pt idx="10">
                  <c:v>25.007016375000003</c:v>
                </c:pt>
                <c:pt idx="11">
                  <c:v>22.880556125000002</c:v>
                </c:pt>
                <c:pt idx="12">
                  <c:v>24.776835625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6F-473B-8205-72CC5DA86165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image'!$L$32,'Magdeburg dataset full image'!$L$120,'Magdeburg dataset full image'!$L$208,'Magdeburg dataset full image'!$L$296,'Magdeburg dataset full image'!$L$384,'Magdeburg dataset full image'!$L$472,'Magdeburg dataset full image'!$L$560,'Magdeburg dataset full image'!$L$648,'Magdeburg dataset full image'!$L$736,'Magdeburg dataset full image'!$L$824,'Magdeburg dataset full image'!$L$912,'Magdeburg dataset full image'!$L$1000,'Magdeburg dataset full image'!$L$1088)</c:f>
              <c:numCache>
                <c:formatCode>General</c:formatCode>
                <c:ptCount val="13"/>
                <c:pt idx="0">
                  <c:v>21.185604499999997</c:v>
                </c:pt>
                <c:pt idx="1">
                  <c:v>21.189336125000001</c:v>
                </c:pt>
                <c:pt idx="2">
                  <c:v>21.566505500000002</c:v>
                </c:pt>
                <c:pt idx="3">
                  <c:v>21.586610999999998</c:v>
                </c:pt>
                <c:pt idx="4">
                  <c:v>21.611369500000002</c:v>
                </c:pt>
                <c:pt idx="5">
                  <c:v>21.686643125</c:v>
                </c:pt>
                <c:pt idx="6">
                  <c:v>21.75393875</c:v>
                </c:pt>
                <c:pt idx="7">
                  <c:v>21.752147624999999</c:v>
                </c:pt>
                <c:pt idx="8">
                  <c:v>21.76939475</c:v>
                </c:pt>
                <c:pt idx="9">
                  <c:v>21.790618750000004</c:v>
                </c:pt>
                <c:pt idx="10">
                  <c:v>24.360588624999998</c:v>
                </c:pt>
                <c:pt idx="11">
                  <c:v>24.374780375</c:v>
                </c:pt>
                <c:pt idx="12">
                  <c:v>24.356707875000001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6F-473B-8205-72CC5DA86165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image'!$L$78,'Magdeburg dataset full image'!$L$166,'Magdeburg dataset full image'!$L$254,'Magdeburg dataset full image'!$L$342,'Magdeburg dataset full image'!$L$430,'Magdeburg dataset full image'!$L$518,'Magdeburg dataset full image'!$L$606,'Magdeburg dataset full image'!$L$694,'Magdeburg dataset full image'!$L$782,'Magdeburg dataset full image'!$L$870,'Magdeburg dataset full image'!$L$958,'Magdeburg dataset full image'!$L$1046,'Magdeburg dataset full image'!$L$1134)</c:f>
              <c:numCache>
                <c:formatCode>General</c:formatCode>
                <c:ptCount val="13"/>
                <c:pt idx="0">
                  <c:v>20.592201125000003</c:v>
                </c:pt>
                <c:pt idx="1">
                  <c:v>21.780651750000004</c:v>
                </c:pt>
                <c:pt idx="2">
                  <c:v>22.370688875000003</c:v>
                </c:pt>
                <c:pt idx="3">
                  <c:v>23.09330125</c:v>
                </c:pt>
                <c:pt idx="4">
                  <c:v>23.445000625000002</c:v>
                </c:pt>
                <c:pt idx="5">
                  <c:v>23.596196625000001</c:v>
                </c:pt>
                <c:pt idx="6">
                  <c:v>23.597041875000002</c:v>
                </c:pt>
                <c:pt idx="7">
                  <c:v>23.017265750000004</c:v>
                </c:pt>
                <c:pt idx="8">
                  <c:v>22.936286749999997</c:v>
                </c:pt>
                <c:pt idx="9">
                  <c:v>23.449399374999999</c:v>
                </c:pt>
                <c:pt idx="10">
                  <c:v>24.607761499999995</c:v>
                </c:pt>
                <c:pt idx="11">
                  <c:v>24.647895125000002</c:v>
                </c:pt>
                <c:pt idx="12">
                  <c:v>24.828274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96F-473B-8205-72CC5DA86165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image'!$L$88,'Magdeburg dataset full image'!$L$176,'Magdeburg dataset full image'!$L$264,'Magdeburg dataset full image'!$L$352,'Magdeburg dataset full image'!$L$440,'Magdeburg dataset full image'!$L$528,'Magdeburg dataset full image'!$L$616,'Magdeburg dataset full image'!$L$704,'Magdeburg dataset full image'!$L$792,'Magdeburg dataset full image'!$L$880,'Magdeburg dataset full image'!$L$968,'Magdeburg dataset full image'!$L$1056,'Magdeburg dataset full image'!$L$1144)</c:f>
              <c:numCache>
                <c:formatCode>General</c:formatCode>
                <c:ptCount val="13"/>
                <c:pt idx="0">
                  <c:v>23.051209750000002</c:v>
                </c:pt>
                <c:pt idx="1">
                  <c:v>23.516748875000001</c:v>
                </c:pt>
                <c:pt idx="2">
                  <c:v>25.126449624999999</c:v>
                </c:pt>
                <c:pt idx="3">
                  <c:v>23.655980000000003</c:v>
                </c:pt>
                <c:pt idx="4">
                  <c:v>24.120062249999997</c:v>
                </c:pt>
                <c:pt idx="5">
                  <c:v>24.895352624999997</c:v>
                </c:pt>
                <c:pt idx="6">
                  <c:v>22.931657374999997</c:v>
                </c:pt>
                <c:pt idx="7">
                  <c:v>24.321686124999999</c:v>
                </c:pt>
                <c:pt idx="8">
                  <c:v>22.854961999999997</c:v>
                </c:pt>
                <c:pt idx="9">
                  <c:v>23.746708374999997</c:v>
                </c:pt>
                <c:pt idx="10">
                  <c:v>24.692580625000002</c:v>
                </c:pt>
                <c:pt idx="11">
                  <c:v>24.572138249999998</c:v>
                </c:pt>
                <c:pt idx="12">
                  <c:v>24.540738999999999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96F-473B-8205-72CC5DA86165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image'!$L$83,'Magdeburg dataset full image'!$L$171,'Magdeburg dataset full image'!$L$259,'Magdeburg dataset full image'!$L$347,'Magdeburg dataset full image'!$L$435,'Magdeburg dataset full image'!$L$523,'Magdeburg dataset full image'!$L$611,'Magdeburg dataset full image'!$L$699,'Magdeburg dataset full image'!$L$787,'Magdeburg dataset full image'!$L$875,'Magdeburg dataset full image'!$L$963,'Magdeburg dataset full image'!$L$1051,'Magdeburg dataset full image'!$L$1139)</c:f>
              <c:numCache>
                <c:formatCode>General</c:formatCode>
                <c:ptCount val="13"/>
                <c:pt idx="0">
                  <c:v>22.159244749999999</c:v>
                </c:pt>
                <c:pt idx="1">
                  <c:v>25.285181499999993</c:v>
                </c:pt>
                <c:pt idx="2">
                  <c:v>26.17216775</c:v>
                </c:pt>
                <c:pt idx="3">
                  <c:v>27.429610374999999</c:v>
                </c:pt>
                <c:pt idx="4">
                  <c:v>28.013415625</c:v>
                </c:pt>
                <c:pt idx="5">
                  <c:v>29.719849125</c:v>
                </c:pt>
                <c:pt idx="6">
                  <c:v>29.979407375000001</c:v>
                </c:pt>
                <c:pt idx="7">
                  <c:v>30.516437874999994</c:v>
                </c:pt>
                <c:pt idx="8">
                  <c:v>31.044156000000001</c:v>
                </c:pt>
                <c:pt idx="9">
                  <c:v>31.611712249999997</c:v>
                </c:pt>
                <c:pt idx="10">
                  <c:v>32.907534625000004</c:v>
                </c:pt>
                <c:pt idx="11">
                  <c:v>32.364260999999999</c:v>
                </c:pt>
                <c:pt idx="12">
                  <c:v>32.515579499999994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96F-473B-8205-72CC5DA86165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image'!$L$52,'Magdeburg dataset full image'!$L$140,'Magdeburg dataset full image'!$L$228,'Magdeburg dataset full image'!$L$316,'Magdeburg dataset full image'!$L$404,'Magdeburg dataset full image'!$L$492,'Magdeburg dataset full image'!$L$580,'Magdeburg dataset full image'!$L$668,'Magdeburg dataset full image'!$L$756,'Magdeburg dataset full image'!$L$844,'Magdeburg dataset full image'!$L$932,'Magdeburg dataset full image'!$L$1020,'Magdeburg dataset full image'!$L$1108)</c:f>
              <c:numCache>
                <c:formatCode>General</c:formatCode>
                <c:ptCount val="13"/>
                <c:pt idx="0">
                  <c:v>21.953272124999998</c:v>
                </c:pt>
                <c:pt idx="1">
                  <c:v>22.345498750000001</c:v>
                </c:pt>
                <c:pt idx="2">
                  <c:v>22.549326749999999</c:v>
                </c:pt>
                <c:pt idx="3">
                  <c:v>24.551601624999996</c:v>
                </c:pt>
                <c:pt idx="4">
                  <c:v>24.649202375000002</c:v>
                </c:pt>
                <c:pt idx="5">
                  <c:v>24.889540750000002</c:v>
                </c:pt>
                <c:pt idx="6">
                  <c:v>24.919688125</c:v>
                </c:pt>
                <c:pt idx="7">
                  <c:v>25.096127125000002</c:v>
                </c:pt>
                <c:pt idx="8">
                  <c:v>24.964415250000002</c:v>
                </c:pt>
                <c:pt idx="9">
                  <c:v>25.123825625000002</c:v>
                </c:pt>
                <c:pt idx="10">
                  <c:v>25.187542875000002</c:v>
                </c:pt>
                <c:pt idx="11">
                  <c:v>25.125484999999998</c:v>
                </c:pt>
                <c:pt idx="12">
                  <c:v>25.218417250000002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6F-473B-8205-72CC5DA86165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image'!$L$62,'Magdeburg dataset full image'!$L$150,'Magdeburg dataset full image'!$L$238,'Magdeburg dataset full image'!$L$326,'Magdeburg dataset full image'!$L$414,'Magdeburg dataset full image'!$L$502,'Magdeburg dataset full image'!$L$590,'Magdeburg dataset full image'!$L$678,'Magdeburg dataset full image'!$L$766,'Magdeburg dataset full image'!$L$854,'Magdeburg dataset full image'!$L$942,'Magdeburg dataset full image'!$L$1030,'Magdeburg dataset full image'!$L$1118)</c:f>
              <c:numCache>
                <c:formatCode>General</c:formatCode>
                <c:ptCount val="13"/>
                <c:pt idx="0">
                  <c:v>20.704020250000003</c:v>
                </c:pt>
                <c:pt idx="1">
                  <c:v>21.244644375</c:v>
                </c:pt>
                <c:pt idx="2">
                  <c:v>21.802678374999999</c:v>
                </c:pt>
                <c:pt idx="3">
                  <c:v>22.359370249999998</c:v>
                </c:pt>
                <c:pt idx="4">
                  <c:v>22.970975124999999</c:v>
                </c:pt>
                <c:pt idx="5">
                  <c:v>23.199987499999999</c:v>
                </c:pt>
                <c:pt idx="6">
                  <c:v>23.364743625000003</c:v>
                </c:pt>
                <c:pt idx="7">
                  <c:v>23.499856125000001</c:v>
                </c:pt>
                <c:pt idx="8">
                  <c:v>23.593410249999998</c:v>
                </c:pt>
                <c:pt idx="9">
                  <c:v>24.242995375</c:v>
                </c:pt>
                <c:pt idx="10">
                  <c:v>24.047833625000003</c:v>
                </c:pt>
                <c:pt idx="11">
                  <c:v>24.404878875000001</c:v>
                </c:pt>
                <c:pt idx="12">
                  <c:v>24.732763249999998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B-4277-9673-A89EBF18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/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ax val="34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image'!$L$8,'Magdeburg dataset full image'!$L$96,'Magdeburg dataset full image'!$L$184,'Magdeburg dataset full image'!$L$272,'Magdeburg dataset full image'!$L$360,'Magdeburg dataset full image'!$L$448,'Magdeburg dataset full image'!$L$536,'Magdeburg dataset full image'!$L$624,'Magdeburg dataset full image'!$L$712,'Magdeburg dataset full image'!$L$800,'Magdeburg dataset full image'!$L$888,'Magdeburg dataset full image'!$L$976,'Magdeburg dataset full image'!$L$1064)</c:f>
              <c:numCache>
                <c:formatCode>General</c:formatCode>
                <c:ptCount val="13"/>
                <c:pt idx="0">
                  <c:v>0.66872162499999999</c:v>
                </c:pt>
                <c:pt idx="1">
                  <c:v>0.66408699999999998</c:v>
                </c:pt>
                <c:pt idx="2">
                  <c:v>0.66125350000000005</c:v>
                </c:pt>
                <c:pt idx="3">
                  <c:v>0.66121687500000004</c:v>
                </c:pt>
                <c:pt idx="4">
                  <c:v>0.6602905</c:v>
                </c:pt>
                <c:pt idx="5">
                  <c:v>0.65972712499999997</c:v>
                </c:pt>
                <c:pt idx="6">
                  <c:v>0.65732475000000001</c:v>
                </c:pt>
                <c:pt idx="7">
                  <c:v>0.65773737499999996</c:v>
                </c:pt>
                <c:pt idx="8">
                  <c:v>0.65863237500000005</c:v>
                </c:pt>
                <c:pt idx="9">
                  <c:v>0.65698887499999992</c:v>
                </c:pt>
                <c:pt idx="10">
                  <c:v>0.65972487499999999</c:v>
                </c:pt>
                <c:pt idx="11">
                  <c:v>0.65898299999999999</c:v>
                </c:pt>
                <c:pt idx="12">
                  <c:v>0.6596883750000001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B02-404D-AC6A-03E88E8B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image'!$L$18,'Magdeburg dataset full image'!$L$106,'Magdeburg dataset full image'!$L$194,'Magdeburg dataset full image'!$L$282,'Magdeburg dataset full image'!$L$370,'Magdeburg dataset full image'!$L$458,'Magdeburg dataset full image'!$L$546,'Magdeburg dataset full image'!$L$634,'Magdeburg dataset full image'!$L$722,'Magdeburg dataset full image'!$L$810,'Magdeburg dataset full image'!$L$898,'Magdeburg dataset full image'!$L$986,'Magdeburg dataset full image'!$L$1074)</c:f>
              <c:numCache>
                <c:formatCode>General</c:formatCode>
                <c:ptCount val="13"/>
                <c:pt idx="0">
                  <c:v>0.66091450000000018</c:v>
                </c:pt>
                <c:pt idx="1">
                  <c:v>0.65659699999999999</c:v>
                </c:pt>
                <c:pt idx="2">
                  <c:v>0.65664262500000015</c:v>
                </c:pt>
                <c:pt idx="3">
                  <c:v>0.65599724999999998</c:v>
                </c:pt>
                <c:pt idx="4">
                  <c:v>0.65505737499999994</c:v>
                </c:pt>
                <c:pt idx="5">
                  <c:v>0.65478012500000005</c:v>
                </c:pt>
                <c:pt idx="6">
                  <c:v>0.65227674999999996</c:v>
                </c:pt>
                <c:pt idx="7">
                  <c:v>0.65367975</c:v>
                </c:pt>
                <c:pt idx="8">
                  <c:v>0.65472112500000001</c:v>
                </c:pt>
                <c:pt idx="9">
                  <c:v>0.65365337500000009</c:v>
                </c:pt>
                <c:pt idx="10">
                  <c:v>0.65418524999999983</c:v>
                </c:pt>
                <c:pt idx="11">
                  <c:v>0.65578024999999995</c:v>
                </c:pt>
                <c:pt idx="12">
                  <c:v>0.656366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02-404D-AC6A-03E88E8BE56D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image'!$L$38,'Magdeburg dataset full image'!$L$126,'Magdeburg dataset full image'!$L$214,'Magdeburg dataset full image'!$L$302,'Magdeburg dataset full image'!$L$390,'Magdeburg dataset full image'!$L$478,'Magdeburg dataset full image'!$L$566,'Magdeburg dataset full image'!$L$654,'Magdeburg dataset full image'!$L$742,'Magdeburg dataset full image'!$L$830,'Magdeburg dataset full image'!$L$918,'Magdeburg dataset full image'!$L$1006,'Magdeburg dataset full image'!$L$1094)</c:f>
              <c:numCache>
                <c:formatCode>General</c:formatCode>
                <c:ptCount val="13"/>
                <c:pt idx="0">
                  <c:v>0.657871125</c:v>
                </c:pt>
                <c:pt idx="1">
                  <c:v>0.65839775</c:v>
                </c:pt>
                <c:pt idx="2">
                  <c:v>0.65564287499999996</c:v>
                </c:pt>
                <c:pt idx="3">
                  <c:v>0.65615237500000001</c:v>
                </c:pt>
                <c:pt idx="4">
                  <c:v>0.65564287499999996</c:v>
                </c:pt>
                <c:pt idx="5">
                  <c:v>0.65244950000000002</c:v>
                </c:pt>
                <c:pt idx="6">
                  <c:v>0.65393587499999994</c:v>
                </c:pt>
                <c:pt idx="7">
                  <c:v>0.65430687499999995</c:v>
                </c:pt>
                <c:pt idx="8">
                  <c:v>0.65106074999999997</c:v>
                </c:pt>
                <c:pt idx="9">
                  <c:v>0.65234787500000002</c:v>
                </c:pt>
                <c:pt idx="10">
                  <c:v>0.65167549999999996</c:v>
                </c:pt>
                <c:pt idx="11">
                  <c:v>0.65364337499999992</c:v>
                </c:pt>
                <c:pt idx="12">
                  <c:v>0.65345449999999994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02-404D-AC6A-03E88E8BE56D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image'!$L$28,'Magdeburg dataset full image'!$L$116,'Magdeburg dataset full image'!$L$204,'Magdeburg dataset full image'!$L$292,'Magdeburg dataset full image'!$L$380,'Magdeburg dataset full image'!$L$468,'Magdeburg dataset full image'!$L$556,'Magdeburg dataset full image'!$L$644,'Magdeburg dataset full image'!$L$732,'Magdeburg dataset full image'!$L$820,'Magdeburg dataset full image'!$L$908,'Magdeburg dataset full image'!$L$996,'Magdeburg dataset full image'!$L$1084)</c:f>
              <c:numCache>
                <c:formatCode>General</c:formatCode>
                <c:ptCount val="13"/>
                <c:pt idx="0">
                  <c:v>0.66918012500000001</c:v>
                </c:pt>
                <c:pt idx="1">
                  <c:v>0.66507374999999991</c:v>
                </c:pt>
                <c:pt idx="2">
                  <c:v>0.66200487499999994</c:v>
                </c:pt>
                <c:pt idx="3">
                  <c:v>0.66044225000000001</c:v>
                </c:pt>
                <c:pt idx="4">
                  <c:v>0.65964912499999995</c:v>
                </c:pt>
                <c:pt idx="5">
                  <c:v>0.65837275000000006</c:v>
                </c:pt>
                <c:pt idx="6">
                  <c:v>0.65772074999999997</c:v>
                </c:pt>
                <c:pt idx="7">
                  <c:v>0.65717875000000003</c:v>
                </c:pt>
                <c:pt idx="8">
                  <c:v>0.65771812500000015</c:v>
                </c:pt>
                <c:pt idx="9">
                  <c:v>0.65736250000000007</c:v>
                </c:pt>
                <c:pt idx="10">
                  <c:v>0.65614075000000005</c:v>
                </c:pt>
                <c:pt idx="11">
                  <c:v>0.65735762500000017</c:v>
                </c:pt>
                <c:pt idx="12">
                  <c:v>0.65669837499999995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2-404D-AC6A-03E88E8BE56D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('Magdeburg dataset full image'!$N$76,'Magdeburg dataset full image'!$N$164,'Magdeburg dataset full image'!$N$252,'Magdeburg dataset full image'!$N$340,'Magdeburg dataset full image'!$N$428,'Magdeburg dataset full image'!$N$516,'Magdeburg dataset full image'!$N$604,'Magdeburg dataset full image'!$N$692,'Magdeburg dataset full image'!$N$780,'Magdeburg dataset full image'!$N$868,'Magdeburg dataset full image'!$N$956,'Magdeburg dataset full image'!$N$1044,'Magdeburg dataset full image'!$N$1132)</c:f>
                <c:numCache>
                  <c:formatCode>General</c:formatCode>
                  <c:ptCount val="13"/>
                  <c:pt idx="0">
                    <c:v>2.9654931552819959E-2</c:v>
                  </c:pt>
                  <c:pt idx="1">
                    <c:v>2.8822368113186392E-2</c:v>
                  </c:pt>
                  <c:pt idx="2">
                    <c:v>2.7591809911616742E-2</c:v>
                  </c:pt>
                  <c:pt idx="3">
                    <c:v>2.643529099333549E-2</c:v>
                  </c:pt>
                  <c:pt idx="4">
                    <c:v>2.6202991761612102E-2</c:v>
                  </c:pt>
                  <c:pt idx="5">
                    <c:v>2.5799759933886099E-2</c:v>
                  </c:pt>
                  <c:pt idx="6">
                    <c:v>2.5445513081605274E-2</c:v>
                  </c:pt>
                  <c:pt idx="7">
                    <c:v>2.5238635866999384E-2</c:v>
                  </c:pt>
                  <c:pt idx="8">
                    <c:v>2.4896163242471021E-2</c:v>
                  </c:pt>
                  <c:pt idx="9">
                    <c:v>2.4585505732988223E-2</c:v>
                  </c:pt>
                  <c:pt idx="10">
                    <c:v>2.5139533676298141E-2</c:v>
                  </c:pt>
                  <c:pt idx="11">
                    <c:v>2.4999605543797251E-2</c:v>
                  </c:pt>
                  <c:pt idx="12">
                    <c:v>2.5928518940075907E-2</c:v>
                  </c:pt>
                </c:numCache>
              </c:numRef>
            </c:plus>
            <c:minus>
              <c:numRef>
                <c:f>('Magdeburg dataset full image'!$N$76,'Magdeburg dataset full image'!$N$164,'Magdeburg dataset full image'!$N$252,'Magdeburg dataset full image'!$N$340,'Magdeburg dataset full image'!$N$428,'Magdeburg dataset full image'!$N$516,'Magdeburg dataset full image'!$N$604,'Magdeburg dataset full image'!$N$692,'Magdeburg dataset full image'!$N$780,'Magdeburg dataset full image'!$N$868,'Magdeburg dataset full image'!$N$956,'Magdeburg dataset full image'!$N$1044,'Magdeburg dataset full image'!$N$1132)</c:f>
                <c:numCache>
                  <c:formatCode>General</c:formatCode>
                  <c:ptCount val="13"/>
                  <c:pt idx="0">
                    <c:v>2.9654931552819959E-2</c:v>
                  </c:pt>
                  <c:pt idx="1">
                    <c:v>2.8822368113186392E-2</c:v>
                  </c:pt>
                  <c:pt idx="2">
                    <c:v>2.7591809911616742E-2</c:v>
                  </c:pt>
                  <c:pt idx="3">
                    <c:v>2.643529099333549E-2</c:v>
                  </c:pt>
                  <c:pt idx="4">
                    <c:v>2.6202991761612102E-2</c:v>
                  </c:pt>
                  <c:pt idx="5">
                    <c:v>2.5799759933886099E-2</c:v>
                  </c:pt>
                  <c:pt idx="6">
                    <c:v>2.5445513081605274E-2</c:v>
                  </c:pt>
                  <c:pt idx="7">
                    <c:v>2.5238635866999384E-2</c:v>
                  </c:pt>
                  <c:pt idx="8">
                    <c:v>2.4896163242471021E-2</c:v>
                  </c:pt>
                  <c:pt idx="9">
                    <c:v>2.4585505732988223E-2</c:v>
                  </c:pt>
                  <c:pt idx="10">
                    <c:v>2.5139533676298141E-2</c:v>
                  </c:pt>
                  <c:pt idx="11">
                    <c:v>2.4999605543797251E-2</c:v>
                  </c:pt>
                  <c:pt idx="12">
                    <c:v>2.5928518940075907E-2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image'!$L$76,'Magdeburg dataset full image'!$L$164,'Magdeburg dataset full image'!$L$252,'Magdeburg dataset full image'!$L$340,'Magdeburg dataset full image'!$L$428,'Magdeburg dataset full image'!$L$516,'Magdeburg dataset full image'!$L$604,'Magdeburg dataset full image'!$L$692,'Magdeburg dataset full image'!$L$780,'Magdeburg dataset full image'!$L$868,'Magdeburg dataset full image'!$L$956,'Magdeburg dataset full image'!$L$1044,'Magdeburg dataset full image'!$L$1132)</c:f>
              <c:numCache>
                <c:formatCode>General</c:formatCode>
                <c:ptCount val="13"/>
                <c:pt idx="0">
                  <c:v>0.678936875</c:v>
                </c:pt>
                <c:pt idx="1">
                  <c:v>0.67275337499999999</c:v>
                </c:pt>
                <c:pt idx="2">
                  <c:v>0.66471487499999993</c:v>
                </c:pt>
                <c:pt idx="3">
                  <c:v>0.65705374999999999</c:v>
                </c:pt>
                <c:pt idx="4">
                  <c:v>0.65195562500000004</c:v>
                </c:pt>
                <c:pt idx="5">
                  <c:v>0.64758987499999998</c:v>
                </c:pt>
                <c:pt idx="6">
                  <c:v>0.64423837499999992</c:v>
                </c:pt>
                <c:pt idx="7">
                  <c:v>0.64337962500000001</c:v>
                </c:pt>
                <c:pt idx="8">
                  <c:v>0.64194562499999996</c:v>
                </c:pt>
                <c:pt idx="9">
                  <c:v>0.6412270000000001</c:v>
                </c:pt>
                <c:pt idx="10">
                  <c:v>0.63937500000000014</c:v>
                </c:pt>
                <c:pt idx="11">
                  <c:v>0.63894000000000006</c:v>
                </c:pt>
                <c:pt idx="12">
                  <c:v>0.64020850000000007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02-404D-AC6A-03E88E8BE56D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image'!$L$86,'Magdeburg dataset full image'!$L$174,'Magdeburg dataset full image'!$L$262,'Magdeburg dataset full image'!$L$350,'Magdeburg dataset full image'!$L$438,'Magdeburg dataset full image'!$L$526,'Magdeburg dataset full image'!$L$614,'Magdeburg dataset full image'!$L$702,'Magdeburg dataset full image'!$L$790,'Magdeburg dataset full image'!$L$878,'Magdeburg dataset full image'!$L$966,'Magdeburg dataset full image'!$L$1054,'Magdeburg dataset full image'!$L$1142)</c:f>
              <c:numCache>
                <c:formatCode>General</c:formatCode>
                <c:ptCount val="13"/>
                <c:pt idx="0">
                  <c:v>0.66799987500000013</c:v>
                </c:pt>
                <c:pt idx="1">
                  <c:v>0.66318050000000006</c:v>
                </c:pt>
                <c:pt idx="2">
                  <c:v>0.65897237499999994</c:v>
                </c:pt>
                <c:pt idx="3">
                  <c:v>0.65683875000000003</c:v>
                </c:pt>
                <c:pt idx="4">
                  <c:v>0.654817125</c:v>
                </c:pt>
                <c:pt idx="5">
                  <c:v>0.65429187499999997</c:v>
                </c:pt>
                <c:pt idx="6">
                  <c:v>0.65412387499999991</c:v>
                </c:pt>
                <c:pt idx="7">
                  <c:v>0.65341724999999995</c:v>
                </c:pt>
                <c:pt idx="8">
                  <c:v>0.65321262499999999</c:v>
                </c:pt>
                <c:pt idx="9">
                  <c:v>0.65381725000000002</c:v>
                </c:pt>
                <c:pt idx="10">
                  <c:v>0.65233675000000002</c:v>
                </c:pt>
                <c:pt idx="11">
                  <c:v>0.65429599999999999</c:v>
                </c:pt>
                <c:pt idx="12">
                  <c:v>0.65421937500000005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02-404D-AC6A-03E88E8BE56D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image'!$L$81,'Magdeburg dataset full image'!$L$169,'Magdeburg dataset full image'!$L$257,'Magdeburg dataset full image'!$L$345,'Magdeburg dataset full image'!$L$433,'Magdeburg dataset full image'!$L$521,'Magdeburg dataset full image'!$L$609,'Magdeburg dataset full image'!$L$697,'Magdeburg dataset full image'!$L$785,'Magdeburg dataset full image'!$L$873,'Magdeburg dataset full image'!$L$961,'Magdeburg dataset full image'!$L$1049,'Magdeburg dataset full image'!$L$1137)</c:f>
              <c:numCache>
                <c:formatCode>General</c:formatCode>
                <c:ptCount val="13"/>
                <c:pt idx="0">
                  <c:v>0.66800000000000004</c:v>
                </c:pt>
                <c:pt idx="1">
                  <c:v>0.65145525000000004</c:v>
                </c:pt>
                <c:pt idx="2">
                  <c:v>0.63626037499999999</c:v>
                </c:pt>
                <c:pt idx="3">
                  <c:v>0.62405612500000007</c:v>
                </c:pt>
                <c:pt idx="4">
                  <c:v>0.61462424999999998</c:v>
                </c:pt>
                <c:pt idx="5">
                  <c:v>0.60672187499999997</c:v>
                </c:pt>
                <c:pt idx="6">
                  <c:v>0.60053575000000003</c:v>
                </c:pt>
                <c:pt idx="7">
                  <c:v>0.59573349999999992</c:v>
                </c:pt>
                <c:pt idx="8">
                  <c:v>0.59236537499999997</c:v>
                </c:pt>
                <c:pt idx="9">
                  <c:v>0.58983000000000008</c:v>
                </c:pt>
                <c:pt idx="10">
                  <c:v>0.58808099999999985</c:v>
                </c:pt>
                <c:pt idx="11">
                  <c:v>0.58779425000000007</c:v>
                </c:pt>
                <c:pt idx="12">
                  <c:v>0.58855124999999986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9B02-404D-AC6A-03E88E8BE56D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image'!$L$48,'Magdeburg dataset full image'!$L$136,'Magdeburg dataset full image'!$L$224,'Magdeburg dataset full image'!$L$312,'Magdeburg dataset full image'!$L$400,'Magdeburg dataset full image'!$L$488,'Magdeburg dataset full image'!$L$576,'Magdeburg dataset full image'!$L$664,'Magdeburg dataset full image'!$L$752,'Magdeburg dataset full image'!$L$840,'Magdeburg dataset full image'!$L$928,'Magdeburg dataset full image'!$L$1016,'Magdeburg dataset full image'!$L$1104)</c:f>
              <c:numCache>
                <c:formatCode>General</c:formatCode>
                <c:ptCount val="13"/>
                <c:pt idx="0">
                  <c:v>0.65610399999999991</c:v>
                </c:pt>
                <c:pt idx="1">
                  <c:v>0.65251124999999999</c:v>
                </c:pt>
                <c:pt idx="2">
                  <c:v>0.6499935</c:v>
                </c:pt>
                <c:pt idx="3">
                  <c:v>0.64745787500000007</c:v>
                </c:pt>
                <c:pt idx="4">
                  <c:v>0.64555249999999997</c:v>
                </c:pt>
                <c:pt idx="5">
                  <c:v>0.64455962499999997</c:v>
                </c:pt>
                <c:pt idx="6">
                  <c:v>0.64402662499999996</c:v>
                </c:pt>
                <c:pt idx="7">
                  <c:v>0.64348737499999997</c:v>
                </c:pt>
                <c:pt idx="8">
                  <c:v>0.64325162499999999</c:v>
                </c:pt>
                <c:pt idx="9">
                  <c:v>0.642618625</c:v>
                </c:pt>
                <c:pt idx="10">
                  <c:v>0.64180312499999992</c:v>
                </c:pt>
                <c:pt idx="11">
                  <c:v>0.64251499999999995</c:v>
                </c:pt>
                <c:pt idx="12">
                  <c:v>0.64203862500000008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02-404D-AC6A-03E88E8BE56D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image'!$L$58,'Magdeburg dataset full image'!$L$146,'Magdeburg dataset full image'!$L$234,'Magdeburg dataset full image'!$L$322,'Magdeburg dataset full image'!$L$410,'Magdeburg dataset full image'!$L$498,'Magdeburg dataset full image'!$L$586,'Magdeburg dataset full image'!$L$674,'Magdeburg dataset full image'!$L$762,'Magdeburg dataset full image'!$L$850,'Magdeburg dataset full image'!$L$938,'Magdeburg dataset full image'!$L$1026,'Magdeburg dataset full image'!$L$1114)</c:f>
              <c:numCache>
                <c:formatCode>General</c:formatCode>
                <c:ptCount val="13"/>
                <c:pt idx="0">
                  <c:v>0.67535999999999996</c:v>
                </c:pt>
                <c:pt idx="1">
                  <c:v>0.66814762500000002</c:v>
                </c:pt>
                <c:pt idx="2">
                  <c:v>0.66211350000000002</c:v>
                </c:pt>
                <c:pt idx="3">
                  <c:v>0.65312387500000002</c:v>
                </c:pt>
                <c:pt idx="4">
                  <c:v>0.65071374999999987</c:v>
                </c:pt>
                <c:pt idx="5">
                  <c:v>0.64756037500000008</c:v>
                </c:pt>
                <c:pt idx="6">
                  <c:v>0.64472275000000001</c:v>
                </c:pt>
                <c:pt idx="7">
                  <c:v>0.641656</c:v>
                </c:pt>
                <c:pt idx="8">
                  <c:v>0.64099637499999995</c:v>
                </c:pt>
                <c:pt idx="9">
                  <c:v>0.63934537499999988</c:v>
                </c:pt>
                <c:pt idx="10">
                  <c:v>0.64009062500000002</c:v>
                </c:pt>
                <c:pt idx="11">
                  <c:v>0.63619162500000004</c:v>
                </c:pt>
                <c:pt idx="12">
                  <c:v>0.63440074999999996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B02-404D-AC6A-03E88E8BE56D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full image'!$A$5,'Magdeburg dataset full image'!$A$93,'Magdeburg dataset full image'!$A$181,'Magdeburg dataset full image'!$A$269,'Magdeburg dataset full image'!$A$357,'Magdeburg dataset full image'!$A$445,'Magdeburg dataset full image'!$A$533,'Magdeburg dataset full image'!$A$621,'Magdeburg dataset full image'!$A$709,'Magdeburg dataset full image'!$A$797,'Magdeburg dataset full image'!$A$885,'Magdeburg dataset full image'!$A$973,'Magdeburg dataset full image'!$A$1061)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full image'!$L$91,'Magdeburg dataset full image'!$L$179,'Magdeburg dataset full image'!$L$267,'Magdeburg dataset full image'!$L$355,'Magdeburg dataset full image'!$L$443,'Magdeburg dataset full image'!$L$531,'Magdeburg dataset full image'!$L$619,'Magdeburg dataset full image'!$L$707,'Magdeburg dataset full image'!$L$795,'Magdeburg dataset full image'!$L$883,'Magdeburg dataset full image'!$L$971,'Magdeburg dataset full image'!$L$1059,'Magdeburg dataset full image'!$L$1147)</c:f>
              <c:numCache>
                <c:formatCode>General</c:formatCode>
                <c:ptCount val="13"/>
                <c:pt idx="0">
                  <c:v>0.72325050000000002</c:v>
                </c:pt>
                <c:pt idx="1">
                  <c:v>0.67987924999999994</c:v>
                </c:pt>
                <c:pt idx="2">
                  <c:v>0.64762175</c:v>
                </c:pt>
                <c:pt idx="3">
                  <c:v>0.6255155</c:v>
                </c:pt>
                <c:pt idx="4">
                  <c:v>0.6115901250000001</c:v>
                </c:pt>
                <c:pt idx="5">
                  <c:v>0.5974235</c:v>
                </c:pt>
                <c:pt idx="6">
                  <c:v>0.58746612499999995</c:v>
                </c:pt>
                <c:pt idx="7">
                  <c:v>0.57964424999999997</c:v>
                </c:pt>
                <c:pt idx="8">
                  <c:v>0.57497649999999989</c:v>
                </c:pt>
                <c:pt idx="9">
                  <c:v>0.57223400000000002</c:v>
                </c:pt>
                <c:pt idx="10">
                  <c:v>0.57025787500000003</c:v>
                </c:pt>
                <c:pt idx="11">
                  <c:v>0.57078200000000012</c:v>
                </c:pt>
                <c:pt idx="12">
                  <c:v>0.57359637499999994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02-404D-AC6A-03E88E8B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in val="0.63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RNN RTRL</c:v>
          </c:tx>
          <c:spPr>
            <a:ln w="19050" cap="rnd">
              <a:solidFill>
                <a:srgbClr val="00B050">
                  <a:alpha val="98000"/>
                </a:srgbClr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ROI'!$L$8,'Magdeburg dataset ROI'!$L$96,'Magdeburg dataset ROI'!$L$184,'Magdeburg dataset ROI'!$L$272,'Magdeburg dataset ROI'!$L$360,'Magdeburg dataset ROI'!$L$448,'Magdeburg dataset ROI'!$L$536,'Magdeburg dataset ROI'!$L$624,'Magdeburg dataset ROI'!$L$712,'Magdeburg dataset ROI'!$L$800,'Magdeburg dataset ROI'!$L$888,'Magdeburg dataset ROI'!$L$976,'Magdeburg dataset ROI'!$L$1064)</c:f>
              <c:numCache>
                <c:formatCode>General</c:formatCode>
                <c:ptCount val="13"/>
                <c:pt idx="0">
                  <c:v>0.48834699999999998</c:v>
                </c:pt>
                <c:pt idx="1">
                  <c:v>0.48740524999999996</c:v>
                </c:pt>
                <c:pt idx="2">
                  <c:v>0.48060375000000005</c:v>
                </c:pt>
                <c:pt idx="3">
                  <c:v>0.48002837500000001</c:v>
                </c:pt>
                <c:pt idx="4">
                  <c:v>0.47817649999999995</c:v>
                </c:pt>
                <c:pt idx="5">
                  <c:v>0.47686050000000002</c:v>
                </c:pt>
                <c:pt idx="6">
                  <c:v>0.47090512499999998</c:v>
                </c:pt>
                <c:pt idx="7">
                  <c:v>0.47226862499999994</c:v>
                </c:pt>
                <c:pt idx="8">
                  <c:v>0.47293449999999998</c:v>
                </c:pt>
                <c:pt idx="9">
                  <c:v>0.46943999999999997</c:v>
                </c:pt>
                <c:pt idx="10">
                  <c:v>0.47673149999999997</c:v>
                </c:pt>
                <c:pt idx="11">
                  <c:v>0.47379112499999992</c:v>
                </c:pt>
                <c:pt idx="12">
                  <c:v>0.47532824999999995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06E-41E0-AE46-8427375FF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87616"/>
        <c:axId val="-337605568"/>
        <c:extLst/>
      </c:scatterChart>
      <c:scatterChart>
        <c:scatterStyle val="lineMarker"/>
        <c:varyColors val="0"/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ROI'!$L$18,'Magdeburg dataset ROI'!$L$106,'Magdeburg dataset ROI'!$L$194,'Magdeburg dataset ROI'!$L$282,'Magdeburg dataset ROI'!$L$370,'Magdeburg dataset ROI'!$L$458,'Magdeburg dataset ROI'!$L$546,'Magdeburg dataset ROI'!$L$634,'Magdeburg dataset ROI'!$L$722,'Magdeburg dataset ROI'!$L$810,'Magdeburg dataset ROI'!$L$898,'Magdeburg dataset ROI'!$L$986,'Magdeburg dataset ROI'!$L$1074)</c:f>
              <c:numCache>
                <c:formatCode>General</c:formatCode>
                <c:ptCount val="13"/>
                <c:pt idx="0">
                  <c:v>0.48054249999999998</c:v>
                </c:pt>
                <c:pt idx="1">
                  <c:v>0.46996424999999997</c:v>
                </c:pt>
                <c:pt idx="2">
                  <c:v>0.47082087500000003</c:v>
                </c:pt>
                <c:pt idx="3">
                  <c:v>0.46859424999999999</c:v>
                </c:pt>
                <c:pt idx="4">
                  <c:v>0.46731787500000005</c:v>
                </c:pt>
                <c:pt idx="5">
                  <c:v>0.46679174999999995</c:v>
                </c:pt>
                <c:pt idx="6">
                  <c:v>0.46107799999999999</c:v>
                </c:pt>
                <c:pt idx="7">
                  <c:v>0.46340775000000001</c:v>
                </c:pt>
                <c:pt idx="8">
                  <c:v>0.46566099999999999</c:v>
                </c:pt>
                <c:pt idx="9">
                  <c:v>0.46345350000000002</c:v>
                </c:pt>
                <c:pt idx="10">
                  <c:v>0.46503125000000001</c:v>
                </c:pt>
                <c:pt idx="11">
                  <c:v>0.46832087499999991</c:v>
                </c:pt>
                <c:pt idx="12">
                  <c:v>0.46934987499999997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6E-41E0-AE46-8427375FF8B2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ROI'!$L$38,'Magdeburg dataset ROI'!$L$126,'Magdeburg dataset ROI'!$L$214,'Magdeburg dataset ROI'!$L$302,'Magdeburg dataset ROI'!$L$390,'Magdeburg dataset ROI'!$L$478,'Magdeburg dataset ROI'!$L$566,'Magdeburg dataset ROI'!$L$654,'Magdeburg dataset ROI'!$L$742,'Magdeburg dataset ROI'!$L$830,'Magdeburg dataset ROI'!$L$918,'Magdeburg dataset ROI'!$L$1006,'Magdeburg dataset ROI'!$L$1094)</c:f>
              <c:numCache>
                <c:formatCode>General</c:formatCode>
                <c:ptCount val="13"/>
                <c:pt idx="0">
                  <c:v>0.47333212499999999</c:v>
                </c:pt>
                <c:pt idx="1">
                  <c:v>0.47457712500000004</c:v>
                </c:pt>
                <c:pt idx="2">
                  <c:v>0.4674012500000001</c:v>
                </c:pt>
                <c:pt idx="3">
                  <c:v>0.46886649999999996</c:v>
                </c:pt>
                <c:pt idx="4">
                  <c:v>0.46791175000000002</c:v>
                </c:pt>
                <c:pt idx="5">
                  <c:v>0.460462125</c:v>
                </c:pt>
                <c:pt idx="6">
                  <c:v>0.46458525000000001</c:v>
                </c:pt>
                <c:pt idx="7">
                  <c:v>0.46588549999999995</c:v>
                </c:pt>
                <c:pt idx="8">
                  <c:v>0.45783800000000002</c:v>
                </c:pt>
                <c:pt idx="9">
                  <c:v>0.46079249999999999</c:v>
                </c:pt>
                <c:pt idx="10">
                  <c:v>0.45860137500000003</c:v>
                </c:pt>
                <c:pt idx="11">
                  <c:v>0.4640205</c:v>
                </c:pt>
                <c:pt idx="12">
                  <c:v>0.46265387500000005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6E-41E0-AE46-8427375FF8B2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ROI'!$L$28,'Magdeburg dataset ROI'!$L$116,'Magdeburg dataset ROI'!$L$204,'Magdeburg dataset ROI'!$L$292,'Magdeburg dataset ROI'!$L$380,'Magdeburg dataset ROI'!$L$468,'Magdeburg dataset ROI'!$L$556,'Magdeburg dataset ROI'!$L$644,'Magdeburg dataset ROI'!$L$732,'Magdeburg dataset ROI'!$L$820,'Magdeburg dataset ROI'!$L$908,'Magdeburg dataset ROI'!$L$996,'Magdeburg dataset ROI'!$L$1084)</c:f>
              <c:numCache>
                <c:formatCode>General</c:formatCode>
                <c:ptCount val="13"/>
                <c:pt idx="0">
                  <c:v>0.49797175000000005</c:v>
                </c:pt>
                <c:pt idx="1">
                  <c:v>0.48905474999999998</c:v>
                </c:pt>
                <c:pt idx="2">
                  <c:v>0.48183674999999998</c:v>
                </c:pt>
                <c:pt idx="3">
                  <c:v>0.47813212499999996</c:v>
                </c:pt>
                <c:pt idx="4">
                  <c:v>0.47633887500000005</c:v>
                </c:pt>
                <c:pt idx="5">
                  <c:v>0.47373062500000007</c:v>
                </c:pt>
                <c:pt idx="6">
                  <c:v>0.47219187500000004</c:v>
                </c:pt>
                <c:pt idx="7">
                  <c:v>0.47107787499999998</c:v>
                </c:pt>
                <c:pt idx="8">
                  <c:v>0.47253174999999997</c:v>
                </c:pt>
                <c:pt idx="9">
                  <c:v>0.47169662500000004</c:v>
                </c:pt>
                <c:pt idx="10">
                  <c:v>0.46761024999999995</c:v>
                </c:pt>
                <c:pt idx="11">
                  <c:v>0.47014687499999996</c:v>
                </c:pt>
                <c:pt idx="12">
                  <c:v>0.46899787499999995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6E-41E0-AE46-8427375FF8B2}"/>
            </c:ext>
          </c:extLst>
        </c:ser>
        <c:ser>
          <c:idx val="4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ROI'!$L$76,'Magdeburg dataset ROI'!$L$164,'Magdeburg dataset ROI'!$L$252,'Magdeburg dataset ROI'!$L$340,'Magdeburg dataset ROI'!$L$428,'Magdeburg dataset ROI'!$L$516,'Magdeburg dataset ROI'!$L$604,'Magdeburg dataset ROI'!$L$692,'Magdeburg dataset ROI'!$L$780,'Magdeburg dataset ROI'!$L$868,'Magdeburg dataset ROI'!$L$956,'Magdeburg dataset ROI'!$L$1044,'Magdeburg dataset ROI'!$L$1132)</c:f>
              <c:numCache>
                <c:formatCode>General</c:formatCode>
                <c:ptCount val="13"/>
                <c:pt idx="0">
                  <c:v>0.51768287499999999</c:v>
                </c:pt>
                <c:pt idx="1">
                  <c:v>0.50341675000000008</c:v>
                </c:pt>
                <c:pt idx="2">
                  <c:v>0.48451037499999999</c:v>
                </c:pt>
                <c:pt idx="3">
                  <c:v>0.46651900000000002</c:v>
                </c:pt>
                <c:pt idx="4">
                  <c:v>0.45463124999999993</c:v>
                </c:pt>
                <c:pt idx="5">
                  <c:v>0.44482974999999997</c:v>
                </c:pt>
                <c:pt idx="6">
                  <c:v>0.43612512499999995</c:v>
                </c:pt>
                <c:pt idx="7">
                  <c:v>0.43406287500000007</c:v>
                </c:pt>
                <c:pt idx="8">
                  <c:v>0.43136225000000006</c:v>
                </c:pt>
                <c:pt idx="9">
                  <c:v>0.43035787499999989</c:v>
                </c:pt>
                <c:pt idx="10">
                  <c:v>0.427001625</c:v>
                </c:pt>
                <c:pt idx="11">
                  <c:v>0.43008062499999999</c:v>
                </c:pt>
                <c:pt idx="12">
                  <c:v>0.429643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6E-41E0-AE46-8427375FF8B2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ROI'!$L$86,'Magdeburg dataset ROI'!$L$174,'Magdeburg dataset ROI'!$L$262,'Magdeburg dataset ROI'!$L$350,'Magdeburg dataset ROI'!$L$438,'Magdeburg dataset ROI'!$L$526,'Magdeburg dataset ROI'!$L$614,'Magdeburg dataset ROI'!$L$702,'Magdeburg dataset ROI'!$L$790,'Magdeburg dataset ROI'!$L$878,'Magdeburg dataset ROI'!$L$966,'Magdeburg dataset ROI'!$L$1054,'Magdeburg dataset ROI'!$L$1142)</c:f>
              <c:numCache>
                <c:formatCode>General</c:formatCode>
                <c:ptCount val="13"/>
                <c:pt idx="0">
                  <c:v>0.49720124999999998</c:v>
                </c:pt>
                <c:pt idx="1">
                  <c:v>0.48570037500000007</c:v>
                </c:pt>
                <c:pt idx="2">
                  <c:v>0.47595187500000002</c:v>
                </c:pt>
                <c:pt idx="3">
                  <c:v>0.47086862499999999</c:v>
                </c:pt>
                <c:pt idx="4">
                  <c:v>0.46711125000000003</c:v>
                </c:pt>
                <c:pt idx="5">
                  <c:v>0.46582474999999995</c:v>
                </c:pt>
                <c:pt idx="6">
                  <c:v>0.46523037500000003</c:v>
                </c:pt>
                <c:pt idx="7">
                  <c:v>0.46414224999999998</c:v>
                </c:pt>
                <c:pt idx="8">
                  <c:v>0.462906125</c:v>
                </c:pt>
                <c:pt idx="9">
                  <c:v>0.46503762500000001</c:v>
                </c:pt>
                <c:pt idx="10">
                  <c:v>0.45926737500000003</c:v>
                </c:pt>
                <c:pt idx="11">
                  <c:v>0.46337487499999991</c:v>
                </c:pt>
                <c:pt idx="12">
                  <c:v>0.46326362500000001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6E-41E0-AE46-8427375FF8B2}"/>
            </c:ext>
          </c:extLst>
        </c:ser>
        <c:ser>
          <c:idx val="3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ROI'!$L$81,'Magdeburg dataset ROI'!$L$169,'Magdeburg dataset ROI'!$L$257,'Magdeburg dataset ROI'!$L$345,'Magdeburg dataset ROI'!$L$433,'Magdeburg dataset ROI'!$L$521,'Magdeburg dataset ROI'!$L$609,'Magdeburg dataset ROI'!$L$697,'Magdeburg dataset ROI'!$L$785,'Magdeburg dataset ROI'!$L$873,'Magdeburg dataset ROI'!$L$961,'Magdeburg dataset ROI'!$L$1049,'Magdeburg dataset ROI'!$L$1137)</c:f>
              <c:numCache>
                <c:formatCode>General</c:formatCode>
                <c:ptCount val="13"/>
                <c:pt idx="0">
                  <c:v>0.49667537500000003</c:v>
                </c:pt>
                <c:pt idx="1">
                  <c:v>0.45819625000000003</c:v>
                </c:pt>
                <c:pt idx="2">
                  <c:v>0.42367824999999998</c:v>
                </c:pt>
                <c:pt idx="3">
                  <c:v>0.39646100000000001</c:v>
                </c:pt>
                <c:pt idx="4">
                  <c:v>0.37510399999999999</c:v>
                </c:pt>
                <c:pt idx="5">
                  <c:v>0.35858325000000002</c:v>
                </c:pt>
                <c:pt idx="6">
                  <c:v>0.34467237499999998</c:v>
                </c:pt>
                <c:pt idx="7">
                  <c:v>0.33428637499999997</c:v>
                </c:pt>
                <c:pt idx="8">
                  <c:v>0.32704350000000004</c:v>
                </c:pt>
                <c:pt idx="9">
                  <c:v>0.32169700000000001</c:v>
                </c:pt>
                <c:pt idx="10">
                  <c:v>0.31847237500000003</c:v>
                </c:pt>
                <c:pt idx="11">
                  <c:v>0.31747124999999998</c:v>
                </c:pt>
                <c:pt idx="12">
                  <c:v>0.31907350000000001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06E-41E0-AE46-8427375FF8B2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ROI'!$L$48,'Magdeburg dataset ROI'!$L$136,'Magdeburg dataset ROI'!$L$224,'Magdeburg dataset ROI'!$L$312,'Magdeburg dataset ROI'!$L$400,'Magdeburg dataset ROI'!$L$488,'Magdeburg dataset ROI'!$L$576,'Magdeburg dataset ROI'!$L$664,'Magdeburg dataset ROI'!$L$752,'Magdeburg dataset ROI'!$L$840,'Magdeburg dataset ROI'!$L$928,'Magdeburg dataset ROI'!$L$1016,'Magdeburg dataset ROI'!$L$1104)</c:f>
              <c:numCache>
                <c:formatCode>General</c:formatCode>
                <c:ptCount val="13"/>
                <c:pt idx="0">
                  <c:v>0.44691225000000001</c:v>
                </c:pt>
                <c:pt idx="1">
                  <c:v>0.43960900000000003</c:v>
                </c:pt>
                <c:pt idx="2">
                  <c:v>0.43375337499999994</c:v>
                </c:pt>
                <c:pt idx="3">
                  <c:v>0.42499099999999995</c:v>
                </c:pt>
                <c:pt idx="4">
                  <c:v>0.42101112500000004</c:v>
                </c:pt>
                <c:pt idx="5">
                  <c:v>0.41973662499999992</c:v>
                </c:pt>
                <c:pt idx="6">
                  <c:v>0.41851150000000004</c:v>
                </c:pt>
                <c:pt idx="7">
                  <c:v>0.41776962500000003</c:v>
                </c:pt>
                <c:pt idx="8">
                  <c:v>0.41667075000000003</c:v>
                </c:pt>
                <c:pt idx="9">
                  <c:v>0.41591287499999996</c:v>
                </c:pt>
                <c:pt idx="10">
                  <c:v>0.41358299999999998</c:v>
                </c:pt>
                <c:pt idx="11">
                  <c:v>0.41518850000000002</c:v>
                </c:pt>
                <c:pt idx="12">
                  <c:v>0.41464737499999993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6E-41E0-AE46-8427375FF8B2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ROI'!$L$58,'Magdeburg dataset ROI'!$L$146,'Magdeburg dataset ROI'!$L$234,'Magdeburg dataset ROI'!$L$322,'Magdeburg dataset ROI'!$L$410,'Magdeburg dataset ROI'!$L$498,'Magdeburg dataset ROI'!$L$586,'Magdeburg dataset ROI'!$L$674,'Magdeburg dataset ROI'!$L$762,'Magdeburg dataset ROI'!$L$850,'Magdeburg dataset ROI'!$L$938,'Magdeburg dataset ROI'!$L$1026,'Magdeburg dataset ROI'!$L$1114)</c:f>
              <c:numCache>
                <c:formatCode>General</c:formatCode>
                <c:ptCount val="13"/>
                <c:pt idx="0">
                  <c:v>0.50941512500000008</c:v>
                </c:pt>
                <c:pt idx="1">
                  <c:v>0.49132762499999999</c:v>
                </c:pt>
                <c:pt idx="2">
                  <c:v>0.47631599999999996</c:v>
                </c:pt>
                <c:pt idx="3">
                  <c:v>0.45700724999999998</c:v>
                </c:pt>
                <c:pt idx="4">
                  <c:v>0.45074024999999995</c:v>
                </c:pt>
                <c:pt idx="5">
                  <c:v>0.44503412499999995</c:v>
                </c:pt>
                <c:pt idx="6">
                  <c:v>0.43834799999999996</c:v>
                </c:pt>
                <c:pt idx="7">
                  <c:v>0.43194612500000001</c:v>
                </c:pt>
                <c:pt idx="8">
                  <c:v>0.43060062500000001</c:v>
                </c:pt>
                <c:pt idx="9">
                  <c:v>0.427229625</c:v>
                </c:pt>
                <c:pt idx="10">
                  <c:v>0.42861337500000002</c:v>
                </c:pt>
                <c:pt idx="11">
                  <c:v>0.42152574999999992</c:v>
                </c:pt>
                <c:pt idx="12">
                  <c:v>0.41807612500000002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06E-41E0-AE46-8427375FF8B2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ROI'!$L$91,'Magdeburg dataset ROI'!$L$179,'Magdeburg dataset ROI'!$L$267,'Magdeburg dataset ROI'!$L$355,'Magdeburg dataset ROI'!$L$443,'Magdeburg dataset ROI'!$L$531,'Magdeburg dataset ROI'!$L$619,'Magdeburg dataset ROI'!$L$707,'Magdeburg dataset ROI'!$L$795,'Magdeburg dataset ROI'!$L$883,'Magdeburg dataset ROI'!$L$971,'Magdeburg dataset ROI'!$L$1059,'Magdeburg dataset ROI'!$L$1147)</c:f>
              <c:numCache>
                <c:formatCode>General</c:formatCode>
                <c:ptCount val="13"/>
                <c:pt idx="0">
                  <c:v>0.617521875</c:v>
                </c:pt>
                <c:pt idx="1">
                  <c:v>0.52819875000000005</c:v>
                </c:pt>
                <c:pt idx="2">
                  <c:v>0.46221237500000001</c:v>
                </c:pt>
                <c:pt idx="3">
                  <c:v>0.41767387500000003</c:v>
                </c:pt>
                <c:pt idx="4">
                  <c:v>0.3874515</c:v>
                </c:pt>
                <c:pt idx="5">
                  <c:v>0.36147524999999997</c:v>
                </c:pt>
                <c:pt idx="6">
                  <c:v>0.34247462499999998</c:v>
                </c:pt>
                <c:pt idx="7">
                  <c:v>0.327590875</c:v>
                </c:pt>
                <c:pt idx="8">
                  <c:v>0.31786912500000003</c:v>
                </c:pt>
                <c:pt idx="9">
                  <c:v>0.31165799999999999</c:v>
                </c:pt>
                <c:pt idx="10">
                  <c:v>0.308616375</c:v>
                </c:pt>
                <c:pt idx="11">
                  <c:v>0.30978574999999997</c:v>
                </c:pt>
                <c:pt idx="12">
                  <c:v>0.31496787500000001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6E-41E0-AE46-8427375FF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7593600"/>
        <c:axId val="-337582176"/>
        <c:extLst/>
      </c:scatterChart>
      <c:valAx>
        <c:axId val="-337587616"/>
        <c:scaling>
          <c:orientation val="minMax"/>
          <c:max val="2.20000000000000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605568"/>
        <c:crosses val="autoZero"/>
        <c:crossBetween val="midCat"/>
        <c:majorUnit val="0.5"/>
      </c:valAx>
      <c:valAx>
        <c:axId val="-337605568"/>
        <c:scaling>
          <c:orientation val="minMax"/>
          <c:max val="0.6200000000000001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SSIM between the original and </a:t>
                </a:r>
              </a:p>
              <a:p>
                <a:pPr>
                  <a:defRPr lang="ja-JP" sz="140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7587616"/>
        <c:crosses val="autoZero"/>
        <c:crossBetween val="midCat"/>
      </c:valAx>
      <c:valAx>
        <c:axId val="-3375821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337593600"/>
        <c:crosses val="max"/>
        <c:crossBetween val="midCat"/>
      </c:valAx>
      <c:valAx>
        <c:axId val="-337593600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-33758217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ROI'!$L$4,'Magdeburg dataset ROI'!$L$92,'Magdeburg dataset ROI'!$L$180,'Magdeburg dataset ROI'!$L$268,'Magdeburg dataset ROI'!$L$356,'Magdeburg dataset ROI'!$L$444,'Magdeburg dataset ROI'!$L$532,'Magdeburg dataset ROI'!$L$620,'Magdeburg dataset ROI'!$L$708,'Magdeburg dataset ROI'!$L$796,'Magdeburg dataset ROI'!$L$884,'Magdeburg dataset ROI'!$L$972,'Magdeburg dataset ROI'!$L$1060)</c:f>
              <c:numCache>
                <c:formatCode>General</c:formatCode>
                <c:ptCount val="13"/>
                <c:pt idx="0">
                  <c:v>0.83847287500000001</c:v>
                </c:pt>
                <c:pt idx="1">
                  <c:v>0.84595862499999985</c:v>
                </c:pt>
                <c:pt idx="2">
                  <c:v>0.84191187499999998</c:v>
                </c:pt>
                <c:pt idx="3">
                  <c:v>0.84096237499999993</c:v>
                </c:pt>
                <c:pt idx="4">
                  <c:v>0.84026449999999997</c:v>
                </c:pt>
                <c:pt idx="5">
                  <c:v>0.83815300000000004</c:v>
                </c:pt>
                <c:pt idx="6">
                  <c:v>0.83307874999999998</c:v>
                </c:pt>
                <c:pt idx="7">
                  <c:v>0.83393399999999995</c:v>
                </c:pt>
                <c:pt idx="8">
                  <c:v>0.83623024999999995</c:v>
                </c:pt>
                <c:pt idx="9">
                  <c:v>0.83301775</c:v>
                </c:pt>
                <c:pt idx="10">
                  <c:v>0.83991662499999997</c:v>
                </c:pt>
                <c:pt idx="11">
                  <c:v>0.83683375000000004</c:v>
                </c:pt>
                <c:pt idx="12">
                  <c:v>0.83786274999999988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BF0-4256-AC2C-2D6207D5F3A6}"/>
            </c:ext>
          </c:extLst>
        </c:ser>
        <c:ser>
          <c:idx val="2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ROI'!$L$14,'Magdeburg dataset ROI'!$L$102,'Magdeburg dataset ROI'!$L$190,'Magdeburg dataset ROI'!$L$278,'Magdeburg dataset ROI'!$L$366,'Magdeburg dataset ROI'!$L$454,'Magdeburg dataset ROI'!$L$542,'Magdeburg dataset ROI'!$L$630,'Magdeburg dataset ROI'!$L$718,'Magdeburg dataset ROI'!$L$806,'Magdeburg dataset ROI'!$L$894,'Magdeburg dataset ROI'!$L$982,'Magdeburg dataset ROI'!$L$1070)</c:f>
              <c:numCache>
                <c:formatCode>General</c:formatCode>
                <c:ptCount val="13"/>
                <c:pt idx="0">
                  <c:v>0.83943024999999993</c:v>
                </c:pt>
                <c:pt idx="1">
                  <c:v>0.83341012500000011</c:v>
                </c:pt>
                <c:pt idx="2">
                  <c:v>0.83356312500000007</c:v>
                </c:pt>
                <c:pt idx="3">
                  <c:v>0.83238374999999998</c:v>
                </c:pt>
                <c:pt idx="4">
                  <c:v>0.83154824999999999</c:v>
                </c:pt>
                <c:pt idx="5">
                  <c:v>0.83109437499999994</c:v>
                </c:pt>
                <c:pt idx="6">
                  <c:v>0.82817499999999988</c:v>
                </c:pt>
                <c:pt idx="7">
                  <c:v>0.82914587500000003</c:v>
                </c:pt>
                <c:pt idx="8">
                  <c:v>0.83030825000000008</c:v>
                </c:pt>
                <c:pt idx="9">
                  <c:v>0.82949024999999987</c:v>
                </c:pt>
                <c:pt idx="10">
                  <c:v>0.83015337499999997</c:v>
                </c:pt>
                <c:pt idx="11">
                  <c:v>0.83244462500000005</c:v>
                </c:pt>
                <c:pt idx="12">
                  <c:v>0.83183425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0-4256-AC2C-2D6207D5F3A6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ROI'!$L$34,'Magdeburg dataset ROI'!$L$122,'Magdeburg dataset ROI'!$L$210,'Magdeburg dataset ROI'!$L$298,'Magdeburg dataset ROI'!$L$386,'Magdeburg dataset ROI'!$L$474,'Magdeburg dataset ROI'!$L$562,'Magdeburg dataset ROI'!$L$650,'Magdeburg dataset ROI'!$L$738,'Magdeburg dataset ROI'!$L$826,'Magdeburg dataset ROI'!$L$914,'Magdeburg dataset ROI'!$L$1002,'Magdeburg dataset ROI'!$L$1090)</c:f>
              <c:numCache>
                <c:formatCode>General</c:formatCode>
                <c:ptCount val="13"/>
                <c:pt idx="0">
                  <c:v>0.83598575000000008</c:v>
                </c:pt>
                <c:pt idx="1">
                  <c:v>0.83728962500000004</c:v>
                </c:pt>
                <c:pt idx="2">
                  <c:v>0.83325875000000005</c:v>
                </c:pt>
                <c:pt idx="3">
                  <c:v>0.83436900000000003</c:v>
                </c:pt>
                <c:pt idx="4">
                  <c:v>0.83339437500000013</c:v>
                </c:pt>
                <c:pt idx="5">
                  <c:v>0.827519</c:v>
                </c:pt>
                <c:pt idx="6">
                  <c:v>0.83135387500000002</c:v>
                </c:pt>
                <c:pt idx="7">
                  <c:v>0.83098162500000006</c:v>
                </c:pt>
                <c:pt idx="8">
                  <c:v>0.82750774999999988</c:v>
                </c:pt>
                <c:pt idx="9">
                  <c:v>0.82824537500000006</c:v>
                </c:pt>
                <c:pt idx="10">
                  <c:v>0.82727937500000004</c:v>
                </c:pt>
                <c:pt idx="11">
                  <c:v>0.83089462500000011</c:v>
                </c:pt>
                <c:pt idx="12">
                  <c:v>0.83014512500000004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0-4256-AC2C-2D6207D5F3A6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ROI'!$L$24,'Magdeburg dataset ROI'!$L$112,'Magdeburg dataset ROI'!$L$200,'Magdeburg dataset ROI'!$L$288,'Magdeburg dataset ROI'!$L$376,'Magdeburg dataset ROI'!$L$464,'Magdeburg dataset ROI'!$L$552,'Magdeburg dataset ROI'!$L$640,'Magdeburg dataset ROI'!$L$728,'Magdeburg dataset ROI'!$L$816,'Magdeburg dataset ROI'!$L$904,'Magdeburg dataset ROI'!$L$992,'Magdeburg dataset ROI'!$L$1080)</c:f>
              <c:numCache>
                <c:formatCode>General</c:formatCode>
                <c:ptCount val="13"/>
                <c:pt idx="0">
                  <c:v>0.853568875</c:v>
                </c:pt>
                <c:pt idx="1">
                  <c:v>0.84723812500000006</c:v>
                </c:pt>
                <c:pt idx="2">
                  <c:v>0.84245812499999995</c:v>
                </c:pt>
                <c:pt idx="3">
                  <c:v>0.8395227500000001</c:v>
                </c:pt>
                <c:pt idx="4">
                  <c:v>0.83824849999999995</c:v>
                </c:pt>
                <c:pt idx="5">
                  <c:v>0.83700187500000001</c:v>
                </c:pt>
                <c:pt idx="6">
                  <c:v>0.83614362499999995</c:v>
                </c:pt>
                <c:pt idx="7">
                  <c:v>0.83537312499999994</c:v>
                </c:pt>
                <c:pt idx="8">
                  <c:v>0.83669249999999995</c:v>
                </c:pt>
                <c:pt idx="9">
                  <c:v>0.83628487499999993</c:v>
                </c:pt>
                <c:pt idx="10">
                  <c:v>0.83368287500000005</c:v>
                </c:pt>
                <c:pt idx="11">
                  <c:v>0.83503649999999996</c:v>
                </c:pt>
                <c:pt idx="12">
                  <c:v>0.83455987499999995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0-4256-AC2C-2D6207D5F3A6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ROI'!$L$74,'Magdeburg dataset ROI'!$L$162,'Magdeburg dataset ROI'!$L$250,'Magdeburg dataset ROI'!$L$338,'Magdeburg dataset ROI'!$L$426,'Magdeburg dataset ROI'!$L$514,'Magdeburg dataset ROI'!$L$602,'Magdeburg dataset ROI'!$L$690,'Magdeburg dataset ROI'!$L$778,'Magdeburg dataset ROI'!$L$866,'Magdeburg dataset ROI'!$L$954,'Magdeburg dataset ROI'!$L$1042,'Magdeburg dataset ROI'!$L$1130)</c:f>
              <c:numCache>
                <c:formatCode>General</c:formatCode>
                <c:ptCount val="13"/>
                <c:pt idx="0">
                  <c:v>0.86517224999999987</c:v>
                </c:pt>
                <c:pt idx="1">
                  <c:v>0.85635999999999979</c:v>
                </c:pt>
                <c:pt idx="2">
                  <c:v>0.84423725000000005</c:v>
                </c:pt>
                <c:pt idx="3">
                  <c:v>0.83206550000000012</c:v>
                </c:pt>
                <c:pt idx="4">
                  <c:v>0.82402399999999998</c:v>
                </c:pt>
                <c:pt idx="5">
                  <c:v>0.81689875000000001</c:v>
                </c:pt>
                <c:pt idx="6">
                  <c:v>0.81015274999999998</c:v>
                </c:pt>
                <c:pt idx="7">
                  <c:v>0.808465875</c:v>
                </c:pt>
                <c:pt idx="8">
                  <c:v>0.80626750000000003</c:v>
                </c:pt>
                <c:pt idx="9">
                  <c:v>0.80579449999999997</c:v>
                </c:pt>
                <c:pt idx="10">
                  <c:v>0.80310599999999999</c:v>
                </c:pt>
                <c:pt idx="11">
                  <c:v>0.80459600000000009</c:v>
                </c:pt>
                <c:pt idx="12">
                  <c:v>0.80389674999999994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F0-4256-AC2C-2D6207D5F3A6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ROI'!$L$84,'Magdeburg dataset ROI'!$L$172,'Magdeburg dataset ROI'!$L$260,'Magdeburg dataset ROI'!$L$348,'Magdeburg dataset ROI'!$L$436,'Magdeburg dataset ROI'!$L$524,'Magdeburg dataset ROI'!$L$612,'Magdeburg dataset ROI'!$L$700,'Magdeburg dataset ROI'!$L$788,'Magdeburg dataset ROI'!$L$876,'Magdeburg dataset ROI'!$L$964,'Magdeburg dataset ROI'!$L$1052,'Magdeburg dataset ROI'!$L$1140)</c:f>
              <c:numCache>
                <c:formatCode>General</c:formatCode>
                <c:ptCount val="13"/>
                <c:pt idx="0">
                  <c:v>0.8499621249999999</c:v>
                </c:pt>
                <c:pt idx="1">
                  <c:v>0.84395312499999986</c:v>
                </c:pt>
                <c:pt idx="2">
                  <c:v>0.83632862500000005</c:v>
                </c:pt>
                <c:pt idx="3">
                  <c:v>0.8340972499999999</c:v>
                </c:pt>
                <c:pt idx="4">
                  <c:v>0.83058037500000004</c:v>
                </c:pt>
                <c:pt idx="5">
                  <c:v>0.83062074999999991</c:v>
                </c:pt>
                <c:pt idx="6">
                  <c:v>0.83010475000000006</c:v>
                </c:pt>
                <c:pt idx="7">
                  <c:v>0.82931899999999992</c:v>
                </c:pt>
                <c:pt idx="8">
                  <c:v>0.82785674999999992</c:v>
                </c:pt>
                <c:pt idx="9">
                  <c:v>0.8300011249999999</c:v>
                </c:pt>
                <c:pt idx="10">
                  <c:v>0.82488325000000007</c:v>
                </c:pt>
                <c:pt idx="11">
                  <c:v>0.82751125000000003</c:v>
                </c:pt>
                <c:pt idx="12">
                  <c:v>0.82796237499999992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F0-4256-AC2C-2D6207D5F3A6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ROI'!$L$79,'Magdeburg dataset ROI'!$L$167,'Magdeburg dataset ROI'!$L$255,'Magdeburg dataset ROI'!$L$343,'Magdeburg dataset ROI'!$L$431,'Magdeburg dataset ROI'!$L$519,'Magdeburg dataset ROI'!$L$607,'Magdeburg dataset ROI'!$L$695,'Magdeburg dataset ROI'!$L$783,'Magdeburg dataset ROI'!$L$871,'Magdeburg dataset ROI'!$L$959,'Magdeburg dataset ROI'!$L$1047,'Magdeburg dataset ROI'!$L$1135)</c:f>
              <c:numCache>
                <c:formatCode>General</c:formatCode>
                <c:ptCount val="13"/>
                <c:pt idx="0">
                  <c:v>0.85122374999999995</c:v>
                </c:pt>
                <c:pt idx="1">
                  <c:v>0.82484950000000001</c:v>
                </c:pt>
                <c:pt idx="2">
                  <c:v>0.79887437499999991</c:v>
                </c:pt>
                <c:pt idx="3">
                  <c:v>0.77628249999999999</c:v>
                </c:pt>
                <c:pt idx="4">
                  <c:v>0.75758287499999999</c:v>
                </c:pt>
                <c:pt idx="5">
                  <c:v>0.74150124999999989</c:v>
                </c:pt>
                <c:pt idx="6">
                  <c:v>0.72903912500000001</c:v>
                </c:pt>
                <c:pt idx="7">
                  <c:v>0.71870699999999998</c:v>
                </c:pt>
                <c:pt idx="8">
                  <c:v>0.71175262499999992</c:v>
                </c:pt>
                <c:pt idx="9">
                  <c:v>0.70640112500000007</c:v>
                </c:pt>
                <c:pt idx="10">
                  <c:v>0.70332675</c:v>
                </c:pt>
                <c:pt idx="11">
                  <c:v>0.70215312499999993</c:v>
                </c:pt>
                <c:pt idx="12">
                  <c:v>0.70384400000000003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BF0-4256-AC2C-2D6207D5F3A6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ROI'!$L$44,'Magdeburg dataset ROI'!$L$132,'Magdeburg dataset ROI'!$L$220,'Magdeburg dataset ROI'!$L$308,'Magdeburg dataset ROI'!$L$396,'Magdeburg dataset ROI'!$L$484,'Magdeburg dataset ROI'!$L$572,'Magdeburg dataset ROI'!$L$660,'Magdeburg dataset ROI'!$L$748,'Magdeburg dataset ROI'!$L$836,'Magdeburg dataset ROI'!$L$924,'Magdeburg dataset ROI'!$L$1012,'Magdeburg dataset ROI'!$L$1100)</c:f>
              <c:numCache>
                <c:formatCode>General</c:formatCode>
                <c:ptCount val="13"/>
                <c:pt idx="0">
                  <c:v>0.8230050000000001</c:v>
                </c:pt>
                <c:pt idx="1">
                  <c:v>0.81820837499999999</c:v>
                </c:pt>
                <c:pt idx="2">
                  <c:v>0.81317287499999991</c:v>
                </c:pt>
                <c:pt idx="3">
                  <c:v>0.80636437500000002</c:v>
                </c:pt>
                <c:pt idx="4">
                  <c:v>0.80354049999999999</c:v>
                </c:pt>
                <c:pt idx="5">
                  <c:v>0.80288274999999998</c:v>
                </c:pt>
                <c:pt idx="6">
                  <c:v>0.80261712500000004</c:v>
                </c:pt>
                <c:pt idx="7">
                  <c:v>0.80231887499999999</c:v>
                </c:pt>
                <c:pt idx="8">
                  <c:v>0.80147687499999998</c:v>
                </c:pt>
                <c:pt idx="9">
                  <c:v>0.80106687500000007</c:v>
                </c:pt>
                <c:pt idx="10">
                  <c:v>0.79965975</c:v>
                </c:pt>
                <c:pt idx="11">
                  <c:v>0.80055499999999991</c:v>
                </c:pt>
                <c:pt idx="12">
                  <c:v>0.80012062500000003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F0-4256-AC2C-2D6207D5F3A6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ROI'!$L$54,'Magdeburg dataset ROI'!$L$142,'Magdeburg dataset ROI'!$L$230,'Magdeburg dataset ROI'!$L$318,'Magdeburg dataset ROI'!$L$406,'Magdeburg dataset ROI'!$L$494,'Magdeburg dataset ROI'!$L$582,'Magdeburg dataset ROI'!$L$670,'Magdeburg dataset ROI'!$L$758,'Magdeburg dataset ROI'!$L$846,'Magdeburg dataset ROI'!$L$934,'Magdeburg dataset ROI'!$L$1022,'Magdeburg dataset ROI'!$L$1110)</c:f>
              <c:numCache>
                <c:formatCode>General</c:formatCode>
                <c:ptCount val="13"/>
                <c:pt idx="0">
                  <c:v>0.86029862499999987</c:v>
                </c:pt>
                <c:pt idx="1">
                  <c:v>0.84636937499999998</c:v>
                </c:pt>
                <c:pt idx="2">
                  <c:v>0.83650499999999994</c:v>
                </c:pt>
                <c:pt idx="3">
                  <c:v>0.8227675000000001</c:v>
                </c:pt>
                <c:pt idx="4">
                  <c:v>0.81871575000000008</c:v>
                </c:pt>
                <c:pt idx="5">
                  <c:v>0.81341549999999996</c:v>
                </c:pt>
                <c:pt idx="6">
                  <c:v>0.80835100000000004</c:v>
                </c:pt>
                <c:pt idx="7">
                  <c:v>0.80389262500000003</c:v>
                </c:pt>
                <c:pt idx="8">
                  <c:v>0.80360749999999992</c:v>
                </c:pt>
                <c:pt idx="9">
                  <c:v>0.79984875000000011</c:v>
                </c:pt>
                <c:pt idx="10">
                  <c:v>0.79995812500000008</c:v>
                </c:pt>
                <c:pt idx="11">
                  <c:v>0.79534625000000003</c:v>
                </c:pt>
                <c:pt idx="12">
                  <c:v>0.79052125000000006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BF0-4256-AC2C-2D6207D5F3A6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ROI'!$L$89,'Magdeburg dataset ROI'!$L$177,'Magdeburg dataset ROI'!$L$265,'Magdeburg dataset ROI'!$L$353,'Magdeburg dataset ROI'!$L$441,'Magdeburg dataset ROI'!$L$529,'Magdeburg dataset ROI'!$L$617,'Magdeburg dataset ROI'!$L$705,'Magdeburg dataset ROI'!$L$793,'Magdeburg dataset ROI'!$L$881,'Magdeburg dataset ROI'!$L$969,'Magdeburg dataset ROI'!$L$1057,'Magdeburg dataset ROI'!$L$1145)</c:f>
              <c:numCache>
                <c:formatCode>General</c:formatCode>
                <c:ptCount val="13"/>
                <c:pt idx="0">
                  <c:v>0.90425362500000006</c:v>
                </c:pt>
                <c:pt idx="1">
                  <c:v>0.85248287500000008</c:v>
                </c:pt>
                <c:pt idx="2">
                  <c:v>0.80447837500000008</c:v>
                </c:pt>
                <c:pt idx="3">
                  <c:v>0.76870349999999998</c:v>
                </c:pt>
                <c:pt idx="4">
                  <c:v>0.7426753749999998</c:v>
                </c:pt>
                <c:pt idx="5">
                  <c:v>0.71741750000000004</c:v>
                </c:pt>
                <c:pt idx="6">
                  <c:v>0.69984425000000017</c:v>
                </c:pt>
                <c:pt idx="7">
                  <c:v>0.68479824999999994</c:v>
                </c:pt>
                <c:pt idx="8">
                  <c:v>0.67566812500000006</c:v>
                </c:pt>
                <c:pt idx="9">
                  <c:v>0.668841625</c:v>
                </c:pt>
                <c:pt idx="10">
                  <c:v>0.66518262500000003</c:v>
                </c:pt>
                <c:pt idx="11">
                  <c:v>0.66628312500000009</c:v>
                </c:pt>
                <c:pt idx="12">
                  <c:v>0.67133975000000001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F0-4256-AC2C-2D6207D5F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56256"/>
        <c:axId val="-334868768"/>
        <c:extLst/>
      </c:scatterChart>
      <c:valAx>
        <c:axId val="-334856256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8768"/>
        <c:crosses val="autoZero"/>
        <c:crossBetween val="midCat"/>
        <c:majorUnit val="0.5"/>
      </c:valAx>
      <c:valAx>
        <c:axId val="-334868768"/>
        <c:scaling>
          <c:orientation val="minMax"/>
          <c:min val="0.7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Cross-correlation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6256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ROI'!$L$10,'Magdeburg dataset ROI'!$L$98,'Magdeburg dataset ROI'!$L$186,'Magdeburg dataset ROI'!$L$274,'Magdeburg dataset ROI'!$L$362,'Magdeburg dataset ROI'!$L$450,'Magdeburg dataset ROI'!$L$538,'Magdeburg dataset ROI'!$L$626,'Magdeburg dataset ROI'!$L$714,'Magdeburg dataset ROI'!$L$802,'Magdeburg dataset ROI'!$L$890,'Magdeburg dataset ROI'!$L$978,'Magdeburg dataset ROI'!$L$1066)</c:f>
              <c:numCache>
                <c:formatCode>General</c:formatCode>
                <c:ptCount val="13"/>
                <c:pt idx="0">
                  <c:v>2.3348211250000004</c:v>
                </c:pt>
                <c:pt idx="1">
                  <c:v>2.5814445000000004</c:v>
                </c:pt>
                <c:pt idx="2">
                  <c:v>2.6473216249999996</c:v>
                </c:pt>
                <c:pt idx="3">
                  <c:v>2.6431357500000003</c:v>
                </c:pt>
                <c:pt idx="4">
                  <c:v>2.6706299999999996</c:v>
                </c:pt>
                <c:pt idx="5">
                  <c:v>2.6789001249999997</c:v>
                </c:pt>
                <c:pt idx="6">
                  <c:v>2.7255992499999997</c:v>
                </c:pt>
                <c:pt idx="7">
                  <c:v>2.7363076249999998</c:v>
                </c:pt>
                <c:pt idx="8">
                  <c:v>2.7234815000000001</c:v>
                </c:pt>
                <c:pt idx="9">
                  <c:v>2.7861443750000001</c:v>
                </c:pt>
                <c:pt idx="10">
                  <c:v>2.6636406250000002</c:v>
                </c:pt>
                <c:pt idx="11">
                  <c:v>2.7288122499999998</c:v>
                </c:pt>
                <c:pt idx="12">
                  <c:v>2.7104208750000005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E2D-4BC8-9992-7965D5B499B7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ROI'!$L$20,'Magdeburg dataset ROI'!$L$108,'Magdeburg dataset ROI'!$L$196,'Magdeburg dataset ROI'!$L$284,'Magdeburg dataset ROI'!$L$372,'Magdeburg dataset ROI'!$L$460,'Magdeburg dataset ROI'!$L$548,'Magdeburg dataset ROI'!$L$636,'Magdeburg dataset ROI'!$L$724,'Magdeburg dataset ROI'!$L$812,'Magdeburg dataset ROI'!$L$900,'Magdeburg dataset ROI'!$L$988,'Magdeburg dataset ROI'!$L$1076)</c:f>
              <c:numCache>
                <c:formatCode>General</c:formatCode>
                <c:ptCount val="13"/>
                <c:pt idx="0">
                  <c:v>2.6916823750000001</c:v>
                </c:pt>
                <c:pt idx="1">
                  <c:v>2.793192125</c:v>
                </c:pt>
                <c:pt idx="2">
                  <c:v>2.7918011249999997</c:v>
                </c:pt>
                <c:pt idx="3">
                  <c:v>2.8062373750000003</c:v>
                </c:pt>
                <c:pt idx="4">
                  <c:v>2.823067</c:v>
                </c:pt>
                <c:pt idx="5">
                  <c:v>2.823969875</c:v>
                </c:pt>
                <c:pt idx="6">
                  <c:v>2.875026375</c:v>
                </c:pt>
                <c:pt idx="7">
                  <c:v>2.8648108749999999</c:v>
                </c:pt>
                <c:pt idx="8">
                  <c:v>2.8474691250000004</c:v>
                </c:pt>
                <c:pt idx="9">
                  <c:v>2.8668757499999997</c:v>
                </c:pt>
                <c:pt idx="10">
                  <c:v>2.8975750000000002</c:v>
                </c:pt>
                <c:pt idx="11">
                  <c:v>2.8597134999999998</c:v>
                </c:pt>
                <c:pt idx="12">
                  <c:v>2.8535741250000002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2D-4BC8-9992-7965D5B499B7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ROI'!$L$40,'Magdeburg dataset ROI'!$L$128,'Magdeburg dataset ROI'!$L$216,'Magdeburg dataset ROI'!$L$304,'Magdeburg dataset ROI'!$L$392,'Magdeburg dataset ROI'!$L$480,'Magdeburg dataset ROI'!$L$568,'Magdeburg dataset ROI'!$L$656,'Magdeburg dataset ROI'!$L$744,'Magdeburg dataset ROI'!$L$832,'Magdeburg dataset ROI'!$L$920,'Magdeburg dataset ROI'!$L$1008,'Magdeburg dataset ROI'!$L$1096)</c:f>
              <c:numCache>
                <c:formatCode>General</c:formatCode>
                <c:ptCount val="13"/>
                <c:pt idx="0">
                  <c:v>2.7471906249999996</c:v>
                </c:pt>
                <c:pt idx="1">
                  <c:v>2.7288338749999999</c:v>
                </c:pt>
                <c:pt idx="2">
                  <c:v>2.8005571249999996</c:v>
                </c:pt>
                <c:pt idx="3">
                  <c:v>2.77946625</c:v>
                </c:pt>
                <c:pt idx="4">
                  <c:v>2.78008575</c:v>
                </c:pt>
                <c:pt idx="5">
                  <c:v>2.8952713750000001</c:v>
                </c:pt>
                <c:pt idx="6">
                  <c:v>2.829951125</c:v>
                </c:pt>
                <c:pt idx="7">
                  <c:v>2.8228099999999996</c:v>
                </c:pt>
                <c:pt idx="8">
                  <c:v>2.9146087500000002</c:v>
                </c:pt>
                <c:pt idx="9">
                  <c:v>2.8736786249999997</c:v>
                </c:pt>
                <c:pt idx="10">
                  <c:v>2.9717101249999995</c:v>
                </c:pt>
                <c:pt idx="11">
                  <c:v>2.9165053749999998</c:v>
                </c:pt>
                <c:pt idx="12">
                  <c:v>2.8962051249999998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2D-4BC8-9992-7965D5B499B7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ROI'!$L$30,'Magdeburg dataset ROI'!$L$118,'Magdeburg dataset ROI'!$L$206,'Magdeburg dataset ROI'!$L$294,'Magdeburg dataset ROI'!$L$382,'Magdeburg dataset ROI'!$L$470,'Magdeburg dataset ROI'!$L$558,'Magdeburg dataset ROI'!$L$646,'Magdeburg dataset ROI'!$L$734,'Magdeburg dataset ROI'!$L$822,'Magdeburg dataset ROI'!$L$910,'Magdeburg dataset ROI'!$L$998,'Magdeburg dataset ROI'!$L$1086)</c:f>
              <c:numCache>
                <c:formatCode>General</c:formatCode>
                <c:ptCount val="13"/>
                <c:pt idx="0">
                  <c:v>2.4185533750000001</c:v>
                </c:pt>
                <c:pt idx="1">
                  <c:v>2.5329640000000002</c:v>
                </c:pt>
                <c:pt idx="2">
                  <c:v>2.6116847499999998</c:v>
                </c:pt>
                <c:pt idx="3">
                  <c:v>2.6557919999999999</c:v>
                </c:pt>
                <c:pt idx="4">
                  <c:v>2.683920375</c:v>
                </c:pt>
                <c:pt idx="5">
                  <c:v>2.7162661249999998</c:v>
                </c:pt>
                <c:pt idx="6">
                  <c:v>2.733082375</c:v>
                </c:pt>
                <c:pt idx="7">
                  <c:v>2.7472596249999999</c:v>
                </c:pt>
                <c:pt idx="8">
                  <c:v>2.7232466249999998</c:v>
                </c:pt>
                <c:pt idx="9">
                  <c:v>2.7301648749999998</c:v>
                </c:pt>
                <c:pt idx="10">
                  <c:v>2.7740593749999998</c:v>
                </c:pt>
                <c:pt idx="11">
                  <c:v>2.7419670000000003</c:v>
                </c:pt>
                <c:pt idx="12">
                  <c:v>2.7512265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2D-4BC8-9992-7965D5B499B7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ROI'!$L$77,'Magdeburg dataset ROI'!$L$165,'Magdeburg dataset ROI'!$L$253,'Magdeburg dataset ROI'!$L$341,'Magdeburg dataset ROI'!$L$429,'Magdeburg dataset ROI'!$L$517,'Magdeburg dataset ROI'!$L$605,'Magdeburg dataset ROI'!$L$693,'Magdeburg dataset ROI'!$L$781,'Magdeburg dataset ROI'!$L$869,'Magdeburg dataset ROI'!$L$957,'Magdeburg dataset ROI'!$L$1045,'Magdeburg dataset ROI'!$L$1133)</c:f>
              <c:numCache>
                <c:formatCode>General</c:formatCode>
                <c:ptCount val="13"/>
                <c:pt idx="0">
                  <c:v>2.2780287499999998</c:v>
                </c:pt>
                <c:pt idx="1">
                  <c:v>2.4305213749999997</c:v>
                </c:pt>
                <c:pt idx="2">
                  <c:v>2.5731609999999998</c:v>
                </c:pt>
                <c:pt idx="3">
                  <c:v>2.7918808750000004</c:v>
                </c:pt>
                <c:pt idx="4">
                  <c:v>2.941621375</c:v>
                </c:pt>
                <c:pt idx="5">
                  <c:v>3.08162125</c:v>
                </c:pt>
                <c:pt idx="6">
                  <c:v>3.2054026250000001</c:v>
                </c:pt>
                <c:pt idx="7">
                  <c:v>3.2418296250000003</c:v>
                </c:pt>
                <c:pt idx="8">
                  <c:v>3.3142455000000002</c:v>
                </c:pt>
                <c:pt idx="9">
                  <c:v>3.3581024999999998</c:v>
                </c:pt>
                <c:pt idx="10">
                  <c:v>3.4745863749999999</c:v>
                </c:pt>
                <c:pt idx="11">
                  <c:v>3.4650958750000003</c:v>
                </c:pt>
                <c:pt idx="12">
                  <c:v>3.4728811250000002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2D-4BC8-9992-7965D5B499B7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ROI'!$L$87,'Magdeburg dataset ROI'!$L$175,'Magdeburg dataset ROI'!$L$263,'Magdeburg dataset ROI'!$L$351,'Magdeburg dataset ROI'!$L$439,'Magdeburg dataset ROI'!$L$527,'Magdeburg dataset ROI'!$L$615,'Magdeburg dataset ROI'!$L$703,'Magdeburg dataset ROI'!$L$791,'Magdeburg dataset ROI'!$L$879,'Magdeburg dataset ROI'!$L$967,'Magdeburg dataset ROI'!$L$1055,'Magdeburg dataset ROI'!$L$1143)</c:f>
              <c:numCache>
                <c:formatCode>General</c:formatCode>
                <c:ptCount val="13"/>
                <c:pt idx="0">
                  <c:v>2.52513575</c:v>
                </c:pt>
                <c:pt idx="1">
                  <c:v>2.6255388749999997</c:v>
                </c:pt>
                <c:pt idx="2">
                  <c:v>2.7854220000000001</c:v>
                </c:pt>
                <c:pt idx="3">
                  <c:v>2.8016516249999999</c:v>
                </c:pt>
                <c:pt idx="4">
                  <c:v>2.895806125</c:v>
                </c:pt>
                <c:pt idx="5">
                  <c:v>2.8963056249999997</c:v>
                </c:pt>
                <c:pt idx="6">
                  <c:v>2.9374161250000004</c:v>
                </c:pt>
                <c:pt idx="7">
                  <c:v>2.9330202499999998</c:v>
                </c:pt>
                <c:pt idx="8">
                  <c:v>2.9408287500000001</c:v>
                </c:pt>
                <c:pt idx="9">
                  <c:v>2.9189660000000002</c:v>
                </c:pt>
                <c:pt idx="10">
                  <c:v>2.9681048749999999</c:v>
                </c:pt>
                <c:pt idx="11">
                  <c:v>2.914243125</c:v>
                </c:pt>
                <c:pt idx="12">
                  <c:v>2.9146166250000007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2D-4BC8-9992-7965D5B499B7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ROI'!$L$82,'Magdeburg dataset ROI'!$L$170,'Magdeburg dataset ROI'!$L$258,'Magdeburg dataset ROI'!$L$346,'Magdeburg dataset ROI'!$L$434,'Magdeburg dataset ROI'!$L$522,'Magdeburg dataset ROI'!$L$610,'Magdeburg dataset ROI'!$L$698,'Magdeburg dataset ROI'!$L$786,'Magdeburg dataset ROI'!$L$874,'Magdeburg dataset ROI'!$L$962,'Magdeburg dataset ROI'!$L$1050,'Magdeburg dataset ROI'!$L$1138)</c:f>
              <c:numCache>
                <c:formatCode>General</c:formatCode>
                <c:ptCount val="13"/>
                <c:pt idx="0">
                  <c:v>2.4942577499999996</c:v>
                </c:pt>
                <c:pt idx="1">
                  <c:v>2.9419835000000001</c:v>
                </c:pt>
                <c:pt idx="2">
                  <c:v>3.3520074999999996</c:v>
                </c:pt>
                <c:pt idx="3">
                  <c:v>3.7585189999999997</c:v>
                </c:pt>
                <c:pt idx="4">
                  <c:v>4.1328782499999992</c:v>
                </c:pt>
                <c:pt idx="5">
                  <c:v>4.4884668750000003</c:v>
                </c:pt>
                <c:pt idx="6">
                  <c:v>4.7706282499999997</c:v>
                </c:pt>
                <c:pt idx="7">
                  <c:v>4.9711647499999998</c:v>
                </c:pt>
                <c:pt idx="8">
                  <c:v>5.1243987500000001</c:v>
                </c:pt>
                <c:pt idx="9">
                  <c:v>5.2427167500000005</c:v>
                </c:pt>
                <c:pt idx="10">
                  <c:v>5.3843163749999992</c:v>
                </c:pt>
                <c:pt idx="11">
                  <c:v>5.3275210000000008</c:v>
                </c:pt>
                <c:pt idx="12">
                  <c:v>5.2905962499999992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E2D-4BC8-9992-7965D5B499B7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ROI'!$L$50,'Magdeburg dataset ROI'!$L$138,'Magdeburg dataset ROI'!$L$226,'Magdeburg dataset ROI'!$L$314,'Magdeburg dataset ROI'!$L$402,'Magdeburg dataset ROI'!$L$490,'Magdeburg dataset ROI'!$L$578,'Magdeburg dataset ROI'!$L$666,'Magdeburg dataset ROI'!$L$754,'Magdeburg dataset ROI'!$L$842,'Magdeburg dataset ROI'!$L$930,'Magdeburg dataset ROI'!$L$1018,'Magdeburg dataset ROI'!$L$1106)</c:f>
              <c:numCache>
                <c:formatCode>General</c:formatCode>
                <c:ptCount val="13"/>
                <c:pt idx="0">
                  <c:v>2.7420884999999999</c:v>
                </c:pt>
                <c:pt idx="1">
                  <c:v>2.8538177500000002</c:v>
                </c:pt>
                <c:pt idx="2">
                  <c:v>2.9153547500000001</c:v>
                </c:pt>
                <c:pt idx="3">
                  <c:v>3.0673519999999996</c:v>
                </c:pt>
                <c:pt idx="4">
                  <c:v>3.119983</c:v>
                </c:pt>
                <c:pt idx="5">
                  <c:v>3.1401059999999998</c:v>
                </c:pt>
                <c:pt idx="6">
                  <c:v>3.15508525</c:v>
                </c:pt>
                <c:pt idx="7">
                  <c:v>3.1734732499999998</c:v>
                </c:pt>
                <c:pt idx="8">
                  <c:v>3.1862928749999995</c:v>
                </c:pt>
                <c:pt idx="9">
                  <c:v>3.1951227500000003</c:v>
                </c:pt>
                <c:pt idx="10">
                  <c:v>3.2157191249999997</c:v>
                </c:pt>
                <c:pt idx="11">
                  <c:v>3.2065465</c:v>
                </c:pt>
                <c:pt idx="12">
                  <c:v>3.2085093750000002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E2D-4BC8-9992-7965D5B499B7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ROI'!$L$60,'Magdeburg dataset ROI'!$L$148,'Magdeburg dataset ROI'!$L$236,'Magdeburg dataset ROI'!$L$324,'Magdeburg dataset ROI'!$L$412,'Magdeburg dataset ROI'!$L$500,'Magdeburg dataset ROI'!$L$588,'Magdeburg dataset ROI'!$L$676,'Magdeburg dataset ROI'!$L$764,'Magdeburg dataset ROI'!$L$852,'Magdeburg dataset ROI'!$L$940,'Magdeburg dataset ROI'!$L$1028,'Magdeburg dataset ROI'!$L$1116)</c:f>
              <c:numCache>
                <c:formatCode>General</c:formatCode>
                <c:ptCount val="13"/>
                <c:pt idx="0">
                  <c:v>2.3686625000000001</c:v>
                </c:pt>
                <c:pt idx="1">
                  <c:v>2.553938375</c:v>
                </c:pt>
                <c:pt idx="2">
                  <c:v>2.6458776249999998</c:v>
                </c:pt>
                <c:pt idx="3">
                  <c:v>3.0137336249999995</c:v>
                </c:pt>
                <c:pt idx="4">
                  <c:v>3.0524631250000001</c:v>
                </c:pt>
                <c:pt idx="5">
                  <c:v>3.1513184999999999</c:v>
                </c:pt>
                <c:pt idx="6">
                  <c:v>3.27799475</c:v>
                </c:pt>
                <c:pt idx="7">
                  <c:v>3.4091203750000005</c:v>
                </c:pt>
                <c:pt idx="8">
                  <c:v>3.3993785000000001</c:v>
                </c:pt>
                <c:pt idx="9">
                  <c:v>3.4802985</c:v>
                </c:pt>
                <c:pt idx="10">
                  <c:v>3.4596676250000002</c:v>
                </c:pt>
                <c:pt idx="11">
                  <c:v>3.6546050000000001</c:v>
                </c:pt>
                <c:pt idx="12">
                  <c:v>3.7907716249999996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E2D-4BC8-9992-7965D5B49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3.8"/>
          <c:min val="2.2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Mean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ROI'!$L$6,'Magdeburg dataset ROI'!$L$94,'Magdeburg dataset ROI'!$L$182,'Magdeburg dataset ROI'!$L$270,'Magdeburg dataset ROI'!$L$358,'Magdeburg dataset ROI'!$L$446,'Magdeburg dataset ROI'!$L$534,'Magdeburg dataset ROI'!$L$622,'Magdeburg dataset ROI'!$L$710,'Magdeburg dataset ROI'!$L$798,'Magdeburg dataset ROI'!$L$886,'Magdeburg dataset ROI'!$L$974,'Magdeburg dataset ROI'!$L$1062)</c:f>
              <c:numCache>
                <c:formatCode>General</c:formatCode>
                <c:ptCount val="13"/>
                <c:pt idx="0">
                  <c:v>0.53362562499999999</c:v>
                </c:pt>
                <c:pt idx="1">
                  <c:v>0.52479187500000002</c:v>
                </c:pt>
                <c:pt idx="2">
                  <c:v>0.53137575000000004</c:v>
                </c:pt>
                <c:pt idx="3">
                  <c:v>0.53235925000000006</c:v>
                </c:pt>
                <c:pt idx="4">
                  <c:v>0.53381774999999998</c:v>
                </c:pt>
                <c:pt idx="5">
                  <c:v>0.53672699999999995</c:v>
                </c:pt>
                <c:pt idx="6">
                  <c:v>0.54359925000000009</c:v>
                </c:pt>
                <c:pt idx="7">
                  <c:v>0.54272762500000005</c:v>
                </c:pt>
                <c:pt idx="8">
                  <c:v>0.53936612500000003</c:v>
                </c:pt>
                <c:pt idx="9">
                  <c:v>0.54371700000000001</c:v>
                </c:pt>
                <c:pt idx="10">
                  <c:v>0.53519125000000001</c:v>
                </c:pt>
                <c:pt idx="11">
                  <c:v>0.53846612500000002</c:v>
                </c:pt>
                <c:pt idx="12">
                  <c:v>0.53666600000000009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E1B-47B3-9F47-3E38012D7F56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ROI'!$L$16,'Magdeburg dataset ROI'!$L$104,'Magdeburg dataset ROI'!$L$192,'Magdeburg dataset ROI'!$L$280,'Magdeburg dataset ROI'!$L$368,'Magdeburg dataset ROI'!$L$456,'Magdeburg dataset ROI'!$L$544,'Magdeburg dataset ROI'!$L$632,'Magdeburg dataset ROI'!$L$720,'Magdeburg dataset ROI'!$L$808,'Magdeburg dataset ROI'!$L$896,'Magdeburg dataset ROI'!$L$984,'Magdeburg dataset ROI'!$L$1072)</c:f>
              <c:numCache>
                <c:formatCode>General</c:formatCode>
                <c:ptCount val="13"/>
                <c:pt idx="0">
                  <c:v>0.53542887500000003</c:v>
                </c:pt>
                <c:pt idx="1">
                  <c:v>0.54518825000000004</c:v>
                </c:pt>
                <c:pt idx="2">
                  <c:v>0.54526875000000008</c:v>
                </c:pt>
                <c:pt idx="3">
                  <c:v>0.54727037499999998</c:v>
                </c:pt>
                <c:pt idx="4">
                  <c:v>0.54859800000000003</c:v>
                </c:pt>
                <c:pt idx="5">
                  <c:v>0.54868012500000007</c:v>
                </c:pt>
                <c:pt idx="6">
                  <c:v>0.55434037500000011</c:v>
                </c:pt>
                <c:pt idx="7">
                  <c:v>0.551639875</c:v>
                </c:pt>
                <c:pt idx="8">
                  <c:v>0.54990862499999993</c:v>
                </c:pt>
                <c:pt idx="9">
                  <c:v>0.55136287499999992</c:v>
                </c:pt>
                <c:pt idx="10">
                  <c:v>0.55047487499999992</c:v>
                </c:pt>
                <c:pt idx="11">
                  <c:v>0.54681062499999999</c:v>
                </c:pt>
                <c:pt idx="12">
                  <c:v>0.54693212499999999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1B-47B3-9F47-3E38012D7F56}"/>
            </c:ext>
          </c:extLst>
        </c:ser>
        <c:ser>
          <c:idx val="4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ROI'!$L$36,'Magdeburg dataset ROI'!$L$124,'Magdeburg dataset ROI'!$L$212,'Magdeburg dataset ROI'!$L$300,'Magdeburg dataset ROI'!$L$388,'Magdeburg dataset ROI'!$L$476,'Magdeburg dataset ROI'!$L$564,'Magdeburg dataset ROI'!$L$652,'Magdeburg dataset ROI'!$L$740,'Magdeburg dataset ROI'!$L$828,'Magdeburg dataset ROI'!$L$916,'Magdeburg dataset ROI'!$L$1004,'Magdeburg dataset ROI'!$L$1092)</c:f>
              <c:numCache>
                <c:formatCode>General</c:formatCode>
                <c:ptCount val="13"/>
                <c:pt idx="0">
                  <c:v>0.54002900000000009</c:v>
                </c:pt>
                <c:pt idx="1">
                  <c:v>0.53838299999999994</c:v>
                </c:pt>
                <c:pt idx="2">
                  <c:v>0.54538087499999999</c:v>
                </c:pt>
                <c:pt idx="3">
                  <c:v>0.54280550000000005</c:v>
                </c:pt>
                <c:pt idx="4">
                  <c:v>0.54456325000000005</c:v>
                </c:pt>
                <c:pt idx="5">
                  <c:v>0.55410537500000001</c:v>
                </c:pt>
                <c:pt idx="6">
                  <c:v>0.54793712499999991</c:v>
                </c:pt>
                <c:pt idx="7">
                  <c:v>0.54856987499999998</c:v>
                </c:pt>
                <c:pt idx="8">
                  <c:v>0.55470074999999996</c:v>
                </c:pt>
                <c:pt idx="9">
                  <c:v>0.55209762500000004</c:v>
                </c:pt>
                <c:pt idx="10">
                  <c:v>0.55439525000000001</c:v>
                </c:pt>
                <c:pt idx="11">
                  <c:v>0.54940100000000003</c:v>
                </c:pt>
                <c:pt idx="12">
                  <c:v>0.54963137500000003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1B-47B3-9F47-3E38012D7F56}"/>
            </c:ext>
          </c:extLst>
        </c:ser>
        <c:ser>
          <c:idx val="3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ROI'!$L$26,'Magdeburg dataset ROI'!$L$114,'Magdeburg dataset ROI'!$L$202,'Magdeburg dataset ROI'!$L$290,'Magdeburg dataset ROI'!$L$378,'Magdeburg dataset ROI'!$L$466,'Magdeburg dataset ROI'!$L$554,'Magdeburg dataset ROI'!$L$642,'Magdeburg dataset ROI'!$L$730,'Magdeburg dataset ROI'!$L$818,'Magdeburg dataset ROI'!$L$906,'Magdeburg dataset ROI'!$L$994,'Magdeburg dataset ROI'!$L$1082)</c:f>
              <c:numCache>
                <c:formatCode>General</c:formatCode>
                <c:ptCount val="13"/>
                <c:pt idx="0">
                  <c:v>0.51191825000000002</c:v>
                </c:pt>
                <c:pt idx="1">
                  <c:v>0.52218475000000009</c:v>
                </c:pt>
                <c:pt idx="2">
                  <c:v>0.53044587499999996</c:v>
                </c:pt>
                <c:pt idx="3">
                  <c:v>0.53453212499999991</c:v>
                </c:pt>
                <c:pt idx="4">
                  <c:v>0.53649737499999994</c:v>
                </c:pt>
                <c:pt idx="5">
                  <c:v>0.53922462500000001</c:v>
                </c:pt>
                <c:pt idx="6">
                  <c:v>0.54056674999999998</c:v>
                </c:pt>
                <c:pt idx="7">
                  <c:v>0.54183874999999992</c:v>
                </c:pt>
                <c:pt idx="8">
                  <c:v>0.53987287500000003</c:v>
                </c:pt>
                <c:pt idx="9">
                  <c:v>0.54061612499999989</c:v>
                </c:pt>
                <c:pt idx="10">
                  <c:v>0.54386137499999998</c:v>
                </c:pt>
                <c:pt idx="11">
                  <c:v>0.54173899999999997</c:v>
                </c:pt>
                <c:pt idx="12">
                  <c:v>0.54271162500000003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1B-47B3-9F47-3E38012D7F56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ROI'!$L$75,'Magdeburg dataset ROI'!$L$163,'Magdeburg dataset ROI'!$L$251,'Magdeburg dataset ROI'!$L$339,'Magdeburg dataset ROI'!$L$427,'Magdeburg dataset ROI'!$L$515,'Magdeburg dataset ROI'!$L$603,'Magdeburg dataset ROI'!$L$691,'Magdeburg dataset ROI'!$L$779,'Magdeburg dataset ROI'!$L$867,'Magdeburg dataset ROI'!$L$955,'Magdeburg dataset ROI'!$L$1043,'Magdeburg dataset ROI'!$L$1131)</c:f>
              <c:numCache>
                <c:formatCode>General</c:formatCode>
                <c:ptCount val="13"/>
                <c:pt idx="0">
                  <c:v>0.49027549999999998</c:v>
                </c:pt>
                <c:pt idx="1">
                  <c:v>0.50594937500000015</c:v>
                </c:pt>
                <c:pt idx="2">
                  <c:v>0.5256305</c:v>
                </c:pt>
                <c:pt idx="3">
                  <c:v>0.54446250000000007</c:v>
                </c:pt>
                <c:pt idx="4">
                  <c:v>0.55665937500000007</c:v>
                </c:pt>
                <c:pt idx="5">
                  <c:v>0.56748025000000002</c:v>
                </c:pt>
                <c:pt idx="6">
                  <c:v>0.57718899999999995</c:v>
                </c:pt>
                <c:pt idx="7">
                  <c:v>0.57971275</c:v>
                </c:pt>
                <c:pt idx="8">
                  <c:v>0.58313087499999994</c:v>
                </c:pt>
                <c:pt idx="9">
                  <c:v>0.58425437499999999</c:v>
                </c:pt>
                <c:pt idx="10">
                  <c:v>0.58767512500000008</c:v>
                </c:pt>
                <c:pt idx="11">
                  <c:v>0.58512787499999996</c:v>
                </c:pt>
                <c:pt idx="12">
                  <c:v>0.58596912499999998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1B-47B3-9F47-3E38012D7F56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ROI'!$L$85,'Magdeburg dataset ROI'!$L$173,'Magdeburg dataset ROI'!$L$261,'Magdeburg dataset ROI'!$L$349,'Magdeburg dataset ROI'!$L$437,'Magdeburg dataset ROI'!$L$525,'Magdeburg dataset ROI'!$L$613,'Magdeburg dataset ROI'!$L$701,'Magdeburg dataset ROI'!$L$789,'Magdeburg dataset ROI'!$L$877,'Magdeburg dataset ROI'!$L$965,'Magdeburg dataset ROI'!$L$1053,'Magdeburg dataset ROI'!$L$1141)</c:f>
              <c:numCache>
                <c:formatCode>General</c:formatCode>
                <c:ptCount val="13"/>
                <c:pt idx="0">
                  <c:v>0.51521000000000006</c:v>
                </c:pt>
                <c:pt idx="1">
                  <c:v>0.52618387500000008</c:v>
                </c:pt>
                <c:pt idx="2">
                  <c:v>0.53771987500000007</c:v>
                </c:pt>
                <c:pt idx="3">
                  <c:v>0.54218125000000006</c:v>
                </c:pt>
                <c:pt idx="4">
                  <c:v>0.5466946250000001</c:v>
                </c:pt>
                <c:pt idx="5">
                  <c:v>0.54777049999999994</c:v>
                </c:pt>
                <c:pt idx="6">
                  <c:v>0.54852075</c:v>
                </c:pt>
                <c:pt idx="7">
                  <c:v>0.54937112499999996</c:v>
                </c:pt>
                <c:pt idx="8">
                  <c:v>0.55151787500000005</c:v>
                </c:pt>
                <c:pt idx="9">
                  <c:v>0.548330875</c:v>
                </c:pt>
                <c:pt idx="10">
                  <c:v>0.5553570000000001</c:v>
                </c:pt>
                <c:pt idx="11">
                  <c:v>0.55131924999999993</c:v>
                </c:pt>
                <c:pt idx="12">
                  <c:v>0.55110887500000005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1B-47B3-9F47-3E38012D7F56}"/>
            </c:ext>
          </c:extLst>
        </c:ser>
        <c:ser>
          <c:idx val="5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ROI'!$L$80,'Magdeburg dataset ROI'!$L$168,'Magdeburg dataset ROI'!$L$256,'Magdeburg dataset ROI'!$L$344,'Magdeburg dataset ROI'!$L$432,'Magdeburg dataset ROI'!$L$520,'Magdeburg dataset ROI'!$L$608,'Magdeburg dataset ROI'!$L$696,'Magdeburg dataset ROI'!$L$784,'Magdeburg dataset ROI'!$L$872,'Magdeburg dataset ROI'!$L$960,'Magdeburg dataset ROI'!$L$1048,'Magdeburg dataset ROI'!$L$1136)</c:f>
              <c:numCache>
                <c:formatCode>General</c:formatCode>
                <c:ptCount val="13"/>
                <c:pt idx="0">
                  <c:v>0.51585887499999994</c:v>
                </c:pt>
                <c:pt idx="1">
                  <c:v>0.55797562499999998</c:v>
                </c:pt>
                <c:pt idx="2">
                  <c:v>0.59574250000000006</c:v>
                </c:pt>
                <c:pt idx="3">
                  <c:v>0.62650062499999992</c:v>
                </c:pt>
                <c:pt idx="4">
                  <c:v>0.65122350000000007</c:v>
                </c:pt>
                <c:pt idx="5">
                  <c:v>0.67256462500000014</c:v>
                </c:pt>
                <c:pt idx="6">
                  <c:v>0.68838612500000018</c:v>
                </c:pt>
                <c:pt idx="7">
                  <c:v>0.70142462500000002</c:v>
                </c:pt>
                <c:pt idx="8">
                  <c:v>0.70997387499999998</c:v>
                </c:pt>
                <c:pt idx="9">
                  <c:v>0.71678075000000008</c:v>
                </c:pt>
                <c:pt idx="10">
                  <c:v>0.72087174999999992</c:v>
                </c:pt>
                <c:pt idx="11">
                  <c:v>0.72242174999999997</c:v>
                </c:pt>
                <c:pt idx="12">
                  <c:v>0.72042612499999992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CE1B-47B3-9F47-3E38012D7F56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ROI'!$L$46,'Magdeburg dataset ROI'!$L$134,'Magdeburg dataset ROI'!$L$222,'Magdeburg dataset ROI'!$L$310,'Magdeburg dataset ROI'!$L$398,'Magdeburg dataset ROI'!$L$486,'Magdeburg dataset ROI'!$L$574,'Magdeburg dataset ROI'!$L$662,'Magdeburg dataset ROI'!$L$750,'Magdeburg dataset ROI'!$L$838,'Magdeburg dataset ROI'!$L$926,'Magdeburg dataset ROI'!$L$1014,'Magdeburg dataset ROI'!$L$1102)</c:f>
              <c:numCache>
                <c:formatCode>General</c:formatCode>
                <c:ptCount val="13"/>
                <c:pt idx="0">
                  <c:v>0.55939337499999997</c:v>
                </c:pt>
                <c:pt idx="1">
                  <c:v>0.56709699999999996</c:v>
                </c:pt>
                <c:pt idx="2">
                  <c:v>0.57411425000000005</c:v>
                </c:pt>
                <c:pt idx="3">
                  <c:v>0.58301449999999999</c:v>
                </c:pt>
                <c:pt idx="4">
                  <c:v>0.58734450000000005</c:v>
                </c:pt>
                <c:pt idx="5">
                  <c:v>0.58852474999999993</c:v>
                </c:pt>
                <c:pt idx="6">
                  <c:v>0.58921150000000011</c:v>
                </c:pt>
                <c:pt idx="7">
                  <c:v>0.58991199999999999</c:v>
                </c:pt>
                <c:pt idx="8">
                  <c:v>0.59109300000000009</c:v>
                </c:pt>
                <c:pt idx="9">
                  <c:v>0.59184625000000002</c:v>
                </c:pt>
                <c:pt idx="10">
                  <c:v>0.59416562500000003</c:v>
                </c:pt>
                <c:pt idx="11">
                  <c:v>0.59271637499999996</c:v>
                </c:pt>
                <c:pt idx="12">
                  <c:v>0.59335974999999996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1B-47B3-9F47-3E38012D7F56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ROI'!$L$56,'Magdeburg dataset ROI'!$L$144,'Magdeburg dataset ROI'!$L$232,'Magdeburg dataset ROI'!$L$320,'Magdeburg dataset ROI'!$L$408,'Magdeburg dataset ROI'!$L$496,'Magdeburg dataset ROI'!$L$584,'Magdeburg dataset ROI'!$L$672,'Magdeburg dataset ROI'!$L$760,'Magdeburg dataset ROI'!$L$848,'Magdeburg dataset ROI'!$L$936,'Magdeburg dataset ROI'!$L$1024,'Magdeburg dataset ROI'!$L$1112)</c:f>
              <c:numCache>
                <c:formatCode>General</c:formatCode>
                <c:ptCount val="13"/>
                <c:pt idx="0">
                  <c:v>0.49916387500000003</c:v>
                </c:pt>
                <c:pt idx="1">
                  <c:v>0.52069112499999992</c:v>
                </c:pt>
                <c:pt idx="2">
                  <c:v>0.53495162499999993</c:v>
                </c:pt>
                <c:pt idx="3">
                  <c:v>0.55657175000000003</c:v>
                </c:pt>
                <c:pt idx="4">
                  <c:v>0.56221450000000006</c:v>
                </c:pt>
                <c:pt idx="5">
                  <c:v>0.56960062500000008</c:v>
                </c:pt>
                <c:pt idx="6">
                  <c:v>0.57706650000000004</c:v>
                </c:pt>
                <c:pt idx="7">
                  <c:v>0.58481237499999994</c:v>
                </c:pt>
                <c:pt idx="8">
                  <c:v>0.58536037500000004</c:v>
                </c:pt>
                <c:pt idx="9">
                  <c:v>0.59060950000000001</c:v>
                </c:pt>
                <c:pt idx="10">
                  <c:v>0.59022712499999996</c:v>
                </c:pt>
                <c:pt idx="11">
                  <c:v>0.59743337500000004</c:v>
                </c:pt>
                <c:pt idx="12">
                  <c:v>0.60313799999999995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E1B-47B3-9F47-3E38012D7F56}"/>
            </c:ext>
          </c:extLst>
        </c:ser>
        <c:ser>
          <c:idx val="9"/>
          <c:order val="9"/>
          <c:tx>
            <c:v>Latest image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ROI'!$L$90,'Magdeburg dataset ROI'!$L$178,'Magdeburg dataset ROI'!$L$266,'Magdeburg dataset ROI'!$L$354,'Magdeburg dataset ROI'!$L$442,'Magdeburg dataset ROI'!$L$530,'Magdeburg dataset ROI'!$L$618,'Magdeburg dataset ROI'!$L$706,'Magdeburg dataset ROI'!$L$794,'Magdeburg dataset ROI'!$L$882,'Magdeburg dataset ROI'!$L$970,'Magdeburg dataset ROI'!$L$1058,'Magdeburg dataset ROI'!$L$1146)</c:f>
              <c:numCache>
                <c:formatCode>General</c:formatCode>
                <c:ptCount val="13"/>
                <c:pt idx="0">
                  <c:v>0.42568875000000006</c:v>
                </c:pt>
                <c:pt idx="1">
                  <c:v>0.52586675000000005</c:v>
                </c:pt>
                <c:pt idx="2">
                  <c:v>0.60403024999999999</c:v>
                </c:pt>
                <c:pt idx="3">
                  <c:v>0.65428324999999998</c:v>
                </c:pt>
                <c:pt idx="4">
                  <c:v>0.68714562499999998</c:v>
                </c:pt>
                <c:pt idx="5">
                  <c:v>0.72356100000000001</c:v>
                </c:pt>
                <c:pt idx="6">
                  <c:v>0.7468688750000001</c:v>
                </c:pt>
                <c:pt idx="7">
                  <c:v>0.76817650000000004</c:v>
                </c:pt>
                <c:pt idx="8">
                  <c:v>0.77964275000000005</c:v>
                </c:pt>
                <c:pt idx="9">
                  <c:v>0.78916587500000002</c:v>
                </c:pt>
                <c:pt idx="10">
                  <c:v>0.79450937499999996</c:v>
                </c:pt>
                <c:pt idx="11">
                  <c:v>0.79244775000000001</c:v>
                </c:pt>
                <c:pt idx="12">
                  <c:v>0.78437987500000017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1B-47B3-9F47-3E38012D7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34866048"/>
        <c:axId val="-334859520"/>
        <c:extLst/>
      </c:scatterChart>
      <c:valAx>
        <c:axId val="-334866048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59520"/>
        <c:crosses val="autoZero"/>
        <c:crossBetween val="midCat"/>
        <c:majorUnit val="0.5"/>
      </c:valAx>
      <c:valAx>
        <c:axId val="-334859520"/>
        <c:scaling>
          <c:orientation val="minMax"/>
          <c:max val="0.6100000000000001"/>
          <c:min val="0.41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Arial" panose="020B0604020202020204" pitchFamily="34" charset="0"/>
                  </a:rPr>
                  <a:t>nRMSE between the original and predicted 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34866048"/>
        <c:crosses val="autoZero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RNN RTRL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ROI'!$L$12,'Magdeburg dataset ROI'!$L$100,'Magdeburg dataset ROI'!$L$188,'Magdeburg dataset ROI'!$L$276,'Magdeburg dataset ROI'!$L$364,'Magdeburg dataset ROI'!$L$452,'Magdeburg dataset ROI'!$L$540,'Magdeburg dataset ROI'!$L$628,'Magdeburg dataset ROI'!$L$716,'Magdeburg dataset ROI'!$L$804,'Magdeburg dataset ROI'!$L$892,'Magdeburg dataset ROI'!$L$980,'Magdeburg dataset ROI'!$L$1068)</c:f>
              <c:numCache>
                <c:formatCode>General</c:formatCode>
                <c:ptCount val="13"/>
                <c:pt idx="0">
                  <c:v>14.10869025</c:v>
                </c:pt>
                <c:pt idx="1">
                  <c:v>14.589062500000001</c:v>
                </c:pt>
                <c:pt idx="2">
                  <c:v>14.621380625</c:v>
                </c:pt>
                <c:pt idx="3">
                  <c:v>14.740300749999999</c:v>
                </c:pt>
                <c:pt idx="4">
                  <c:v>14.940593375000001</c:v>
                </c:pt>
                <c:pt idx="5">
                  <c:v>14.880355</c:v>
                </c:pt>
                <c:pt idx="6">
                  <c:v>15.012016375</c:v>
                </c:pt>
                <c:pt idx="7">
                  <c:v>14.966682624999999</c:v>
                </c:pt>
                <c:pt idx="8">
                  <c:v>15.075840749999999</c:v>
                </c:pt>
                <c:pt idx="9">
                  <c:v>15.190285250000001</c:v>
                </c:pt>
                <c:pt idx="10">
                  <c:v>14.789412499999999</c:v>
                </c:pt>
                <c:pt idx="11">
                  <c:v>15.012383625</c:v>
                </c:pt>
                <c:pt idx="12">
                  <c:v>14.988692250000001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ADB-47EF-A588-480C17979BB1}"/>
            </c:ext>
          </c:extLst>
        </c:ser>
        <c:ser>
          <c:idx val="1"/>
          <c:order val="1"/>
          <c:tx>
            <c:v>RNN UORO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030A0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ROI'!$L$22,'Magdeburg dataset ROI'!$L$110,'Magdeburg dataset ROI'!$L$198,'Magdeburg dataset ROI'!$L$286,'Magdeburg dataset ROI'!$L$374,'Magdeburg dataset ROI'!$L$462,'Magdeburg dataset ROI'!$L$550,'Magdeburg dataset ROI'!$L$638,'Magdeburg dataset ROI'!$L$726,'Magdeburg dataset ROI'!$L$814,'Magdeburg dataset ROI'!$L$902,'Magdeburg dataset ROI'!$L$990,'Magdeburg dataset ROI'!$L$1078)</c:f>
              <c:numCache>
                <c:formatCode>General</c:formatCode>
                <c:ptCount val="13"/>
                <c:pt idx="0">
                  <c:v>15.287252625000002</c:v>
                </c:pt>
                <c:pt idx="1">
                  <c:v>15.466090874999999</c:v>
                </c:pt>
                <c:pt idx="2">
                  <c:v>15.438543624999999</c:v>
                </c:pt>
                <c:pt idx="3">
                  <c:v>15.462673875</c:v>
                </c:pt>
                <c:pt idx="4">
                  <c:v>15.488250749999999</c:v>
                </c:pt>
                <c:pt idx="5">
                  <c:v>15.500945999999999</c:v>
                </c:pt>
                <c:pt idx="6">
                  <c:v>15.587105625000001</c:v>
                </c:pt>
                <c:pt idx="7">
                  <c:v>15.616233250000001</c:v>
                </c:pt>
                <c:pt idx="8">
                  <c:v>15.631735999999998</c:v>
                </c:pt>
                <c:pt idx="9">
                  <c:v>15.58086325</c:v>
                </c:pt>
                <c:pt idx="10">
                  <c:v>15.794903375000001</c:v>
                </c:pt>
                <c:pt idx="11">
                  <c:v>15.68741125</c:v>
                </c:pt>
                <c:pt idx="12">
                  <c:v>15.738977750000002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DB-47EF-A588-480C17979BB1}"/>
            </c:ext>
          </c:extLst>
        </c:ser>
        <c:ser>
          <c:idx val="5"/>
          <c:order val="2"/>
          <c:tx>
            <c:v>RNN DNI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ROI'!$L$42,'Magdeburg dataset ROI'!$L$130,'Magdeburg dataset ROI'!$L$218,'Magdeburg dataset ROI'!$L$306,'Magdeburg dataset ROI'!$L$394,'Magdeburg dataset ROI'!$L$482,'Magdeburg dataset ROI'!$L$570,'Magdeburg dataset ROI'!$L$658,'Magdeburg dataset ROI'!$L$746,'Magdeburg dataset ROI'!$L$834,'Magdeburg dataset ROI'!$L$922,'Magdeburg dataset ROI'!$L$1010,'Magdeburg dataset ROI'!$L$1098)</c:f>
              <c:numCache>
                <c:formatCode>General</c:formatCode>
                <c:ptCount val="13"/>
                <c:pt idx="0">
                  <c:v>15.088203374999999</c:v>
                </c:pt>
                <c:pt idx="1">
                  <c:v>15.347897374999999</c:v>
                </c:pt>
                <c:pt idx="2">
                  <c:v>15.527062124999999</c:v>
                </c:pt>
                <c:pt idx="3">
                  <c:v>15.30217</c:v>
                </c:pt>
                <c:pt idx="4">
                  <c:v>15.433957749999998</c:v>
                </c:pt>
                <c:pt idx="5">
                  <c:v>15.623671749999998</c:v>
                </c:pt>
                <c:pt idx="6">
                  <c:v>15.571239</c:v>
                </c:pt>
                <c:pt idx="7">
                  <c:v>15.449904</c:v>
                </c:pt>
                <c:pt idx="8">
                  <c:v>15.717439499999998</c:v>
                </c:pt>
                <c:pt idx="9">
                  <c:v>15.697135625000001</c:v>
                </c:pt>
                <c:pt idx="10">
                  <c:v>15.881263499999999</c:v>
                </c:pt>
                <c:pt idx="11">
                  <c:v>15.883472124999999</c:v>
                </c:pt>
                <c:pt idx="12">
                  <c:v>15.789393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DB-47EF-A588-480C17979BB1}"/>
            </c:ext>
          </c:extLst>
        </c:ser>
        <c:ser>
          <c:idx val="2"/>
          <c:order val="3"/>
          <c:tx>
            <c:v>RNN SnAp-1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ROI'!$L$32,'Magdeburg dataset ROI'!$L$120,'Magdeburg dataset ROI'!$L$208,'Magdeburg dataset ROI'!$L$296,'Magdeburg dataset ROI'!$L$384,'Magdeburg dataset ROI'!$L$472,'Magdeburg dataset ROI'!$L$560,'Magdeburg dataset ROI'!$L$648,'Magdeburg dataset ROI'!$L$736,'Magdeburg dataset ROI'!$L$824,'Magdeburg dataset ROI'!$L$912,'Magdeburg dataset ROI'!$L$1000,'Magdeburg dataset ROI'!$L$1088)</c:f>
              <c:numCache>
                <c:formatCode>General</c:formatCode>
                <c:ptCount val="13"/>
                <c:pt idx="0">
                  <c:v>14.265162125</c:v>
                </c:pt>
                <c:pt idx="1">
                  <c:v>14.434183750000003</c:v>
                </c:pt>
                <c:pt idx="2">
                  <c:v>14.645195500000002</c:v>
                </c:pt>
                <c:pt idx="3">
                  <c:v>14.717025499999998</c:v>
                </c:pt>
                <c:pt idx="4">
                  <c:v>14.823795625000001</c:v>
                </c:pt>
                <c:pt idx="5">
                  <c:v>14.820832625</c:v>
                </c:pt>
                <c:pt idx="6">
                  <c:v>14.875433000000001</c:v>
                </c:pt>
                <c:pt idx="7">
                  <c:v>14.923880375</c:v>
                </c:pt>
                <c:pt idx="8">
                  <c:v>14.885633125</c:v>
                </c:pt>
                <c:pt idx="9">
                  <c:v>14.892792499999999</c:v>
                </c:pt>
                <c:pt idx="10">
                  <c:v>15.130557874999999</c:v>
                </c:pt>
                <c:pt idx="11">
                  <c:v>15.046311125000003</c:v>
                </c:pt>
                <c:pt idx="12">
                  <c:v>15.027153874999998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DB-47EF-A588-480C17979BB1}"/>
            </c:ext>
          </c:extLst>
        </c:ser>
        <c:ser>
          <c:idx val="0"/>
          <c:order val="4"/>
          <c:tx>
            <c:v>Lin. regression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ROI'!$L$78,'Magdeburg dataset ROI'!$L$166,'Magdeburg dataset ROI'!$L$254,'Magdeburg dataset ROI'!$L$342,'Magdeburg dataset ROI'!$L$430,'Magdeburg dataset ROI'!$L$518,'Magdeburg dataset ROI'!$L$606,'Magdeburg dataset ROI'!$L$694,'Magdeburg dataset ROI'!$L$782,'Magdeburg dataset ROI'!$L$870,'Magdeburg dataset ROI'!$L$958,'Magdeburg dataset ROI'!$L$1046,'Magdeburg dataset ROI'!$L$1134)</c:f>
              <c:numCache>
                <c:formatCode>General</c:formatCode>
                <c:ptCount val="13"/>
                <c:pt idx="0">
                  <c:v>13.969055875</c:v>
                </c:pt>
                <c:pt idx="1">
                  <c:v>14.239542750000002</c:v>
                </c:pt>
                <c:pt idx="2">
                  <c:v>14.3732305</c:v>
                </c:pt>
                <c:pt idx="3">
                  <c:v>14.681116874999999</c:v>
                </c:pt>
                <c:pt idx="4">
                  <c:v>14.88954025</c:v>
                </c:pt>
                <c:pt idx="5">
                  <c:v>15.124264875</c:v>
                </c:pt>
                <c:pt idx="6">
                  <c:v>15.448301125</c:v>
                </c:pt>
                <c:pt idx="7">
                  <c:v>15.378664375</c:v>
                </c:pt>
                <c:pt idx="8">
                  <c:v>15.750086999999999</c:v>
                </c:pt>
                <c:pt idx="9">
                  <c:v>15.888591375000001</c:v>
                </c:pt>
                <c:pt idx="10">
                  <c:v>16.2550925</c:v>
                </c:pt>
                <c:pt idx="11">
                  <c:v>16.365486874999998</c:v>
                </c:pt>
                <c:pt idx="12">
                  <c:v>16.389825000000002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ADB-47EF-A588-480C17979BB1}"/>
            </c:ext>
          </c:extLst>
        </c:ser>
        <c:ser>
          <c:idx val="6"/>
          <c:order val="5"/>
          <c:tx>
            <c:v>LMS</c:v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ROI'!$L$88,'Magdeburg dataset ROI'!$L$176,'Magdeburg dataset ROI'!$L$264,'Magdeburg dataset ROI'!$L$352,'Magdeburg dataset ROI'!$L$440,'Magdeburg dataset ROI'!$L$528,'Magdeburg dataset ROI'!$L$616,'Magdeburg dataset ROI'!$L$704,'Magdeburg dataset ROI'!$L$792,'Magdeburg dataset ROI'!$L$880,'Magdeburg dataset ROI'!$L$968,'Magdeburg dataset ROI'!$L$1056,'Magdeburg dataset ROI'!$L$1144)</c:f>
              <c:numCache>
                <c:formatCode>General</c:formatCode>
                <c:ptCount val="13"/>
                <c:pt idx="0">
                  <c:v>14.699753875000001</c:v>
                </c:pt>
                <c:pt idx="1">
                  <c:v>14.811573624999998</c:v>
                </c:pt>
                <c:pt idx="2">
                  <c:v>15.270335625000003</c:v>
                </c:pt>
                <c:pt idx="3">
                  <c:v>15.102242374999998</c:v>
                </c:pt>
                <c:pt idx="4">
                  <c:v>15.377599875</c:v>
                </c:pt>
                <c:pt idx="5">
                  <c:v>15.599279875000002</c:v>
                </c:pt>
                <c:pt idx="6">
                  <c:v>15.620548625</c:v>
                </c:pt>
                <c:pt idx="7">
                  <c:v>15.654707625</c:v>
                </c:pt>
                <c:pt idx="8">
                  <c:v>15.658441125000001</c:v>
                </c:pt>
                <c:pt idx="9">
                  <c:v>15.526753249999999</c:v>
                </c:pt>
                <c:pt idx="10">
                  <c:v>15.752257500000001</c:v>
                </c:pt>
                <c:pt idx="11">
                  <c:v>15.674560874999999</c:v>
                </c:pt>
                <c:pt idx="12">
                  <c:v>15.684759625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ADB-47EF-A588-480C17979BB1}"/>
            </c:ext>
          </c:extLst>
        </c:ser>
        <c:ser>
          <c:idx val="4"/>
          <c:order val="6"/>
          <c:tx>
            <c:v>Latest PCA weights</c:v>
          </c:tx>
          <c:spPr>
            <a:ln w="1905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4"/>
            <c:spPr>
              <a:solidFill>
                <a:srgbClr val="000000"/>
              </a:solidFill>
              <a:ln w="19050">
                <a:noFill/>
                <a:prstDash val="solid"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ROI'!$L$83,'Magdeburg dataset ROI'!$L$171,'Magdeburg dataset ROI'!$L$259,'Magdeburg dataset ROI'!$L$347,'Magdeburg dataset ROI'!$L$435,'Magdeburg dataset ROI'!$L$523,'Magdeburg dataset ROI'!$L$611,'Magdeburg dataset ROI'!$L$699,'Magdeburg dataset ROI'!$L$787,'Magdeburg dataset ROI'!$L$875,'Magdeburg dataset ROI'!$L$963,'Magdeburg dataset ROI'!$L$1051,'Magdeburg dataset ROI'!$L$1139)</c:f>
              <c:numCache>
                <c:formatCode>General</c:formatCode>
                <c:ptCount val="13"/>
                <c:pt idx="0">
                  <c:v>14.747367375</c:v>
                </c:pt>
                <c:pt idx="1">
                  <c:v>16.068369500000003</c:v>
                </c:pt>
                <c:pt idx="2">
                  <c:v>16.805408374999999</c:v>
                </c:pt>
                <c:pt idx="3">
                  <c:v>17.657765625</c:v>
                </c:pt>
                <c:pt idx="4">
                  <c:v>18.162740874999997</c:v>
                </c:pt>
                <c:pt idx="5">
                  <c:v>19.264590500000001</c:v>
                </c:pt>
                <c:pt idx="6">
                  <c:v>19.707057750000001</c:v>
                </c:pt>
                <c:pt idx="7">
                  <c:v>19.771915125</c:v>
                </c:pt>
                <c:pt idx="8">
                  <c:v>19.989157625000001</c:v>
                </c:pt>
                <c:pt idx="9">
                  <c:v>20.311643375000003</c:v>
                </c:pt>
                <c:pt idx="10">
                  <c:v>21.342035250000002</c:v>
                </c:pt>
                <c:pt idx="11">
                  <c:v>20.614878125000001</c:v>
                </c:pt>
                <c:pt idx="12">
                  <c:v>20.559482124999999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ADB-47EF-A588-480C17979BB1}"/>
            </c:ext>
          </c:extLst>
        </c:ser>
        <c:ser>
          <c:idx val="7"/>
          <c:order val="7"/>
          <c:tx>
            <c:v>RNN fixed weights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ROI'!$L$52,'Magdeburg dataset ROI'!$L$140,'Magdeburg dataset ROI'!$L$228,'Magdeburg dataset ROI'!$L$316,'Magdeburg dataset ROI'!$L$404,'Magdeburg dataset ROI'!$L$492,'Magdeburg dataset ROI'!$L$580,'Magdeburg dataset ROI'!$L$668,'Magdeburg dataset ROI'!$L$756,'Magdeburg dataset ROI'!$L$844,'Magdeburg dataset ROI'!$L$932,'Magdeburg dataset ROI'!$L$1020,'Magdeburg dataset ROI'!$L$1108)</c:f>
              <c:numCache>
                <c:formatCode>General</c:formatCode>
                <c:ptCount val="13"/>
                <c:pt idx="0">
                  <c:v>14.635876375000002</c:v>
                </c:pt>
                <c:pt idx="1">
                  <c:v>14.838528125</c:v>
                </c:pt>
                <c:pt idx="2">
                  <c:v>14.988342499999998</c:v>
                </c:pt>
                <c:pt idx="3">
                  <c:v>15.421713125</c:v>
                </c:pt>
                <c:pt idx="4">
                  <c:v>15.567132999999998</c:v>
                </c:pt>
                <c:pt idx="5">
                  <c:v>15.623412625</c:v>
                </c:pt>
                <c:pt idx="6">
                  <c:v>15.667137125</c:v>
                </c:pt>
                <c:pt idx="7">
                  <c:v>15.743691999999999</c:v>
                </c:pt>
                <c:pt idx="8">
                  <c:v>15.780735499999999</c:v>
                </c:pt>
                <c:pt idx="9">
                  <c:v>15.816702625000001</c:v>
                </c:pt>
                <c:pt idx="10">
                  <c:v>15.914725625000003</c:v>
                </c:pt>
                <c:pt idx="11">
                  <c:v>15.889086250000002</c:v>
                </c:pt>
                <c:pt idx="12">
                  <c:v>15.886824749999999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DB-47EF-A588-480C17979BB1}"/>
            </c:ext>
          </c:extLst>
        </c:ser>
        <c:ser>
          <c:idx val="8"/>
          <c:order val="8"/>
          <c:tx>
            <c:v>Seq-wise transformer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('Magdeburg dataset ROI'!$A$5,'Magdeburg dataset ROI'!$A$93,'Magdeburg dataset ROI'!$A$181,'Magdeburg dataset ROI'!$A$269,'Magdeburg dataset ROI'!$A$357,'Magdeburg dataset ROI'!$A$445,'Magdeburg dataset ROI'!$A$533,'Magdeburg dataset ROI'!$A$621,'Magdeburg dataset ROI'!$A$709,'Magdeburg dataset ROI'!$A$797,'Magdeburg dataset ROI'!$A$885,'Magdeburg dataset ROI'!$A$973,'Magdeburg dataset ROI'!$A$1061)</c:f>
              <c:numCache>
                <c:formatCode>General</c:formatCode>
                <c:ptCount val="13"/>
                <c:pt idx="0">
                  <c:v>0.16700000000000001</c:v>
                </c:pt>
                <c:pt idx="1">
                  <c:v>0.33300000000000002</c:v>
                </c:pt>
                <c:pt idx="2">
                  <c:v>0.5</c:v>
                </c:pt>
                <c:pt idx="3">
                  <c:v>0.66700000000000004</c:v>
                </c:pt>
                <c:pt idx="4">
                  <c:v>0.83299999999999996</c:v>
                </c:pt>
                <c:pt idx="5">
                  <c:v>1</c:v>
                </c:pt>
                <c:pt idx="6">
                  <c:v>1.167</c:v>
                </c:pt>
                <c:pt idx="7">
                  <c:v>1.333</c:v>
                </c:pt>
                <c:pt idx="8">
                  <c:v>1.5</c:v>
                </c:pt>
                <c:pt idx="9">
                  <c:v>1.667</c:v>
                </c:pt>
                <c:pt idx="10">
                  <c:v>1.833</c:v>
                </c:pt>
                <c:pt idx="11">
                  <c:v>2</c:v>
                </c:pt>
                <c:pt idx="12">
                  <c:v>2.1669999999999998</c:v>
                </c:pt>
              </c:numCache>
            </c:numRef>
          </c:xVal>
          <c:yVal>
            <c:numRef>
              <c:f>('Magdeburg dataset ROI'!$L$62,'Magdeburg dataset ROI'!$L$150,'Magdeburg dataset ROI'!$L$238,'Magdeburg dataset ROI'!$L$326,'Magdeburg dataset ROI'!$L$414,'Magdeburg dataset ROI'!$L$502,'Magdeburg dataset ROI'!$L$590,'Magdeburg dataset ROI'!$L$678,'Magdeburg dataset ROI'!$L$766,'Magdeburg dataset ROI'!$L$854,'Magdeburg dataset ROI'!$L$942,'Magdeburg dataset ROI'!$L$1030,'Magdeburg dataset ROI'!$L$1118)</c:f>
              <c:numCache>
                <c:formatCode>General</c:formatCode>
                <c:ptCount val="13"/>
                <c:pt idx="0">
                  <c:v>14.087515</c:v>
                </c:pt>
                <c:pt idx="1">
                  <c:v>14.531017250000001</c:v>
                </c:pt>
                <c:pt idx="2">
                  <c:v>14.570039625</c:v>
                </c:pt>
                <c:pt idx="3">
                  <c:v>15.240338000000001</c:v>
                </c:pt>
                <c:pt idx="4">
                  <c:v>15.50719975</c:v>
                </c:pt>
                <c:pt idx="5">
                  <c:v>15.655455125000001</c:v>
                </c:pt>
                <c:pt idx="6">
                  <c:v>15.786858625000002</c:v>
                </c:pt>
                <c:pt idx="7">
                  <c:v>15.93564975</c:v>
                </c:pt>
                <c:pt idx="8">
                  <c:v>16.046191125</c:v>
                </c:pt>
                <c:pt idx="9">
                  <c:v>16.28236025</c:v>
                </c:pt>
                <c:pt idx="10">
                  <c:v>16.287030000000001</c:v>
                </c:pt>
                <c:pt idx="11">
                  <c:v>16.854755999999998</c:v>
                </c:pt>
                <c:pt idx="12">
                  <c:v>17.209528249999998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DB-47EF-A588-480C17979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5953104"/>
        <c:axId val="-185952016"/>
        <c:extLst/>
      </c:scatterChart>
      <c:valAx>
        <c:axId val="-185953104"/>
        <c:scaling>
          <c:orientation val="minMax"/>
          <c:max val="2.2000000000000002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Prediction horizon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2016"/>
        <c:crosses val="autoZero"/>
        <c:crossBetween val="midCat"/>
        <c:majorUnit val="0.5"/>
      </c:valAx>
      <c:valAx>
        <c:axId val="-185952016"/>
        <c:scaling>
          <c:orientation val="minMax"/>
          <c:max val="17.5"/>
          <c:min val="1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400" b="0" i="0" u="none" strike="noStrike" kern="1200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Maximum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error between the original and predicted DVFs (mm)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400" b="0" i="0" u="none" strike="noStrike" kern="1200" baseline="0">
                  <a:solidFill>
                    <a:sysClr val="windowText" lastClr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190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5953104"/>
        <c:crossesAt val="0"/>
        <c:crossBetween val="midCat"/>
      </c:valAx>
      <c:spPr>
        <a:solidFill>
          <a:srgbClr val="FFFFFF"/>
        </a:solidFill>
        <a:ln w="19050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baseline="0">
              <a:solidFill>
                <a:sysClr val="windowText" lastClr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90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905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4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92046</xdr:colOff>
      <xdr:row>530</xdr:row>
      <xdr:rowOff>134735</xdr:rowOff>
    </xdr:from>
    <xdr:to>
      <xdr:col>2</xdr:col>
      <xdr:colOff>1163664</xdr:colOff>
      <xdr:row>552</xdr:row>
      <xdr:rowOff>123159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867F1-78D3-46DC-886C-402D13A05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61423</xdr:colOff>
      <xdr:row>530</xdr:row>
      <xdr:rowOff>118335</xdr:rowOff>
    </xdr:from>
    <xdr:to>
      <xdr:col>7</xdr:col>
      <xdr:colOff>971798</xdr:colOff>
      <xdr:row>552</xdr:row>
      <xdr:rowOff>97236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D1348E-959E-4302-8308-90149F290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1622543</xdr:colOff>
      <xdr:row>530</xdr:row>
      <xdr:rowOff>81645</xdr:rowOff>
    </xdr:from>
    <xdr:to>
      <xdr:col>9</xdr:col>
      <xdr:colOff>1353856</xdr:colOff>
      <xdr:row>552</xdr:row>
      <xdr:rowOff>70069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4ED5A0-4ADE-421B-8C38-2D3091359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64793</xdr:colOff>
      <xdr:row>554</xdr:row>
      <xdr:rowOff>169049</xdr:rowOff>
    </xdr:from>
    <xdr:to>
      <xdr:col>2</xdr:col>
      <xdr:colOff>1213292</xdr:colOff>
      <xdr:row>576</xdr:row>
      <xdr:rowOff>157472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F48BA239-7A0B-495F-B04E-A1C9AD5F9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142874</xdr:colOff>
      <xdr:row>555</xdr:row>
      <xdr:rowOff>74840</xdr:rowOff>
    </xdr:from>
    <xdr:to>
      <xdr:col>7</xdr:col>
      <xdr:colOff>955957</xdr:colOff>
      <xdr:row>577</xdr:row>
      <xdr:rowOff>70885</xdr:rowOff>
    </xdr:to>
    <xdr:graphicFrame macro="">
      <xdr:nvGraphicFramePr>
        <xdr:cNvPr id="6" name="Chart 16">
          <a:extLst>
            <a:ext uri="{FF2B5EF4-FFF2-40B4-BE49-F238E27FC236}">
              <a16:creationId xmlns:a16="http://schemas.microsoft.com/office/drawing/2014/main" id="{A3C45B77-3F90-4A61-B2A2-FA6ACDA29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149338</xdr:colOff>
      <xdr:row>579</xdr:row>
      <xdr:rowOff>122465</xdr:rowOff>
    </xdr:from>
    <xdr:to>
      <xdr:col>2</xdr:col>
      <xdr:colOff>1733536</xdr:colOff>
      <xdr:row>603</xdr:row>
      <xdr:rowOff>18359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7159E1F-7C02-4DC1-A5DC-9EA2AABCE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172191</xdr:colOff>
      <xdr:row>579</xdr:row>
      <xdr:rowOff>120464</xdr:rowOff>
    </xdr:from>
    <xdr:to>
      <xdr:col>7</xdr:col>
      <xdr:colOff>1497854</xdr:colOff>
      <xdr:row>603</xdr:row>
      <xdr:rowOff>18573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217FBF08-A4D0-4BEA-B1B7-4EF112524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1779935</xdr:colOff>
      <xdr:row>579</xdr:row>
      <xdr:rowOff>79643</xdr:rowOff>
    </xdr:from>
    <xdr:to>
      <xdr:col>9</xdr:col>
      <xdr:colOff>1976204</xdr:colOff>
      <xdr:row>602</xdr:row>
      <xdr:rowOff>161448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182FFB7E-7910-4776-AD93-0EC79937E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226219</xdr:colOff>
      <xdr:row>606</xdr:row>
      <xdr:rowOff>35718</xdr:rowOff>
    </xdr:from>
    <xdr:to>
      <xdr:col>2</xdr:col>
      <xdr:colOff>1810417</xdr:colOff>
      <xdr:row>629</xdr:row>
      <xdr:rowOff>117525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B3F7013-21FA-4336-8FB8-75FEF1D84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112758</xdr:colOff>
      <xdr:row>606</xdr:row>
      <xdr:rowOff>43620</xdr:rowOff>
    </xdr:from>
    <xdr:to>
      <xdr:col>7</xdr:col>
      <xdr:colOff>1438421</xdr:colOff>
      <xdr:row>629</xdr:row>
      <xdr:rowOff>125427</xdr:rowOff>
    </xdr:to>
    <xdr:graphicFrame macro="">
      <xdr:nvGraphicFramePr>
        <xdr:cNvPr id="11" name="Chart 16">
          <a:extLst>
            <a:ext uri="{FF2B5EF4-FFF2-40B4-BE49-F238E27FC236}">
              <a16:creationId xmlns:a16="http://schemas.microsoft.com/office/drawing/2014/main" id="{982E4983-03C5-4086-94BA-F7363B4F5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163285</xdr:colOff>
      <xdr:row>633</xdr:row>
      <xdr:rowOff>76841</xdr:rowOff>
    </xdr:from>
    <xdr:to>
      <xdr:col>2</xdr:col>
      <xdr:colOff>1747483</xdr:colOff>
      <xdr:row>656</xdr:row>
      <xdr:rowOff>156431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E1D9DF3D-B308-403B-A125-24AC035BB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186138</xdr:colOff>
      <xdr:row>633</xdr:row>
      <xdr:rowOff>74840</xdr:rowOff>
    </xdr:from>
    <xdr:to>
      <xdr:col>7</xdr:col>
      <xdr:colOff>1511801</xdr:colOff>
      <xdr:row>656</xdr:row>
      <xdr:rowOff>156645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EDA16942-D3CD-4649-8551-4F8AD1C0D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4542</xdr:colOff>
      <xdr:row>633</xdr:row>
      <xdr:rowOff>34019</xdr:rowOff>
    </xdr:from>
    <xdr:to>
      <xdr:col>9</xdr:col>
      <xdr:colOff>1990151</xdr:colOff>
      <xdr:row>656</xdr:row>
      <xdr:rowOff>115824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2EE096CC-DCA8-4A01-BE05-A3E6295E0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240166</xdr:colOff>
      <xdr:row>659</xdr:row>
      <xdr:rowOff>173791</xdr:rowOff>
    </xdr:from>
    <xdr:to>
      <xdr:col>2</xdr:col>
      <xdr:colOff>1824364</xdr:colOff>
      <xdr:row>683</xdr:row>
      <xdr:rowOff>71901</xdr:rowOff>
    </xdr:to>
    <xdr:graphicFrame macro="">
      <xdr:nvGraphicFramePr>
        <xdr:cNvPr id="15" name="Chart 8">
          <a:extLst>
            <a:ext uri="{FF2B5EF4-FFF2-40B4-BE49-F238E27FC236}">
              <a16:creationId xmlns:a16="http://schemas.microsoft.com/office/drawing/2014/main" id="{79CF939E-E161-4134-92F0-A6B00BA04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126705</xdr:colOff>
      <xdr:row>659</xdr:row>
      <xdr:rowOff>181693</xdr:rowOff>
    </xdr:from>
    <xdr:to>
      <xdr:col>7</xdr:col>
      <xdr:colOff>1452368</xdr:colOff>
      <xdr:row>683</xdr:row>
      <xdr:rowOff>79803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CF762264-DB72-4790-8910-6C8508DEA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153148</xdr:colOff>
      <xdr:row>762</xdr:row>
      <xdr:rowOff>124370</xdr:rowOff>
    </xdr:from>
    <xdr:to>
      <xdr:col>2</xdr:col>
      <xdr:colOff>1733536</xdr:colOff>
      <xdr:row>788</xdr:row>
      <xdr:rowOff>78441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16620C49-ADCD-44B1-8285-F270A2FA5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172191</xdr:colOff>
      <xdr:row>762</xdr:row>
      <xdr:rowOff>122369</xdr:rowOff>
    </xdr:from>
    <xdr:to>
      <xdr:col>8</xdr:col>
      <xdr:colOff>5006</xdr:colOff>
      <xdr:row>788</xdr:row>
      <xdr:rowOff>89647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52B1A7D3-A502-4E9D-8767-E1254DD1C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74960</xdr:colOff>
      <xdr:row>762</xdr:row>
      <xdr:rowOff>112980</xdr:rowOff>
    </xdr:from>
    <xdr:to>
      <xdr:col>9</xdr:col>
      <xdr:colOff>2057166</xdr:colOff>
      <xdr:row>788</xdr:row>
      <xdr:rowOff>100853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70223564-6FB1-44F2-A7BB-C278C8D96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230029</xdr:colOff>
      <xdr:row>789</xdr:row>
      <xdr:rowOff>39527</xdr:rowOff>
    </xdr:from>
    <xdr:to>
      <xdr:col>2</xdr:col>
      <xdr:colOff>1810417</xdr:colOff>
      <xdr:row>814</xdr:row>
      <xdr:rowOff>134469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D11E8FCA-CBEE-4C5C-8713-4E7D5CEC3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112758</xdr:colOff>
      <xdr:row>789</xdr:row>
      <xdr:rowOff>39810</xdr:rowOff>
    </xdr:from>
    <xdr:to>
      <xdr:col>8</xdr:col>
      <xdr:colOff>134471</xdr:colOff>
      <xdr:row>814</xdr:row>
      <xdr:rowOff>145676</xdr:rowOff>
    </xdr:to>
    <xdr:graphicFrame macro="">
      <xdr:nvGraphicFramePr>
        <xdr:cNvPr id="11" name="Chart 16">
          <a:extLst>
            <a:ext uri="{FF2B5EF4-FFF2-40B4-BE49-F238E27FC236}">
              <a16:creationId xmlns:a16="http://schemas.microsoft.com/office/drawing/2014/main" id="{64FCCE20-3A0E-4CDD-BCD1-D9B6458AD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163285</xdr:colOff>
      <xdr:row>816</xdr:row>
      <xdr:rowOff>76841</xdr:rowOff>
    </xdr:from>
    <xdr:to>
      <xdr:col>2</xdr:col>
      <xdr:colOff>783643</xdr:colOff>
      <xdr:row>839</xdr:row>
      <xdr:rowOff>164079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68C67CE9-0636-4B46-AFC8-9D3CADE59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190899</xdr:colOff>
      <xdr:row>816</xdr:row>
      <xdr:rowOff>74840</xdr:rowOff>
    </xdr:from>
    <xdr:to>
      <xdr:col>7</xdr:col>
      <xdr:colOff>844875</xdr:colOff>
      <xdr:row>839</xdr:row>
      <xdr:rowOff>161407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AA52785E-B7F3-481D-A428-CB82D80F2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227018</xdr:colOff>
      <xdr:row>816</xdr:row>
      <xdr:rowOff>11567</xdr:rowOff>
    </xdr:from>
    <xdr:to>
      <xdr:col>9</xdr:col>
      <xdr:colOff>1687817</xdr:colOff>
      <xdr:row>839</xdr:row>
      <xdr:rowOff>93372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12A00F91-AF28-4282-BFD9-EAACD6F41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240166</xdr:colOff>
      <xdr:row>842</xdr:row>
      <xdr:rowOff>173791</xdr:rowOff>
    </xdr:from>
    <xdr:to>
      <xdr:col>2</xdr:col>
      <xdr:colOff>860524</xdr:colOff>
      <xdr:row>866</xdr:row>
      <xdr:rowOff>76663</xdr:rowOff>
    </xdr:to>
    <xdr:graphicFrame macro="">
      <xdr:nvGraphicFramePr>
        <xdr:cNvPr id="15" name="Chart 8">
          <a:extLst>
            <a:ext uri="{FF2B5EF4-FFF2-40B4-BE49-F238E27FC236}">
              <a16:creationId xmlns:a16="http://schemas.microsoft.com/office/drawing/2014/main" id="{FD9EE3FF-F932-474F-A1F5-B97C1E493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131466</xdr:colOff>
      <xdr:row>843</xdr:row>
      <xdr:rowOff>39097</xdr:rowOff>
    </xdr:from>
    <xdr:to>
      <xdr:col>7</xdr:col>
      <xdr:colOff>785442</xdr:colOff>
      <xdr:row>866</xdr:row>
      <xdr:rowOff>122944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945759D5-41A7-4889-BA0A-D48A3CDEE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57934</xdr:colOff>
      <xdr:row>762</xdr:row>
      <xdr:rowOff>100853</xdr:rowOff>
    </xdr:from>
    <xdr:to>
      <xdr:col>14</xdr:col>
      <xdr:colOff>764263</xdr:colOff>
      <xdr:row>788</xdr:row>
      <xdr:rowOff>53019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05BA4-881D-4CFF-8CD5-72A05B4ED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154100</xdr:colOff>
      <xdr:row>1282</xdr:row>
      <xdr:rowOff>136072</xdr:rowOff>
    </xdr:from>
    <xdr:to>
      <xdr:col>2</xdr:col>
      <xdr:colOff>1733536</xdr:colOff>
      <xdr:row>1314</xdr:row>
      <xdr:rowOff>18359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172191</xdr:colOff>
      <xdr:row>1283</xdr:row>
      <xdr:rowOff>18369</xdr:rowOff>
    </xdr:from>
    <xdr:to>
      <xdr:col>8</xdr:col>
      <xdr:colOff>625928</xdr:colOff>
      <xdr:row>1314</xdr:row>
      <xdr:rowOff>18573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6733D639-28EE-4DE4-A099-0D3BAA744B35}"/>
            </a:ext>
            <a:ext uri="{147F2762-F138-4A5C-976F-8EAC2B608ADB}">
              <a16:predDERef xmlns:a16="http://schemas.microsoft.com/office/drawing/2014/main" pre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702490</xdr:colOff>
      <xdr:row>1283</xdr:row>
      <xdr:rowOff>22412</xdr:rowOff>
    </xdr:from>
    <xdr:to>
      <xdr:col>12</xdr:col>
      <xdr:colOff>665909</xdr:colOff>
      <xdr:row>1314</xdr:row>
      <xdr:rowOff>36223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E2795459-16BF-413D-A7FD-FE90B615BF30}"/>
            </a:ext>
            <a:ext uri="{147F2762-F138-4A5C-976F-8EAC2B608ADB}">
              <a16:predDERef xmlns:a16="http://schemas.microsoft.com/office/drawing/2014/main" pred="{6733D639-28EE-4DE4-A099-0D3BAA744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226219</xdr:colOff>
      <xdr:row>1317</xdr:row>
      <xdr:rowOff>40480</xdr:rowOff>
    </xdr:from>
    <xdr:to>
      <xdr:col>2</xdr:col>
      <xdr:colOff>1810417</xdr:colOff>
      <xdr:row>1346</xdr:row>
      <xdr:rowOff>44824</xdr:rowOff>
    </xdr:to>
    <xdr:graphicFrame macro="">
      <xdr:nvGraphicFramePr>
        <xdr:cNvPr id="15" name="Chart 8">
          <a:extLst>
            <a:ext uri="{FF2B5EF4-FFF2-40B4-BE49-F238E27FC236}">
              <a16:creationId xmlns:a16="http://schemas.microsoft.com/office/drawing/2014/main" id="{4B3A0660-36F9-483B-A803-ACEC42DFAEBF}"/>
            </a:ext>
            <a:ext uri="{147F2762-F138-4A5C-976F-8EAC2B608ADB}">
              <a16:predDERef xmlns:a16="http://schemas.microsoft.com/office/drawing/2014/main" pred="{E2795459-16BF-413D-A7FD-FE90B615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112757</xdr:colOff>
      <xdr:row>1317</xdr:row>
      <xdr:rowOff>48382</xdr:rowOff>
    </xdr:from>
    <xdr:to>
      <xdr:col>8</xdr:col>
      <xdr:colOff>672352</xdr:colOff>
      <xdr:row>1346</xdr:row>
      <xdr:rowOff>0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653EC31-2928-4854-BA11-EBC021BB014B}"/>
            </a:ext>
            <a:ext uri="{147F2762-F138-4A5C-976F-8EAC2B608ADB}">
              <a16:predDERef xmlns:a16="http://schemas.microsoft.com/office/drawing/2014/main" pred="{4B3A0660-36F9-483B-A803-ACEC42DFA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1282</xdr:row>
      <xdr:rowOff>0</xdr:rowOff>
    </xdr:from>
    <xdr:to>
      <xdr:col>17</xdr:col>
      <xdr:colOff>156289</xdr:colOff>
      <xdr:row>1313</xdr:row>
      <xdr:rowOff>65392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42241-47E1-4143-B6C9-6B8B2F7BA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154100</xdr:colOff>
      <xdr:row>1282</xdr:row>
      <xdr:rowOff>136072</xdr:rowOff>
    </xdr:from>
    <xdr:to>
      <xdr:col>2</xdr:col>
      <xdr:colOff>1733536</xdr:colOff>
      <xdr:row>1314</xdr:row>
      <xdr:rowOff>18359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25369C-E9F1-4790-BA95-8E3478AAC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172191</xdr:colOff>
      <xdr:row>1283</xdr:row>
      <xdr:rowOff>18369</xdr:rowOff>
    </xdr:from>
    <xdr:to>
      <xdr:col>8</xdr:col>
      <xdr:colOff>625928</xdr:colOff>
      <xdr:row>1314</xdr:row>
      <xdr:rowOff>18573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6D113-CE58-44FD-A3B7-4E07065BF3FE}"/>
            </a:ext>
            <a:ext uri="{147F2762-F138-4A5C-976F-8EAC2B608ADB}">
              <a16:predDERef xmlns:a16="http://schemas.microsoft.com/office/drawing/2014/main" pred="{1E7EC1F2-5E94-4DF2-BDF3-4C934340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702490</xdr:colOff>
      <xdr:row>1283</xdr:row>
      <xdr:rowOff>22412</xdr:rowOff>
    </xdr:from>
    <xdr:to>
      <xdr:col>12</xdr:col>
      <xdr:colOff>665909</xdr:colOff>
      <xdr:row>1314</xdr:row>
      <xdr:rowOff>36223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4FFAB-7CB0-4A48-9B4B-4000D189F847}"/>
            </a:ext>
            <a:ext uri="{147F2762-F138-4A5C-976F-8EAC2B608ADB}">
              <a16:predDERef xmlns:a16="http://schemas.microsoft.com/office/drawing/2014/main" pred="{6733D639-28EE-4DE4-A099-0D3BAA744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226219</xdr:colOff>
      <xdr:row>1317</xdr:row>
      <xdr:rowOff>40480</xdr:rowOff>
    </xdr:from>
    <xdr:to>
      <xdr:col>2</xdr:col>
      <xdr:colOff>1810417</xdr:colOff>
      <xdr:row>1346</xdr:row>
      <xdr:rowOff>44824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BE848EED-C686-46FB-A62E-22B8DA0CB545}"/>
            </a:ext>
            <a:ext uri="{147F2762-F138-4A5C-976F-8EAC2B608ADB}">
              <a16:predDERef xmlns:a16="http://schemas.microsoft.com/office/drawing/2014/main" pred="{E2795459-16BF-413D-A7FD-FE90B615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112757</xdr:colOff>
      <xdr:row>1317</xdr:row>
      <xdr:rowOff>48382</xdr:rowOff>
    </xdr:from>
    <xdr:to>
      <xdr:col>8</xdr:col>
      <xdr:colOff>672352</xdr:colOff>
      <xdr:row>1346</xdr:row>
      <xdr:rowOff>0</xdr:rowOff>
    </xdr:to>
    <xdr:graphicFrame macro="">
      <xdr:nvGraphicFramePr>
        <xdr:cNvPr id="6" name="Chart 16">
          <a:extLst>
            <a:ext uri="{FF2B5EF4-FFF2-40B4-BE49-F238E27FC236}">
              <a16:creationId xmlns:a16="http://schemas.microsoft.com/office/drawing/2014/main" id="{B8006D63-E80D-493A-9582-C9D9419A19CB}"/>
            </a:ext>
            <a:ext uri="{147F2762-F138-4A5C-976F-8EAC2B608ADB}">
              <a16:predDERef xmlns:a16="http://schemas.microsoft.com/office/drawing/2014/main" pred="{4B3A0660-36F9-483B-A803-ACEC42DFA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ColWidth="8.83984375" defaultRowHeight="14.4" x14ac:dyDescent="0.55000000000000004"/>
  <sheetData>
    <row r="1" spans="1:3" x14ac:dyDescent="0.55000000000000004">
      <c r="A1" t="s">
        <v>0</v>
      </c>
    </row>
    <row r="2" spans="1:3" ht="409.5" x14ac:dyDescent="0.55000000000000004">
      <c r="B2" t="s">
        <v>1</v>
      </c>
      <c r="C2" s="1" t="s">
        <v>2</v>
      </c>
    </row>
    <row r="3" spans="1:3" x14ac:dyDescent="0.55000000000000004">
      <c r="B3" t="s">
        <v>3</v>
      </c>
      <c r="C3" t="s">
        <v>4</v>
      </c>
    </row>
    <row r="4" spans="1:3" ht="409.5" x14ac:dyDescent="0.55000000000000004">
      <c r="B4" t="s">
        <v>5</v>
      </c>
      <c r="C4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1161-C8FD-4775-9B01-B9DB1B470B9A}">
  <dimension ref="A1:T633"/>
  <sheetViews>
    <sheetView topLeftCell="A460" zoomScale="85" zoomScaleNormal="85" workbookViewId="0">
      <selection activeCell="J18" sqref="J18"/>
    </sheetView>
  </sheetViews>
  <sheetFormatPr defaultColWidth="9" defaultRowHeight="14.4" x14ac:dyDescent="0.55000000000000004"/>
  <cols>
    <col min="1" max="1" width="23.1015625" style="2" customWidth="1"/>
    <col min="2" max="2" width="20.83984375" style="2" customWidth="1"/>
    <col min="3" max="3" width="26.1015625" style="2" customWidth="1"/>
    <col min="4" max="4" width="14.26171875" style="2" customWidth="1"/>
    <col min="5" max="5" width="12.578125" style="2" customWidth="1"/>
    <col min="6" max="6" width="11.1015625" style="2" customWidth="1"/>
    <col min="7" max="7" width="11.578125" style="2" customWidth="1"/>
    <col min="8" max="8" width="25" style="2" customWidth="1"/>
    <col min="9" max="9" width="38.41796875" style="2" customWidth="1"/>
    <col min="10" max="10" width="40" style="2" customWidth="1"/>
    <col min="11" max="11" width="33.578125" style="2" customWidth="1"/>
    <col min="12" max="12" width="26.734375" style="2" customWidth="1"/>
    <col min="13" max="13" width="17.26171875" style="2" customWidth="1"/>
    <col min="14" max="14" width="18.26171875" style="2" customWidth="1"/>
    <col min="15" max="15" width="30.734375" style="2" customWidth="1"/>
    <col min="16" max="16" width="30" style="2" customWidth="1"/>
    <col min="17" max="16384" width="9" style="2"/>
  </cols>
  <sheetData>
    <row r="1" spans="1:11" ht="31.5" customHeight="1" x14ac:dyDescent="0.55000000000000004">
      <c r="A1" s="3" t="s">
        <v>7</v>
      </c>
      <c r="B1" s="3" t="s">
        <v>8</v>
      </c>
      <c r="C1" s="2" t="s">
        <v>9</v>
      </c>
      <c r="D1" s="2">
        <v>1</v>
      </c>
      <c r="E1" s="2">
        <v>2</v>
      </c>
      <c r="F1" s="2">
        <v>3</v>
      </c>
      <c r="G1" s="2">
        <v>4</v>
      </c>
      <c r="H1" s="13" t="s">
        <v>56</v>
      </c>
      <c r="I1" s="16"/>
      <c r="J1" s="16"/>
      <c r="K1" s="16"/>
    </row>
    <row r="2" spans="1:11" ht="31.5" customHeight="1" x14ac:dyDescent="0.55000000000000004">
      <c r="A2" s="3" t="s">
        <v>10</v>
      </c>
      <c r="B2" s="4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14"/>
      <c r="I2" s="16"/>
      <c r="J2" s="16"/>
      <c r="K2" s="16"/>
    </row>
    <row r="3" spans="1:11" ht="31.5" customHeight="1" x14ac:dyDescent="0.55000000000000004">
      <c r="A3" s="3" t="s">
        <v>17</v>
      </c>
      <c r="C3" s="2" t="s">
        <v>18</v>
      </c>
      <c r="D3" s="3" t="s">
        <v>19</v>
      </c>
      <c r="E3" s="3"/>
      <c r="F3" s="3" t="s">
        <v>19</v>
      </c>
      <c r="G3" s="3"/>
      <c r="H3" s="15"/>
    </row>
    <row r="4" spans="1:11" x14ac:dyDescent="0.55000000000000004">
      <c r="A4" s="2" t="s">
        <v>20</v>
      </c>
      <c r="B4" s="2" t="s">
        <v>21</v>
      </c>
      <c r="C4" s="2" t="s">
        <v>22</v>
      </c>
      <c r="D4" s="2">
        <v>0.96372000000000002</v>
      </c>
      <c r="E4" s="2">
        <v>0.94459400000000004</v>
      </c>
      <c r="F4" s="2">
        <v>0.97721999999999998</v>
      </c>
      <c r="G4" s="2">
        <v>0.97169899999999998</v>
      </c>
      <c r="H4" s="2">
        <f>AVERAGE(D4:G4)</f>
        <v>0.96430824999999998</v>
      </c>
    </row>
    <row r="5" spans="1:11" x14ac:dyDescent="0.55000000000000004">
      <c r="A5" s="2">
        <v>0.3</v>
      </c>
      <c r="C5" s="2" t="s">
        <v>23</v>
      </c>
      <c r="D5" s="2">
        <v>2.3499999999999999E-4</v>
      </c>
      <c r="E5" s="2">
        <v>4.2299999999999998E-4</v>
      </c>
      <c r="F5" s="2">
        <v>3.0699999999999998E-4</v>
      </c>
      <c r="G5" s="2">
        <v>4.8899999999999996E-4</v>
      </c>
      <c r="H5" s="2">
        <f>(1/COUNT(D5:G5))*SQRT(SUMSQ(D5:G5))</f>
        <v>1.8833547196425848E-4</v>
      </c>
    </row>
    <row r="6" spans="1:11" x14ac:dyDescent="0.55000000000000004">
      <c r="C6" s="2" t="s">
        <v>24</v>
      </c>
      <c r="D6" s="2">
        <v>0.29610500000000001</v>
      </c>
      <c r="E6" s="2">
        <v>0.32731399999999999</v>
      </c>
      <c r="F6" s="2">
        <v>0.31920700000000002</v>
      </c>
      <c r="G6" s="2">
        <v>0.29999599999999998</v>
      </c>
      <c r="H6" s="2">
        <f>AVERAGE(D6:G6)</f>
        <v>0.31065549999999997</v>
      </c>
    </row>
    <row r="7" spans="1:11" x14ac:dyDescent="0.55000000000000004">
      <c r="C7" s="2" t="s">
        <v>25</v>
      </c>
      <c r="D7" s="2">
        <v>8.43E-4</v>
      </c>
      <c r="E7" s="2">
        <v>1.152E-3</v>
      </c>
      <c r="F7" s="2">
        <v>9.0300000000000005E-4</v>
      </c>
      <c r="G7" s="2">
        <v>1.7470000000000001E-3</v>
      </c>
      <c r="H7" s="2">
        <f>(1/COUNT(D7:G7))*SQRT(SUMSQ(D7:G7))</f>
        <v>6.0751394016927713E-4</v>
      </c>
    </row>
    <row r="8" spans="1:11" x14ac:dyDescent="0.55000000000000004">
      <c r="C8" s="2" t="s">
        <v>26</v>
      </c>
      <c r="D8" s="2">
        <v>0.76374799999999998</v>
      </c>
      <c r="E8" s="2">
        <v>0.76190899999999995</v>
      </c>
      <c r="F8" s="2">
        <v>0.86396399999999995</v>
      </c>
      <c r="G8" s="2">
        <v>0.89163599999999998</v>
      </c>
      <c r="H8" s="2">
        <f>AVERAGE(D8:G8)</f>
        <v>0.82031425000000002</v>
      </c>
    </row>
    <row r="9" spans="1:11" x14ac:dyDescent="0.55000000000000004">
      <c r="C9" s="2" t="s">
        <v>27</v>
      </c>
      <c r="D9" s="2">
        <v>5.4900000000000001E-4</v>
      </c>
      <c r="E9" s="2">
        <v>9.2900000000000003E-4</v>
      </c>
      <c r="F9" s="2">
        <v>6.0300000000000002E-4</v>
      </c>
      <c r="G9" s="2">
        <v>6.4199999999999999E-4</v>
      </c>
      <c r="H9" s="2">
        <f>(1/COUNT(D9:G9))*SQRT(SUMSQ(D9:G9))</f>
        <v>3.4822900152055113E-4</v>
      </c>
    </row>
    <row r="10" spans="1:11" x14ac:dyDescent="0.55000000000000004">
      <c r="C10" s="2" t="s">
        <v>28</v>
      </c>
      <c r="D10" s="2">
        <v>2.207039</v>
      </c>
      <c r="E10" s="2">
        <v>2.0134340000000002</v>
      </c>
      <c r="F10" s="2">
        <v>1.6084860000000001</v>
      </c>
      <c r="G10" s="2">
        <v>1.162725</v>
      </c>
      <c r="H10" s="2">
        <f>AVERAGE(D10:G10)</f>
        <v>1.7479210000000001</v>
      </c>
    </row>
    <row r="11" spans="1:11" x14ac:dyDescent="0.55000000000000004">
      <c r="C11" s="2" t="s">
        <v>29</v>
      </c>
      <c r="D11" s="2">
        <v>8.3289999999999996E-3</v>
      </c>
      <c r="E11" s="2">
        <v>6.5430000000000002E-3</v>
      </c>
      <c r="F11" s="2">
        <v>1.2478E-2</v>
      </c>
      <c r="G11" s="2">
        <v>1.0802000000000001E-2</v>
      </c>
      <c r="H11" s="2">
        <f>(1/COUNT(D11:G11))*SQRT(SUMSQ(D11:G11))</f>
        <v>4.9025935610654079E-3</v>
      </c>
    </row>
    <row r="12" spans="1:11" x14ac:dyDescent="0.55000000000000004">
      <c r="C12" s="2" t="s">
        <v>30</v>
      </c>
      <c r="D12" s="2">
        <v>10.142085</v>
      </c>
      <c r="E12" s="2">
        <v>12.285911</v>
      </c>
      <c r="F12" s="2">
        <v>9.917389</v>
      </c>
      <c r="G12" s="2">
        <v>5.7609500000000002</v>
      </c>
      <c r="H12" s="2">
        <f>AVERAGE(D12:G12)</f>
        <v>9.5265837500000004</v>
      </c>
    </row>
    <row r="13" spans="1:11" x14ac:dyDescent="0.55000000000000004">
      <c r="C13" s="2" t="s">
        <v>31</v>
      </c>
      <c r="D13" s="2">
        <v>3.1233E-2</v>
      </c>
      <c r="E13" s="2">
        <v>2.4181000000000001E-2</v>
      </c>
      <c r="F13" s="2">
        <v>6.5629999999999994E-2</v>
      </c>
      <c r="G13" s="2">
        <v>1.9345000000000001E-2</v>
      </c>
      <c r="H13" s="2">
        <f>(1/COUNT(D13:G13))*SQRT(SUMSQ(D13:G13))</f>
        <v>1.9751181887104882E-2</v>
      </c>
    </row>
    <row r="14" spans="1:11" x14ac:dyDescent="0.55000000000000004">
      <c r="B14" s="2" t="s">
        <v>32</v>
      </c>
      <c r="C14" s="2" t="s">
        <v>22</v>
      </c>
      <c r="D14" s="2">
        <v>0.95764300000000002</v>
      </c>
      <c r="E14" s="2">
        <v>0.92205899999999996</v>
      </c>
      <c r="F14" s="2">
        <v>0.97781200000000001</v>
      </c>
      <c r="G14" s="2">
        <v>0.97080900000000003</v>
      </c>
      <c r="H14" s="2">
        <f>AVERAGE(D14:G14)</f>
        <v>0.95708075000000004</v>
      </c>
    </row>
    <row r="15" spans="1:11" x14ac:dyDescent="0.55000000000000004">
      <c r="C15" s="2" t="s">
        <v>23</v>
      </c>
      <c r="D15" s="2">
        <v>9.3899999999999995E-4</v>
      </c>
      <c r="E15" s="2">
        <v>3.209E-3</v>
      </c>
      <c r="F15" s="2">
        <v>4.0099999999999999E-4</v>
      </c>
      <c r="G15" s="2">
        <v>4.9899999999999999E-4</v>
      </c>
      <c r="H15" s="2">
        <f>(1/COUNT(D15:G15))*SQRT(SUMSQ(D15:G15))</f>
        <v>8.5107299921922095E-4</v>
      </c>
    </row>
    <row r="16" spans="1:11" x14ac:dyDescent="0.55000000000000004">
      <c r="C16" s="2" t="s">
        <v>24</v>
      </c>
      <c r="D16" s="2">
        <v>0.31638699999999997</v>
      </c>
      <c r="E16" s="2">
        <v>0.38508599999999998</v>
      </c>
      <c r="F16" s="2">
        <v>0.31628000000000001</v>
      </c>
      <c r="G16" s="2">
        <v>0.30414600000000003</v>
      </c>
      <c r="H16" s="2">
        <f>AVERAGE(D16:G16)</f>
        <v>0.33047474999999998</v>
      </c>
    </row>
    <row r="17" spans="2:8" x14ac:dyDescent="0.55000000000000004">
      <c r="C17" s="2" t="s">
        <v>25</v>
      </c>
      <c r="D17" s="2">
        <v>2.728E-3</v>
      </c>
      <c r="E17" s="2">
        <v>7.6179999999999998E-3</v>
      </c>
      <c r="F17" s="2">
        <v>1.3270000000000001E-3</v>
      </c>
      <c r="G17" s="2">
        <v>1.7949999999999999E-3</v>
      </c>
      <c r="H17" s="2">
        <f>(1/COUNT(D17:G17))*SQRT(SUMSQ(D17:G17))</f>
        <v>2.0984944305382368E-3</v>
      </c>
    </row>
    <row r="18" spans="2:8" x14ac:dyDescent="0.55000000000000004">
      <c r="C18" s="2" t="s">
        <v>26</v>
      </c>
      <c r="D18" s="2">
        <v>0.74674799999999997</v>
      </c>
      <c r="E18" s="2">
        <v>0.72005799999999998</v>
      </c>
      <c r="F18" s="2">
        <v>0.86431100000000005</v>
      </c>
      <c r="G18" s="2">
        <v>0.88985300000000001</v>
      </c>
      <c r="H18" s="2">
        <f>AVERAGE(D18:G18)</f>
        <v>0.80524249999999997</v>
      </c>
    </row>
    <row r="19" spans="2:8" x14ac:dyDescent="0.55000000000000004">
      <c r="C19" s="2" t="s">
        <v>27</v>
      </c>
      <c r="D19" s="2">
        <v>2.2629999999999998E-3</v>
      </c>
      <c r="E19" s="2">
        <v>5.5700000000000003E-3</v>
      </c>
      <c r="F19" s="2">
        <v>1.158E-3</v>
      </c>
      <c r="G19" s="2">
        <v>9.7300000000000002E-4</v>
      </c>
      <c r="H19" s="2">
        <f>(1/COUNT(D19:G19))*SQRT(SUMSQ(D19:G19))</f>
        <v>1.5498742287682573E-3</v>
      </c>
    </row>
    <row r="20" spans="2:8" x14ac:dyDescent="0.55000000000000004">
      <c r="C20" s="2" t="s">
        <v>28</v>
      </c>
      <c r="D20" s="2">
        <v>2.388916</v>
      </c>
      <c r="E20" s="2">
        <v>2.620968</v>
      </c>
      <c r="F20" s="2">
        <v>1.5673410000000001</v>
      </c>
      <c r="G20" s="2">
        <v>1.177189</v>
      </c>
      <c r="H20" s="2">
        <f>AVERAGE(D20:G20)</f>
        <v>1.9386034999999999</v>
      </c>
    </row>
    <row r="21" spans="2:8" x14ac:dyDescent="0.55000000000000004">
      <c r="C21" s="2" t="s">
        <v>29</v>
      </c>
      <c r="D21" s="2">
        <v>2.6214000000000001E-2</v>
      </c>
      <c r="E21" s="2">
        <v>6.0439E-2</v>
      </c>
      <c r="F21" s="2">
        <v>1.6913999999999998E-2</v>
      </c>
      <c r="G21" s="2">
        <v>9.8580000000000004E-3</v>
      </c>
      <c r="H21" s="2">
        <f>(1/COUNT(D21:G21))*SQRT(SUMSQ(D21:G21))</f>
        <v>1.7181585485993425E-2</v>
      </c>
    </row>
    <row r="22" spans="2:8" x14ac:dyDescent="0.55000000000000004">
      <c r="C22" s="2" t="s">
        <v>30</v>
      </c>
      <c r="D22" s="2">
        <v>10.91808</v>
      </c>
      <c r="E22" s="2">
        <v>14.402744999999999</v>
      </c>
      <c r="F22" s="2">
        <v>9.6976659999999999</v>
      </c>
      <c r="G22" s="2">
        <v>5.782686</v>
      </c>
      <c r="H22" s="2">
        <f>AVERAGE(D22:G22)</f>
        <v>10.200294249999999</v>
      </c>
    </row>
    <row r="23" spans="2:8" x14ac:dyDescent="0.55000000000000004">
      <c r="C23" s="2" t="s">
        <v>31</v>
      </c>
      <c r="D23" s="2">
        <v>0.148036</v>
      </c>
      <c r="E23" s="2">
        <v>0.28786499999999998</v>
      </c>
      <c r="F23" s="2">
        <v>0.11103</v>
      </c>
      <c r="G23" s="2">
        <v>2.9350999999999999E-2</v>
      </c>
      <c r="H23" s="2">
        <f>(1/COUNT(D23:G23))*SQRT(SUMSQ(D23:G23))</f>
        <v>8.5866923791265509E-2</v>
      </c>
    </row>
    <row r="24" spans="2:8" x14ac:dyDescent="0.55000000000000004">
      <c r="B24" s="2" t="s">
        <v>33</v>
      </c>
      <c r="C24" s="2" t="s">
        <v>22</v>
      </c>
      <c r="D24" s="2">
        <v>0.963862</v>
      </c>
      <c r="E24" s="2">
        <v>0.94477</v>
      </c>
      <c r="F24" s="2">
        <v>0.97758800000000001</v>
      </c>
      <c r="G24" s="2">
        <v>0.97387999999999997</v>
      </c>
      <c r="H24" s="2">
        <f>AVERAGE(D24:G24)</f>
        <v>0.96502499999999991</v>
      </c>
    </row>
    <row r="25" spans="2:8" x14ac:dyDescent="0.55000000000000004">
      <c r="C25" s="2" t="s">
        <v>23</v>
      </c>
      <c r="D25" s="2">
        <v>8.3999999999999995E-5</v>
      </c>
      <c r="E25" s="2">
        <v>3.3199999999999999E-4</v>
      </c>
      <c r="F25" s="2">
        <v>1.4899999999999999E-4</v>
      </c>
      <c r="G25" s="2">
        <v>1.37E-4</v>
      </c>
      <c r="H25" s="2">
        <f>(1/COUNT(D25:G25))*SQRT(SUMSQ(D25:G25))</f>
        <v>9.9451621404580428E-5</v>
      </c>
    </row>
    <row r="26" spans="2:8" x14ac:dyDescent="0.55000000000000004">
      <c r="C26" s="2" t="s">
        <v>24</v>
      </c>
      <c r="D26" s="2">
        <v>0.29568699999999998</v>
      </c>
      <c r="E26" s="2">
        <v>0.32761099999999999</v>
      </c>
      <c r="F26" s="2">
        <v>0.31848399999999999</v>
      </c>
      <c r="G26" s="2">
        <v>0.29511199999999999</v>
      </c>
      <c r="H26" s="2">
        <f>AVERAGE(D26:G26)</f>
        <v>0.30922349999999998</v>
      </c>
    </row>
    <row r="27" spans="2:8" x14ac:dyDescent="0.55000000000000004">
      <c r="C27" s="2" t="s">
        <v>25</v>
      </c>
      <c r="D27" s="2">
        <v>2.7399999999999999E-4</v>
      </c>
      <c r="E27" s="2">
        <v>8.8000000000000003E-4</v>
      </c>
      <c r="F27" s="2">
        <v>4.46E-4</v>
      </c>
      <c r="G27" s="2">
        <v>4.4999999999999999E-4</v>
      </c>
      <c r="H27" s="2">
        <f>(1/COUNT(D27:G27))*SQRT(SUMSQ(D27:G27))</f>
        <v>2.7960820803402749E-4</v>
      </c>
    </row>
    <row r="28" spans="2:8" x14ac:dyDescent="0.55000000000000004">
      <c r="C28" s="2" t="s">
        <v>26</v>
      </c>
      <c r="D28" s="2">
        <v>0.76397099999999996</v>
      </c>
      <c r="E28" s="2">
        <v>0.76094399999999995</v>
      </c>
      <c r="F28" s="2">
        <v>0.86490800000000001</v>
      </c>
      <c r="G28" s="2">
        <v>0.89502199999999998</v>
      </c>
      <c r="H28" s="2">
        <f>AVERAGE(D28:G28)</f>
        <v>0.82121124999999995</v>
      </c>
    </row>
    <row r="29" spans="2:8" x14ac:dyDescent="0.55000000000000004">
      <c r="C29" s="2" t="s">
        <v>27</v>
      </c>
      <c r="D29" s="2">
        <v>2.0100000000000001E-4</v>
      </c>
      <c r="E29" s="2">
        <v>7.0399999999999998E-4</v>
      </c>
      <c r="F29" s="2">
        <v>4.0499999999999998E-4</v>
      </c>
      <c r="G29" s="2">
        <v>2.0100000000000001E-4</v>
      </c>
      <c r="H29" s="2">
        <f>(1/COUNT(D29:G29))*SQRT(SUMSQ(D29:G29))</f>
        <v>2.1512249417483052E-4</v>
      </c>
    </row>
    <row r="30" spans="2:8" x14ac:dyDescent="0.55000000000000004">
      <c r="C30" s="2" t="s">
        <v>28</v>
      </c>
      <c r="D30" s="2">
        <v>2.1970839999999998</v>
      </c>
      <c r="E30" s="2">
        <v>2.0156939999999999</v>
      </c>
      <c r="F30" s="2">
        <v>1.6013470000000001</v>
      </c>
      <c r="G30" s="2">
        <v>1.132083</v>
      </c>
      <c r="H30" s="2">
        <f>AVERAGE(D30:G30)</f>
        <v>1.7365520000000001</v>
      </c>
    </row>
    <row r="31" spans="2:8" x14ac:dyDescent="0.55000000000000004">
      <c r="C31" s="2" t="s">
        <v>29</v>
      </c>
      <c r="D31" s="2">
        <v>4.3759999999999997E-3</v>
      </c>
      <c r="E31" s="2">
        <v>5.8259999999999996E-3</v>
      </c>
      <c r="F31" s="2">
        <v>5.7260000000000002E-3</v>
      </c>
      <c r="G31" s="2">
        <v>2.7910000000000001E-3</v>
      </c>
      <c r="H31" s="2">
        <f>(1/COUNT(D31:G31))*SQRT(SUMSQ(D31:G31))</f>
        <v>2.419561026818708E-3</v>
      </c>
    </row>
    <row r="32" spans="2:8" x14ac:dyDescent="0.55000000000000004">
      <c r="C32" s="2" t="s">
        <v>30</v>
      </c>
      <c r="D32" s="2">
        <v>10.084078999999999</v>
      </c>
      <c r="E32" s="2">
        <v>12.21757</v>
      </c>
      <c r="F32" s="2">
        <v>9.9191450000000003</v>
      </c>
      <c r="G32" s="2">
        <v>5.7753639999999997</v>
      </c>
      <c r="H32" s="2">
        <f>AVERAGE(D32:G32)</f>
        <v>9.4990394999999985</v>
      </c>
    </row>
    <row r="33" spans="2:8" x14ac:dyDescent="0.55000000000000004">
      <c r="C33" s="2" t="s">
        <v>31</v>
      </c>
      <c r="D33" s="2">
        <v>2.1984E-2</v>
      </c>
      <c r="E33" s="2">
        <v>1.8242999999999999E-2</v>
      </c>
      <c r="F33" s="2">
        <v>2.2630000000000001E-2</v>
      </c>
      <c r="G33" s="2">
        <v>9.4909999999999994E-3</v>
      </c>
      <c r="H33" s="2">
        <f>(1/COUNT(D33:G33))*SQRT(SUMSQ(D33:G33))</f>
        <v>9.4150786175687343E-3</v>
      </c>
    </row>
    <row r="34" spans="2:8" x14ac:dyDescent="0.55000000000000004">
      <c r="B34" s="2" t="s">
        <v>34</v>
      </c>
      <c r="C34" s="2" t="s">
        <v>22</v>
      </c>
      <c r="D34" s="2">
        <v>0.963121</v>
      </c>
      <c r="E34" s="2">
        <v>0.91836300000000004</v>
      </c>
      <c r="F34" s="2">
        <v>0.97665800000000003</v>
      </c>
      <c r="G34" s="2">
        <v>0.97327799999999998</v>
      </c>
      <c r="H34" s="2">
        <f>AVERAGE(D34:G34)</f>
        <v>0.95785500000000001</v>
      </c>
    </row>
    <row r="35" spans="2:8" x14ac:dyDescent="0.55000000000000004">
      <c r="C35" s="2" t="s">
        <v>23</v>
      </c>
      <c r="D35" s="2">
        <v>1.2440000000000001E-3</v>
      </c>
      <c r="E35" s="2">
        <v>9.3469999999999994E-3</v>
      </c>
      <c r="F35" s="2">
        <v>8.7799999999999998E-4</v>
      </c>
      <c r="G35" s="2">
        <v>2.8699999999999998E-4</v>
      </c>
      <c r="H35" s="2">
        <f>(1/COUNT(D35:G35))*SQRT(SUMSQ(D35:G35))</f>
        <v>2.3686388232484917E-3</v>
      </c>
    </row>
    <row r="36" spans="2:8" x14ac:dyDescent="0.55000000000000004">
      <c r="C36" s="2" t="s">
        <v>24</v>
      </c>
      <c r="D36" s="2">
        <v>0.29822300000000002</v>
      </c>
      <c r="E36" s="2">
        <v>0.39104100000000003</v>
      </c>
      <c r="F36" s="2">
        <v>0.32286100000000001</v>
      </c>
      <c r="G36" s="2">
        <v>0.29727799999999999</v>
      </c>
      <c r="H36" s="2">
        <f>AVERAGE(D36:G36)</f>
        <v>0.32735075000000002</v>
      </c>
    </row>
    <row r="37" spans="2:8" x14ac:dyDescent="0.55000000000000004">
      <c r="C37" s="2" t="s">
        <v>25</v>
      </c>
      <c r="D37" s="2">
        <v>3.1619999999999999E-3</v>
      </c>
      <c r="E37" s="2">
        <v>1.9924000000000001E-2</v>
      </c>
      <c r="F37" s="2">
        <v>2.5579999999999999E-3</v>
      </c>
      <c r="G37" s="2">
        <v>1.137E-3</v>
      </c>
      <c r="H37" s="2">
        <f>(1/COUNT(D37:G37))*SQRT(SUMSQ(D37:G37))</f>
        <v>5.0916607862759276E-3</v>
      </c>
    </row>
    <row r="38" spans="2:8" x14ac:dyDescent="0.55000000000000004">
      <c r="C38" s="2" t="s">
        <v>26</v>
      </c>
      <c r="D38" s="2">
        <v>0.76125200000000004</v>
      </c>
      <c r="E38" s="2">
        <v>0.71543400000000001</v>
      </c>
      <c r="F38" s="2">
        <v>0.86033999999999999</v>
      </c>
      <c r="G38" s="2">
        <v>0.89402800000000004</v>
      </c>
      <c r="H38" s="2">
        <f>AVERAGE(D38:G38)</f>
        <v>0.80776349999999997</v>
      </c>
    </row>
    <row r="39" spans="2:8" x14ac:dyDescent="0.55000000000000004">
      <c r="C39" s="2" t="s">
        <v>27</v>
      </c>
      <c r="D39" s="2">
        <v>2.5839999999999999E-3</v>
      </c>
      <c r="E39" s="2">
        <v>1.4659999999999999E-2</v>
      </c>
      <c r="F39" s="2">
        <v>2.679E-3</v>
      </c>
      <c r="G39" s="2">
        <v>6.5799999999999995E-4</v>
      </c>
      <c r="H39" s="2">
        <f>(1/COUNT(D39:G39))*SQRT(SUMSQ(D39:G39))</f>
        <v>3.7848601443778605E-3</v>
      </c>
    </row>
    <row r="40" spans="2:8" x14ac:dyDescent="0.55000000000000004">
      <c r="C40" s="2" t="s">
        <v>28</v>
      </c>
      <c r="D40" s="2">
        <v>2.2048890000000001</v>
      </c>
      <c r="E40" s="2">
        <v>2.5792380000000001</v>
      </c>
      <c r="F40" s="2">
        <v>1.657967</v>
      </c>
      <c r="G40" s="2">
        <v>1.140055</v>
      </c>
      <c r="H40" s="2">
        <f>AVERAGE(D40:G40)</f>
        <v>1.8955372500000001</v>
      </c>
    </row>
    <row r="41" spans="2:8" x14ac:dyDescent="0.55000000000000004">
      <c r="C41" s="2" t="s">
        <v>29</v>
      </c>
      <c r="D41" s="2">
        <v>3.005E-2</v>
      </c>
      <c r="E41" s="2">
        <v>0.15862899999999999</v>
      </c>
      <c r="F41" s="2">
        <v>2.6620000000000001E-2</v>
      </c>
      <c r="G41" s="2">
        <v>6.8739999999999999E-3</v>
      </c>
      <c r="H41" s="2">
        <f>(1/COUNT(D41:G41))*SQRT(SUMSQ(D41:G41))</f>
        <v>4.0943588033567596E-2</v>
      </c>
    </row>
    <row r="42" spans="2:8" x14ac:dyDescent="0.55000000000000004">
      <c r="C42" s="2" t="s">
        <v>30</v>
      </c>
      <c r="D42" s="2">
        <v>10.183469000000001</v>
      </c>
      <c r="E42" s="2">
        <v>13.896291</v>
      </c>
      <c r="F42" s="2">
        <v>10.141157</v>
      </c>
      <c r="G42" s="2">
        <v>5.7060690000000003</v>
      </c>
      <c r="H42" s="2">
        <f>AVERAGE(D42:G42)</f>
        <v>9.9817464999999999</v>
      </c>
    </row>
    <row r="43" spans="2:8" x14ac:dyDescent="0.55000000000000004">
      <c r="C43" s="2" t="s">
        <v>31</v>
      </c>
      <c r="D43" s="2">
        <v>0.15540300000000001</v>
      </c>
      <c r="E43" s="2">
        <v>0.64427100000000004</v>
      </c>
      <c r="F43" s="2">
        <v>0.10176</v>
      </c>
      <c r="G43" s="2">
        <v>1.7409000000000001E-2</v>
      </c>
      <c r="H43" s="2">
        <f>(1/COUNT(D43:G43))*SQRT(SUMSQ(D43:G43))</f>
        <v>0.16768523055322285</v>
      </c>
    </row>
    <row r="44" spans="2:8" x14ac:dyDescent="0.55000000000000004">
      <c r="B44" s="2" t="s">
        <v>35</v>
      </c>
      <c r="C44" s="2" t="s">
        <v>22</v>
      </c>
      <c r="D44" s="2">
        <v>0.94691800000000004</v>
      </c>
      <c r="E44" s="2">
        <v>0.88520500000000002</v>
      </c>
      <c r="F44" s="2">
        <v>0.97512100000000002</v>
      </c>
      <c r="G44" s="2">
        <v>0.96745199999999998</v>
      </c>
      <c r="H44" s="2">
        <f>AVERAGE(E44:G44)</f>
        <v>0.94259266666666675</v>
      </c>
    </row>
    <row r="45" spans="2:8" x14ac:dyDescent="0.55000000000000004">
      <c r="C45" s="2" t="s">
        <v>23</v>
      </c>
      <c r="D45" s="2">
        <v>9.0499999999999999E-4</v>
      </c>
      <c r="E45" s="2">
        <v>3.1840000000000002E-3</v>
      </c>
      <c r="F45" s="2">
        <v>5.9999999999999995E-4</v>
      </c>
      <c r="G45" s="2">
        <v>6.9399999999999996E-4</v>
      </c>
      <c r="H45" s="2">
        <f>(1/COUNT(E45:G45))*SQRT(SUMSQ(E45:G45))</f>
        <v>1.1045105502237428E-3</v>
      </c>
    </row>
    <row r="46" spans="2:8" x14ac:dyDescent="0.55000000000000004">
      <c r="C46" s="2" t="s">
        <v>24</v>
      </c>
      <c r="D46" s="2">
        <v>0.34423700000000002</v>
      </c>
      <c r="E46" s="2">
        <v>0.47095799999999999</v>
      </c>
      <c r="F46" s="2">
        <v>0.32930100000000001</v>
      </c>
      <c r="G46" s="2">
        <v>0.31928099999999998</v>
      </c>
      <c r="H46" s="2">
        <f>AVERAGE(E46:G46)</f>
        <v>0.37318000000000001</v>
      </c>
    </row>
    <row r="47" spans="2:8" x14ac:dyDescent="0.55000000000000004">
      <c r="C47" s="2" t="s">
        <v>25</v>
      </c>
      <c r="D47" s="2">
        <v>2.2039999999999998E-3</v>
      </c>
      <c r="E47" s="2">
        <v>6.2750000000000002E-3</v>
      </c>
      <c r="F47" s="2">
        <v>1.786E-3</v>
      </c>
      <c r="G47" s="2">
        <v>2.3440000000000002E-3</v>
      </c>
      <c r="H47" s="2">
        <f>(1/COUNT(E47:G47))*SQRT(SUMSQ(E47:G47))</f>
        <v>2.3108381596295313E-3</v>
      </c>
    </row>
    <row r="48" spans="2:8" x14ac:dyDescent="0.55000000000000004">
      <c r="C48" s="2" t="s">
        <v>26</v>
      </c>
      <c r="D48" s="2">
        <v>0.72534500000000002</v>
      </c>
      <c r="E48" s="2">
        <v>0.65030600000000005</v>
      </c>
      <c r="F48" s="2">
        <v>0.85392699999999999</v>
      </c>
      <c r="G48" s="2">
        <v>0.88217900000000005</v>
      </c>
      <c r="H48" s="2">
        <f>AVERAGE(E48:G48)</f>
        <v>0.79547066666666666</v>
      </c>
    </row>
    <row r="49" spans="2:20" x14ac:dyDescent="0.55000000000000004">
      <c r="C49" s="2" t="s">
        <v>27</v>
      </c>
      <c r="D49" s="2">
        <v>1.784E-3</v>
      </c>
      <c r="E49" s="2">
        <v>4.797E-3</v>
      </c>
      <c r="F49" s="2">
        <v>1.7129999999999999E-3</v>
      </c>
      <c r="G49" s="2">
        <v>1.2130000000000001E-3</v>
      </c>
      <c r="H49" s="2">
        <f>(1/COUNT(E49:G49))*SQRT(SUMSQ(E49:G49))</f>
        <v>1.7453731533527274E-3</v>
      </c>
    </row>
    <row r="50" spans="2:20" x14ac:dyDescent="0.55000000000000004">
      <c r="C50" s="2" t="s">
        <v>28</v>
      </c>
      <c r="D50" s="2">
        <v>2.5466600000000001</v>
      </c>
      <c r="E50" s="2">
        <v>3.2118099999999998</v>
      </c>
      <c r="F50" s="2">
        <v>1.7307410000000001</v>
      </c>
      <c r="G50" s="2">
        <v>1.249447</v>
      </c>
      <c r="H50" s="2">
        <f>AVERAGE(E50:G50)</f>
        <v>2.0639993333333333</v>
      </c>
    </row>
    <row r="51" spans="2:20" x14ac:dyDescent="0.55000000000000004">
      <c r="C51" s="2" t="s">
        <v>29</v>
      </c>
      <c r="D51" s="2">
        <v>2.0478E-2</v>
      </c>
      <c r="E51" s="2">
        <v>5.4125E-2</v>
      </c>
      <c r="F51" s="2">
        <v>2.0642000000000001E-2</v>
      </c>
      <c r="G51" s="2">
        <v>1.2193000000000001E-2</v>
      </c>
      <c r="H51" s="2">
        <f>(1/COUNT(E51:G51))*SQRT(SUMSQ(E51:G51))</f>
        <v>1.9732311454397158E-2</v>
      </c>
    </row>
    <row r="52" spans="2:20" x14ac:dyDescent="0.55000000000000004">
      <c r="C52" s="2" t="s">
        <v>30</v>
      </c>
      <c r="D52" s="2">
        <v>11.950353</v>
      </c>
      <c r="E52" s="2">
        <v>16.912870000000002</v>
      </c>
      <c r="F52" s="2">
        <v>10.492006999999999</v>
      </c>
      <c r="G52" s="2">
        <v>5.9465909999999997</v>
      </c>
      <c r="H52" s="2">
        <f>AVERAGE(E52:G52)</f>
        <v>11.117156</v>
      </c>
    </row>
    <row r="53" spans="2:20" x14ac:dyDescent="0.55000000000000004">
      <c r="C53" s="2" t="s">
        <v>31</v>
      </c>
      <c r="D53" s="2">
        <v>0.109961</v>
      </c>
      <c r="E53" s="2">
        <v>0.26566899999999999</v>
      </c>
      <c r="F53" s="2">
        <v>8.3991999999999997E-2</v>
      </c>
      <c r="G53" s="2">
        <v>2.9326999999999999E-2</v>
      </c>
      <c r="H53" s="2">
        <f>(1/COUNT(E53:G53))*SQRT(SUMSQ(E53:G53))</f>
        <v>9.3389713063056351E-2</v>
      </c>
    </row>
    <row r="54" spans="2:20" x14ac:dyDescent="0.55000000000000004">
      <c r="B54" s="2" t="s">
        <v>36</v>
      </c>
      <c r="C54" s="2" t="s">
        <v>22</v>
      </c>
      <c r="D54" s="2">
        <v>0.96348199999999995</v>
      </c>
      <c r="E54" s="2">
        <v>0.95467199999999997</v>
      </c>
      <c r="F54" s="2">
        <v>0.97762899999999997</v>
      </c>
      <c r="G54" s="2">
        <v>0.974966</v>
      </c>
      <c r="H54" s="2">
        <f t="shared" ref="H54:H69" si="0">AVERAGE(D54:G54)</f>
        <v>0.96768725</v>
      </c>
    </row>
    <row r="55" spans="2:20" x14ac:dyDescent="0.55000000000000004">
      <c r="C55" s="2" t="s">
        <v>24</v>
      </c>
      <c r="D55" s="2">
        <v>0.28709899999999999</v>
      </c>
      <c r="E55" s="2">
        <v>0.299425</v>
      </c>
      <c r="F55" s="2">
        <v>0.317554</v>
      </c>
      <c r="G55" s="2">
        <v>0.28496899999999997</v>
      </c>
      <c r="H55" s="2">
        <f>AVERAGE(D55:G55)</f>
        <v>0.29726174999999999</v>
      </c>
    </row>
    <row r="56" spans="2:20" x14ac:dyDescent="0.55000000000000004">
      <c r="C56" s="2" t="s">
        <v>26</v>
      </c>
      <c r="D56" s="2">
        <v>0.75907100000000005</v>
      </c>
      <c r="E56" s="2">
        <v>0.77720500000000003</v>
      </c>
      <c r="F56" s="2">
        <v>0.86551699999999998</v>
      </c>
      <c r="G56" s="2">
        <v>0.89935399999999999</v>
      </c>
      <c r="H56" s="2">
        <f t="shared" si="0"/>
        <v>0.82528675000000007</v>
      </c>
    </row>
    <row r="57" spans="2:20" x14ac:dyDescent="0.55000000000000004">
      <c r="C57" s="2" t="s">
        <v>28</v>
      </c>
      <c r="D57" s="2">
        <v>2.1524990000000002</v>
      </c>
      <c r="E57" s="2">
        <v>1.7100550000000001</v>
      </c>
      <c r="F57" s="2">
        <v>1.6277539999999999</v>
      </c>
      <c r="G57" s="2">
        <v>1.059847</v>
      </c>
      <c r="H57" s="2">
        <f t="shared" si="0"/>
        <v>1.63753875</v>
      </c>
    </row>
    <row r="58" spans="2:20" x14ac:dyDescent="0.55000000000000004">
      <c r="C58" s="2" t="s">
        <v>30</v>
      </c>
      <c r="D58" s="2">
        <v>10.752281999999999</v>
      </c>
      <c r="E58" s="2">
        <v>9.4277080000000009</v>
      </c>
      <c r="F58" s="2">
        <v>10.203552999999999</v>
      </c>
      <c r="G58" s="2">
        <v>5.4514230000000001</v>
      </c>
      <c r="H58" s="2">
        <f t="shared" si="0"/>
        <v>8.9587415000000004</v>
      </c>
    </row>
    <row r="59" spans="2:20" x14ac:dyDescent="0.55000000000000004">
      <c r="B59" s="2" t="s">
        <v>37</v>
      </c>
      <c r="C59" s="2" t="s">
        <v>22</v>
      </c>
      <c r="D59" s="2">
        <v>0.95771300000000004</v>
      </c>
      <c r="E59" s="2">
        <v>0.92772100000000002</v>
      </c>
      <c r="F59" s="2">
        <v>0.95304999999999995</v>
      </c>
      <c r="G59" s="2">
        <v>0.93967100000000003</v>
      </c>
      <c r="H59" s="2">
        <f t="shared" si="0"/>
        <v>0.94453875000000009</v>
      </c>
    </row>
    <row r="60" spans="2:20" x14ac:dyDescent="0.55000000000000004">
      <c r="C60" s="2" t="s">
        <v>24</v>
      </c>
      <c r="D60" s="2">
        <v>0.31795200000000001</v>
      </c>
      <c r="E60" s="2">
        <v>0.37694899999999998</v>
      </c>
      <c r="F60" s="2">
        <v>0.41889500000000002</v>
      </c>
      <c r="G60" s="2">
        <v>0.43044199999999999</v>
      </c>
      <c r="H60" s="2">
        <f t="shared" si="0"/>
        <v>0.3860595</v>
      </c>
    </row>
    <row r="61" spans="2:20" x14ac:dyDescent="0.55000000000000004">
      <c r="C61" s="2" t="s">
        <v>26</v>
      </c>
      <c r="D61" s="2">
        <v>0.74611700000000003</v>
      </c>
      <c r="E61" s="2">
        <v>0.71717399999999998</v>
      </c>
      <c r="F61" s="2">
        <v>0.79089100000000001</v>
      </c>
      <c r="G61" s="2">
        <v>0.83062899999999995</v>
      </c>
      <c r="H61" s="2">
        <f t="shared" si="0"/>
        <v>0.77120275000000005</v>
      </c>
    </row>
    <row r="62" spans="2:20" x14ac:dyDescent="0.55000000000000004">
      <c r="C62" s="2" t="s">
        <v>28</v>
      </c>
      <c r="D62" s="2">
        <v>2.7346010000000001</v>
      </c>
      <c r="E62" s="2">
        <v>2.6008830000000001</v>
      </c>
      <c r="F62" s="2">
        <v>2.567984</v>
      </c>
      <c r="G62" s="2">
        <v>1.8034019999999999</v>
      </c>
      <c r="H62" s="2">
        <f t="shared" si="0"/>
        <v>2.4267175000000001</v>
      </c>
    </row>
    <row r="63" spans="2:20" x14ac:dyDescent="0.55000000000000004">
      <c r="C63" s="2" t="s">
        <v>30</v>
      </c>
      <c r="D63" s="2">
        <v>13.250203000000001</v>
      </c>
      <c r="E63" s="2">
        <v>14.921397000000001</v>
      </c>
      <c r="F63" s="2">
        <v>13.695562000000001</v>
      </c>
      <c r="G63" s="2">
        <v>8.1016239999999993</v>
      </c>
      <c r="H63" s="2">
        <f t="shared" si="0"/>
        <v>12.4921965</v>
      </c>
      <c r="P63" s="2" t="s">
        <v>38</v>
      </c>
      <c r="Q63" s="2" cm="1">
        <f t="array" ref="Q63:T63">D60:G60/D63:G63</f>
        <v>2.3996009721511436E-2</v>
      </c>
      <c r="R63" s="2">
        <v>2.5262312905420314E-2</v>
      </c>
      <c r="S63" s="2">
        <v>3.0586185510313488E-2</v>
      </c>
      <c r="T63" s="2">
        <v>5.3130335350048338E-2</v>
      </c>
    </row>
    <row r="64" spans="2:20" x14ac:dyDescent="0.55000000000000004">
      <c r="B64" s="2" t="s">
        <v>39</v>
      </c>
      <c r="C64" s="2" t="s">
        <v>22</v>
      </c>
      <c r="D64" s="2">
        <v>0.96471799999999996</v>
      </c>
      <c r="E64" s="2">
        <v>0.94930400000000004</v>
      </c>
      <c r="F64" s="2">
        <v>0.97999899999999995</v>
      </c>
      <c r="G64" s="2">
        <v>0.97417600000000004</v>
      </c>
      <c r="H64" s="2">
        <f t="shared" si="0"/>
        <v>0.96704924999999997</v>
      </c>
    </row>
    <row r="65" spans="1:8" x14ac:dyDescent="0.55000000000000004">
      <c r="C65" s="2" t="s">
        <v>24</v>
      </c>
      <c r="D65" s="2">
        <v>0.29095599999999999</v>
      </c>
      <c r="E65" s="2">
        <v>0.31728600000000001</v>
      </c>
      <c r="F65" s="2">
        <v>0.32087399999999999</v>
      </c>
      <c r="G65" s="2">
        <v>0.30174000000000001</v>
      </c>
      <c r="H65" s="2">
        <f t="shared" si="0"/>
        <v>0.30771399999999999</v>
      </c>
    </row>
    <row r="66" spans="1:8" x14ac:dyDescent="0.55000000000000004">
      <c r="C66" s="2" t="s">
        <v>26</v>
      </c>
      <c r="D66" s="2">
        <v>0.76707899999999996</v>
      </c>
      <c r="E66" s="2">
        <v>0.76832299999999998</v>
      </c>
      <c r="F66" s="2">
        <v>0.87053000000000003</v>
      </c>
      <c r="G66" s="2">
        <v>0.89464500000000002</v>
      </c>
      <c r="H66" s="2">
        <f t="shared" si="0"/>
        <v>0.82514425000000002</v>
      </c>
    </row>
    <row r="67" spans="1:8" x14ac:dyDescent="0.55000000000000004">
      <c r="C67" s="2" t="s">
        <v>28</v>
      </c>
      <c r="D67" s="2">
        <v>2.2105760000000001</v>
      </c>
      <c r="E67" s="2">
        <v>1.9351320000000001</v>
      </c>
      <c r="F67" s="2">
        <v>1.6781140000000001</v>
      </c>
      <c r="G67" s="2">
        <v>1.1747799999999999</v>
      </c>
      <c r="H67" s="2">
        <f t="shared" si="0"/>
        <v>1.7496505</v>
      </c>
    </row>
    <row r="68" spans="1:8" x14ac:dyDescent="0.55000000000000004">
      <c r="C68" s="2" t="s">
        <v>30</v>
      </c>
      <c r="D68" s="2">
        <v>10.993079</v>
      </c>
      <c r="E68" s="2">
        <v>12.201699</v>
      </c>
      <c r="F68" s="2">
        <v>10.723231999999999</v>
      </c>
      <c r="G68" s="2">
        <v>5.9863369999999998</v>
      </c>
      <c r="H68" s="2">
        <f t="shared" si="0"/>
        <v>9.9760867499999986</v>
      </c>
    </row>
    <row r="69" spans="1:8" x14ac:dyDescent="0.55000000000000004">
      <c r="A69" s="2" t="s">
        <v>20</v>
      </c>
      <c r="B69" s="2" t="s">
        <v>21</v>
      </c>
      <c r="C69" s="2" t="s">
        <v>22</v>
      </c>
      <c r="D69" s="2">
        <v>0.96186799999999995</v>
      </c>
      <c r="E69" s="2">
        <v>0.932029</v>
      </c>
      <c r="F69" s="2">
        <v>0.97718700000000003</v>
      </c>
      <c r="G69" s="2">
        <v>0.972194</v>
      </c>
      <c r="H69" s="2">
        <f t="shared" si="0"/>
        <v>0.96081949999999994</v>
      </c>
    </row>
    <row r="70" spans="1:8" x14ac:dyDescent="0.55000000000000004">
      <c r="A70" s="2">
        <v>0.6</v>
      </c>
      <c r="C70" s="2" t="s">
        <v>23</v>
      </c>
      <c r="D70" s="2">
        <v>2.0799999999999999E-4</v>
      </c>
      <c r="E70" s="2">
        <v>4.7399999999999997E-4</v>
      </c>
      <c r="F70" s="2">
        <v>3.01E-4</v>
      </c>
      <c r="G70" s="2">
        <v>3.3300000000000002E-4</v>
      </c>
      <c r="H70" s="2">
        <f>(1/COUNT(D70:G70))*SQRT(SUMSQ(D70:G70))</f>
        <v>1.7128740467413242E-4</v>
      </c>
    </row>
    <row r="71" spans="1:8" x14ac:dyDescent="0.55000000000000004">
      <c r="C71" s="2" t="s">
        <v>24</v>
      </c>
      <c r="D71" s="2">
        <v>0.303203</v>
      </c>
      <c r="E71" s="2">
        <v>0.36007899999999998</v>
      </c>
      <c r="F71" s="2">
        <v>0.31872800000000001</v>
      </c>
      <c r="G71" s="2">
        <v>0.29810599999999998</v>
      </c>
      <c r="H71" s="2">
        <f>AVERAGE(D71:G71)</f>
        <v>0.32002900000000001</v>
      </c>
    </row>
    <row r="72" spans="1:8" x14ac:dyDescent="0.55000000000000004">
      <c r="C72" s="2" t="s">
        <v>25</v>
      </c>
      <c r="D72" s="2">
        <v>6.6600000000000003E-4</v>
      </c>
      <c r="E72" s="2">
        <v>1.23E-3</v>
      </c>
      <c r="F72" s="2">
        <v>7.0299999999999996E-4</v>
      </c>
      <c r="G72" s="2">
        <v>1.0039999999999999E-3</v>
      </c>
      <c r="H72" s="2">
        <f>(1/COUNT(D72:G72))*SQRT(SUMSQ(D72:G72))</f>
        <v>4.6493823514527172E-4</v>
      </c>
    </row>
    <row r="73" spans="1:8" x14ac:dyDescent="0.55000000000000004">
      <c r="C73" s="2" t="s">
        <v>26</v>
      </c>
      <c r="D73" s="2">
        <v>0.75897700000000001</v>
      </c>
      <c r="E73" s="2">
        <v>0.73660800000000004</v>
      </c>
      <c r="F73" s="2">
        <v>0.86345700000000003</v>
      </c>
      <c r="G73" s="2">
        <v>0.89233099999999999</v>
      </c>
      <c r="H73" s="2">
        <f>AVERAGE(D73:G73)</f>
        <v>0.81284325000000002</v>
      </c>
    </row>
    <row r="74" spans="1:8" x14ac:dyDescent="0.55000000000000004">
      <c r="C74" s="2" t="s">
        <v>27</v>
      </c>
      <c r="D74" s="2">
        <v>4.5600000000000003E-4</v>
      </c>
      <c r="E74" s="2">
        <v>9.0200000000000002E-4</v>
      </c>
      <c r="F74" s="2">
        <v>7.9799999999999999E-4</v>
      </c>
      <c r="G74" s="2">
        <v>5.1199999999999998E-4</v>
      </c>
      <c r="H74" s="2">
        <f>(1/COUNT(D74:G74))*SQRT(SUMSQ(D74:G74))</f>
        <v>3.464541816748645E-4</v>
      </c>
    </row>
    <row r="75" spans="1:8" x14ac:dyDescent="0.55000000000000004">
      <c r="C75" s="2" t="s">
        <v>28</v>
      </c>
      <c r="D75" s="2">
        <v>2.2593869999999998</v>
      </c>
      <c r="E75" s="2">
        <v>2.2791130000000002</v>
      </c>
      <c r="F75" s="2">
        <v>1.6038589999999999</v>
      </c>
      <c r="G75" s="2">
        <v>1.1533690000000001</v>
      </c>
      <c r="H75" s="2">
        <f>AVERAGE(D75:G75)</f>
        <v>1.8239320000000001</v>
      </c>
    </row>
    <row r="76" spans="1:8" x14ac:dyDescent="0.55000000000000004">
      <c r="C76" s="2" t="s">
        <v>29</v>
      </c>
      <c r="D76" s="2">
        <v>3.9179999999999996E-3</v>
      </c>
      <c r="E76" s="2">
        <v>9.2440000000000005E-3</v>
      </c>
      <c r="F76" s="2">
        <v>8.0319999999999992E-3</v>
      </c>
      <c r="G76" s="2">
        <v>4.7879999999999997E-3</v>
      </c>
      <c r="H76" s="2">
        <f>(1/COUNT(D76:G76))*SQRT(SUMSQ(D76:G76))</f>
        <v>3.4300166544785171E-3</v>
      </c>
    </row>
    <row r="77" spans="1:8" x14ac:dyDescent="0.55000000000000004">
      <c r="C77" s="2" t="s">
        <v>30</v>
      </c>
      <c r="D77" s="2">
        <v>10.166211000000001</v>
      </c>
      <c r="E77" s="2">
        <v>12.869907</v>
      </c>
      <c r="F77" s="2">
        <v>9.8945640000000008</v>
      </c>
      <c r="G77" s="2">
        <v>5.7668509999999999</v>
      </c>
      <c r="H77" s="2">
        <f>AVERAGE(D77:G77)</f>
        <v>9.6743832500000018</v>
      </c>
    </row>
    <row r="78" spans="1:8" x14ac:dyDescent="0.55000000000000004">
      <c r="C78" s="2" t="s">
        <v>31</v>
      </c>
      <c r="D78" s="2">
        <v>2.2450000000000001E-2</v>
      </c>
      <c r="E78" s="2">
        <v>1.8034000000000001E-2</v>
      </c>
      <c r="F78" s="2">
        <v>2.6478999999999999E-2</v>
      </c>
      <c r="G78" s="2">
        <v>1.2801999999999999E-2</v>
      </c>
      <c r="H78" s="2">
        <f>(1/COUNT(D78:G78))*SQRT(SUMSQ(D78:G78))</f>
        <v>1.0290336185591801E-2</v>
      </c>
    </row>
    <row r="79" spans="1:8" x14ac:dyDescent="0.55000000000000004">
      <c r="B79" s="2" t="s">
        <v>32</v>
      </c>
      <c r="C79" s="2" t="s">
        <v>22</v>
      </c>
      <c r="D79" s="2">
        <v>0.95630199999999999</v>
      </c>
      <c r="E79" s="2">
        <v>0.91841799999999996</v>
      </c>
      <c r="F79" s="2">
        <v>0.97760100000000005</v>
      </c>
      <c r="G79" s="2">
        <v>0.96975500000000003</v>
      </c>
      <c r="H79" s="2">
        <f>AVERAGE(D79:G79)</f>
        <v>0.95551900000000001</v>
      </c>
    </row>
    <row r="80" spans="1:8" x14ac:dyDescent="0.55000000000000004">
      <c r="C80" s="2" t="s">
        <v>23</v>
      </c>
      <c r="D80" s="2">
        <v>1.0269999999999999E-3</v>
      </c>
      <c r="E80" s="2">
        <v>4.1749999999999999E-3</v>
      </c>
      <c r="F80" s="2">
        <v>4.6700000000000002E-4</v>
      </c>
      <c r="G80" s="2">
        <v>5.0900000000000001E-4</v>
      </c>
      <c r="H80" s="2">
        <f>(1/COUNT(D80:G80))*SQRT(SUMSQ(D80:G80))</f>
        <v>1.0886495074173322E-3</v>
      </c>
    </row>
    <row r="81" spans="2:8" x14ac:dyDescent="0.55000000000000004">
      <c r="C81" s="2" t="s">
        <v>24</v>
      </c>
      <c r="D81" s="2">
        <v>0.32015500000000002</v>
      </c>
      <c r="E81" s="2">
        <v>0.394401</v>
      </c>
      <c r="F81" s="2">
        <v>0.31803199999999998</v>
      </c>
      <c r="G81" s="2">
        <v>0.30741000000000002</v>
      </c>
      <c r="H81" s="2">
        <f>AVERAGE(D81:G81)</f>
        <v>0.33499950000000001</v>
      </c>
    </row>
    <row r="82" spans="2:8" x14ac:dyDescent="0.55000000000000004">
      <c r="C82" s="2" t="s">
        <v>25</v>
      </c>
      <c r="D82" s="2">
        <v>2.967E-3</v>
      </c>
      <c r="E82" s="2">
        <v>9.9590000000000008E-3</v>
      </c>
      <c r="F82" s="2">
        <v>1.361E-3</v>
      </c>
      <c r="G82" s="2">
        <v>1.926E-3</v>
      </c>
      <c r="H82" s="2">
        <f>(1/COUNT(D82:G82))*SQRT(SUMSQ(D82:G82))</f>
        <v>2.6639557874521868E-3</v>
      </c>
    </row>
    <row r="83" spans="2:8" x14ac:dyDescent="0.55000000000000004">
      <c r="C83" s="2" t="s">
        <v>26</v>
      </c>
      <c r="D83" s="2">
        <v>0.74414199999999997</v>
      </c>
      <c r="E83" s="2">
        <v>0.71254200000000001</v>
      </c>
      <c r="F83" s="2">
        <v>0.86362499999999998</v>
      </c>
      <c r="G83" s="2">
        <v>0.88811300000000004</v>
      </c>
      <c r="H83" s="2">
        <f>AVERAGE(D83:G83)</f>
        <v>0.80210550000000003</v>
      </c>
    </row>
    <row r="84" spans="2:8" x14ac:dyDescent="0.55000000000000004">
      <c r="C84" s="2" t="s">
        <v>27</v>
      </c>
      <c r="D84" s="2">
        <v>2.1649999999999998E-3</v>
      </c>
      <c r="E84" s="2">
        <v>7.77E-3</v>
      </c>
      <c r="F84" s="2">
        <v>1.41E-3</v>
      </c>
      <c r="G84" s="2">
        <v>1.0059999999999999E-3</v>
      </c>
      <c r="H84" s="2">
        <f>(1/COUNT(D84:G84))*SQRT(SUMSQ(D84:G84))</f>
        <v>2.0624660754785763E-3</v>
      </c>
    </row>
    <row r="85" spans="2:8" x14ac:dyDescent="0.55000000000000004">
      <c r="C85" s="2" t="s">
        <v>28</v>
      </c>
      <c r="D85" s="2">
        <v>2.4088639999999999</v>
      </c>
      <c r="E85" s="2">
        <v>2.707389</v>
      </c>
      <c r="F85" s="2">
        <v>1.58958</v>
      </c>
      <c r="G85" s="2">
        <v>1.19421</v>
      </c>
      <c r="H85" s="2">
        <f>AVERAGE(D85:G85)</f>
        <v>1.97501075</v>
      </c>
    </row>
    <row r="86" spans="2:8" x14ac:dyDescent="0.55000000000000004">
      <c r="C86" s="2" t="s">
        <v>29</v>
      </c>
      <c r="D86" s="2">
        <v>2.1582E-2</v>
      </c>
      <c r="E86" s="2">
        <v>7.1693000000000007E-2</v>
      </c>
      <c r="F86" s="2">
        <v>1.4489E-2</v>
      </c>
      <c r="G86" s="2">
        <v>1.0052E-2</v>
      </c>
      <c r="H86" s="2">
        <f>(1/COUNT(D86:G86))*SQRT(SUMSQ(D86:G86))</f>
        <v>1.9229929143785216E-2</v>
      </c>
    </row>
    <row r="87" spans="2:8" x14ac:dyDescent="0.55000000000000004">
      <c r="C87" s="2" t="s">
        <v>30</v>
      </c>
      <c r="D87" s="2">
        <v>10.984064999999999</v>
      </c>
      <c r="E87" s="2">
        <v>14.184844</v>
      </c>
      <c r="F87" s="2">
        <v>9.8131869999999992</v>
      </c>
      <c r="G87" s="2">
        <v>5.8288739999999999</v>
      </c>
      <c r="H87" s="2">
        <f>AVERAGE(D87:G87)</f>
        <v>10.202742499999999</v>
      </c>
    </row>
    <row r="88" spans="2:8" x14ac:dyDescent="0.55000000000000004">
      <c r="C88" s="2" t="s">
        <v>31</v>
      </c>
      <c r="D88" s="2">
        <v>0.107334</v>
      </c>
      <c r="E88" s="2">
        <v>0.24234700000000001</v>
      </c>
      <c r="F88" s="2">
        <v>7.1353E-2</v>
      </c>
      <c r="G88" s="2">
        <v>2.7872000000000001E-2</v>
      </c>
      <c r="H88" s="2">
        <f>(1/COUNT(D88:G88))*SQRT(SUMSQ(D88:G88))</f>
        <v>6.8974975062518137E-2</v>
      </c>
    </row>
    <row r="89" spans="2:8" x14ac:dyDescent="0.55000000000000004">
      <c r="B89" s="2" t="s">
        <v>33</v>
      </c>
      <c r="C89" s="2" t="s">
        <v>22</v>
      </c>
      <c r="D89" s="2">
        <v>0.96216500000000005</v>
      </c>
      <c r="E89" s="2">
        <v>0.92730299999999999</v>
      </c>
      <c r="F89" s="2">
        <v>0.97746100000000002</v>
      </c>
      <c r="G89" s="2">
        <v>0.97203799999999996</v>
      </c>
      <c r="H89" s="2">
        <f>AVERAGE(D89:G89)</f>
        <v>0.95974174999999995</v>
      </c>
    </row>
    <row r="90" spans="2:8" x14ac:dyDescent="0.55000000000000004">
      <c r="C90" s="2" t="s">
        <v>23</v>
      </c>
      <c r="D90" s="2">
        <v>8.5000000000000006E-5</v>
      </c>
      <c r="E90" s="2">
        <v>5.4100000000000003E-4</v>
      </c>
      <c r="F90" s="2">
        <v>1.11E-4</v>
      </c>
      <c r="G90" s="2">
        <v>1.3799999999999999E-4</v>
      </c>
      <c r="H90" s="2">
        <f>(1/COUNT(D90:G90))*SQRT(SUMSQ(D90:G90))</f>
        <v>1.4389036625153196E-4</v>
      </c>
    </row>
    <row r="91" spans="2:8" x14ac:dyDescent="0.55000000000000004">
      <c r="C91" s="2" t="s">
        <v>24</v>
      </c>
      <c r="D91" s="2">
        <v>0.302261</v>
      </c>
      <c r="E91" s="2">
        <v>0.37198399999999998</v>
      </c>
      <c r="F91" s="2">
        <v>0.31800299999999998</v>
      </c>
      <c r="G91" s="2">
        <v>0.29801899999999998</v>
      </c>
      <c r="H91" s="2">
        <f>AVERAGE(D91:G91)</f>
        <v>0.32256675000000001</v>
      </c>
    </row>
    <row r="92" spans="2:8" x14ac:dyDescent="0.55000000000000004">
      <c r="C92" s="2" t="s">
        <v>25</v>
      </c>
      <c r="D92" s="2">
        <v>2.8400000000000002E-4</v>
      </c>
      <c r="E92" s="2">
        <v>1.2800000000000001E-3</v>
      </c>
      <c r="F92" s="2">
        <v>3.1799999999999998E-4</v>
      </c>
      <c r="G92" s="2">
        <v>4.6700000000000002E-4</v>
      </c>
      <c r="H92" s="2">
        <f>(1/COUNT(D92:G92))*SQRT(SUMSQ(D92:G92))</f>
        <v>3.5691989647538565E-4</v>
      </c>
    </row>
    <row r="93" spans="2:8" x14ac:dyDescent="0.55000000000000004">
      <c r="C93" s="2" t="s">
        <v>26</v>
      </c>
      <c r="D93" s="2">
        <v>0.75945300000000004</v>
      </c>
      <c r="E93" s="2">
        <v>0.72807999999999995</v>
      </c>
      <c r="F93" s="2">
        <v>0.86440899999999998</v>
      </c>
      <c r="G93" s="2">
        <v>0.89229700000000001</v>
      </c>
      <c r="H93" s="2">
        <f>AVERAGE(D93:G93)</f>
        <v>0.81105975000000008</v>
      </c>
    </row>
    <row r="94" spans="2:8" x14ac:dyDescent="0.55000000000000004">
      <c r="C94" s="2" t="s">
        <v>27</v>
      </c>
      <c r="D94" s="2">
        <v>2.2100000000000001E-4</v>
      </c>
      <c r="E94" s="2">
        <v>9.7599999999999998E-4</v>
      </c>
      <c r="F94" s="2">
        <v>2.6699999999999998E-4</v>
      </c>
      <c r="G94" s="2">
        <v>2.2499999999999999E-4</v>
      </c>
      <c r="H94" s="2">
        <f>(1/COUNT(D94:G94))*SQRT(SUMSQ(D94:G94))</f>
        <v>2.6496827640304414E-4</v>
      </c>
    </row>
    <row r="95" spans="2:8" x14ac:dyDescent="0.55000000000000004">
      <c r="C95" s="2" t="s">
        <v>28</v>
      </c>
      <c r="D95" s="2">
        <v>2.2510819999999998</v>
      </c>
      <c r="E95" s="2">
        <v>2.36991</v>
      </c>
      <c r="F95" s="2">
        <v>1.59389</v>
      </c>
      <c r="G95" s="2">
        <v>1.152569</v>
      </c>
      <c r="H95" s="2">
        <f>AVERAGE(D95:G95)</f>
        <v>1.8418627499999998</v>
      </c>
    </row>
    <row r="96" spans="2:8" x14ac:dyDescent="0.55000000000000004">
      <c r="C96" s="2" t="s">
        <v>29</v>
      </c>
      <c r="D96" s="2">
        <v>2.4559999999999998E-3</v>
      </c>
      <c r="E96" s="2">
        <v>1.0494E-2</v>
      </c>
      <c r="F96" s="2">
        <v>4.3049999999999998E-3</v>
      </c>
      <c r="G96" s="2">
        <v>2.8570000000000002E-3</v>
      </c>
      <c r="H96" s="2">
        <f>(1/COUNT(D96:G96))*SQRT(SUMSQ(D96:G96))</f>
        <v>2.9880119435838942E-3</v>
      </c>
    </row>
    <row r="97" spans="2:8" x14ac:dyDescent="0.55000000000000004">
      <c r="C97" s="2" t="s">
        <v>30</v>
      </c>
      <c r="D97" s="2">
        <v>10.081642</v>
      </c>
      <c r="E97" s="2">
        <v>12.871796</v>
      </c>
      <c r="F97" s="2">
        <v>9.8671199999999999</v>
      </c>
      <c r="G97" s="2">
        <v>5.7647259999999996</v>
      </c>
      <c r="H97" s="2">
        <f>AVERAGE(D97:G97)</f>
        <v>9.6463210000000004</v>
      </c>
    </row>
    <row r="98" spans="2:8" x14ac:dyDescent="0.55000000000000004">
      <c r="C98" s="2" t="s">
        <v>31</v>
      </c>
      <c r="D98" s="2">
        <v>1.5292E-2</v>
      </c>
      <c r="E98" s="2">
        <v>3.6866999999999997E-2</v>
      </c>
      <c r="F98" s="2">
        <v>2.6765000000000001E-2</v>
      </c>
      <c r="G98" s="2">
        <v>1.129E-2</v>
      </c>
      <c r="H98" s="2">
        <f>(1/COUNT(D98:G98))*SQRT(SUMSQ(D98:G98))</f>
        <v>1.2341115929080319E-2</v>
      </c>
    </row>
    <row r="99" spans="2:8" x14ac:dyDescent="0.55000000000000004">
      <c r="B99" s="2" t="s">
        <v>34</v>
      </c>
      <c r="C99" s="2" t="s">
        <v>22</v>
      </c>
      <c r="D99" s="2">
        <v>0.96123499999999995</v>
      </c>
      <c r="E99" s="2">
        <v>0.91928500000000002</v>
      </c>
      <c r="F99" s="2">
        <v>0.97611899999999996</v>
      </c>
      <c r="G99" s="2">
        <v>0.96926800000000002</v>
      </c>
      <c r="H99" s="2">
        <f>AVERAGE(D99:G99)</f>
        <v>0.95647674999999999</v>
      </c>
    </row>
    <row r="100" spans="2:8" x14ac:dyDescent="0.55000000000000004">
      <c r="C100" s="2" t="s">
        <v>23</v>
      </c>
      <c r="D100" s="2">
        <v>1.109E-3</v>
      </c>
      <c r="E100" s="2">
        <v>4.3179999999999998E-3</v>
      </c>
      <c r="F100" s="2">
        <v>1.2750000000000001E-3</v>
      </c>
      <c r="G100" s="2">
        <v>1.83E-3</v>
      </c>
      <c r="H100" s="2">
        <f>(1/COUNT(D100:G100))*SQRT(SUMSQ(D100:G100))</f>
        <v>1.2462325725963032E-3</v>
      </c>
    </row>
    <row r="101" spans="2:8" x14ac:dyDescent="0.55000000000000004">
      <c r="C101" s="2" t="s">
        <v>24</v>
      </c>
      <c r="D101" s="2">
        <v>0.30565199999999998</v>
      </c>
      <c r="E101" s="2">
        <v>0.39275500000000002</v>
      </c>
      <c r="F101" s="2">
        <v>0.32692399999999999</v>
      </c>
      <c r="G101" s="2">
        <v>0.31153500000000001</v>
      </c>
      <c r="H101" s="2">
        <f>AVERAGE(D101:G101)</f>
        <v>0.33421650000000003</v>
      </c>
    </row>
    <row r="102" spans="2:8" x14ac:dyDescent="0.55000000000000004">
      <c r="C102" s="2" t="s">
        <v>25</v>
      </c>
      <c r="D102" s="2">
        <v>3.228E-3</v>
      </c>
      <c r="E102" s="2">
        <v>1.0397999999999999E-2</v>
      </c>
      <c r="F102" s="2">
        <v>3.653E-3</v>
      </c>
      <c r="G102" s="2">
        <v>6.0159999999999996E-3</v>
      </c>
      <c r="H102" s="2">
        <f>(1/COUNT(D102:G102))*SQRT(SUMSQ(D102:G102))</f>
        <v>3.2410940764655382E-3</v>
      </c>
    </row>
    <row r="103" spans="2:8" x14ac:dyDescent="0.55000000000000004">
      <c r="C103" s="2" t="s">
        <v>26</v>
      </c>
      <c r="D103" s="2">
        <v>0.75493100000000002</v>
      </c>
      <c r="E103" s="2">
        <v>0.71410399999999996</v>
      </c>
      <c r="F103" s="2">
        <v>0.85771399999999998</v>
      </c>
      <c r="G103" s="2">
        <v>0.88641700000000001</v>
      </c>
      <c r="H103" s="2">
        <f>AVERAGE(D103:G103)</f>
        <v>0.80329150000000005</v>
      </c>
    </row>
    <row r="104" spans="2:8" x14ac:dyDescent="0.55000000000000004">
      <c r="C104" s="2" t="s">
        <v>27</v>
      </c>
      <c r="D104" s="2">
        <v>2.4269999999999999E-3</v>
      </c>
      <c r="E104" s="2">
        <v>7.9430000000000004E-3</v>
      </c>
      <c r="F104" s="2">
        <v>3.826E-3</v>
      </c>
      <c r="G104" s="2">
        <v>3.4060000000000002E-3</v>
      </c>
      <c r="H104" s="2">
        <f>(1/COUNT(D104:G104))*SQRT(SUMSQ(D104:G104))</f>
        <v>2.4395272339123417E-3</v>
      </c>
    </row>
    <row r="105" spans="2:8" x14ac:dyDescent="0.55000000000000004">
      <c r="C105" s="2" t="s">
        <v>28</v>
      </c>
      <c r="D105" s="2">
        <v>2.3078419999999999</v>
      </c>
      <c r="E105" s="2">
        <v>2.6784460000000001</v>
      </c>
      <c r="F105" s="2">
        <v>1.698121</v>
      </c>
      <c r="G105" s="2">
        <v>1.212858</v>
      </c>
      <c r="H105" s="2">
        <f>AVERAGE(D105:G105)</f>
        <v>1.9743167500000001</v>
      </c>
    </row>
    <row r="106" spans="2:8" x14ac:dyDescent="0.55000000000000004">
      <c r="C106" s="2" t="s">
        <v>29</v>
      </c>
      <c r="D106" s="2">
        <v>2.751E-2</v>
      </c>
      <c r="E106" s="2">
        <v>8.0351000000000006E-2</v>
      </c>
      <c r="F106" s="2">
        <v>4.3111999999999998E-2</v>
      </c>
      <c r="G106" s="2">
        <v>3.1309999999999998E-2</v>
      </c>
      <c r="H106" s="2">
        <f>(1/COUNT(D106:G106))*SQRT(SUMSQ(D106:G106))</f>
        <v>2.5064970507912034E-2</v>
      </c>
    </row>
    <row r="107" spans="2:8" x14ac:dyDescent="0.55000000000000004">
      <c r="C107" s="2" t="s">
        <v>30</v>
      </c>
      <c r="D107" s="2">
        <v>10.613878</v>
      </c>
      <c r="E107" s="2">
        <v>14.204862</v>
      </c>
      <c r="F107" s="2">
        <v>10.361257999999999</v>
      </c>
      <c r="G107" s="2">
        <v>5.8906179999999999</v>
      </c>
      <c r="H107" s="2">
        <f>AVERAGE(D107:G107)</f>
        <v>10.267654</v>
      </c>
    </row>
    <row r="108" spans="2:8" x14ac:dyDescent="0.55000000000000004">
      <c r="C108" s="2" t="s">
        <v>31</v>
      </c>
      <c r="D108" s="2">
        <v>0.168072</v>
      </c>
      <c r="E108" s="2">
        <v>0.32137500000000002</v>
      </c>
      <c r="F108" s="2">
        <v>0.172789</v>
      </c>
      <c r="G108" s="2">
        <v>6.3681000000000001E-2</v>
      </c>
      <c r="H108" s="2">
        <f>(1/COUNT(D108:G108))*SQRT(SUMSQ(D108:G108))</f>
        <v>0.10168621959581102</v>
      </c>
    </row>
    <row r="109" spans="2:8" x14ac:dyDescent="0.55000000000000004">
      <c r="B109" s="2" t="s">
        <v>35</v>
      </c>
      <c r="C109" s="2" t="s">
        <v>22</v>
      </c>
      <c r="D109" s="2">
        <v>0.94083899999999998</v>
      </c>
      <c r="E109" s="2">
        <v>0.85906700000000003</v>
      </c>
      <c r="F109" s="2">
        <v>0.97439399999999998</v>
      </c>
      <c r="G109" s="2">
        <v>0.96755400000000003</v>
      </c>
      <c r="H109" s="2">
        <f>AVERAGE(E109:G109)</f>
        <v>0.93367166666666668</v>
      </c>
    </row>
    <row r="110" spans="2:8" x14ac:dyDescent="0.55000000000000004">
      <c r="C110" s="2" t="s">
        <v>23</v>
      </c>
      <c r="D110" s="2">
        <v>1.109E-3</v>
      </c>
      <c r="E110" s="2">
        <v>3.3479999999999998E-3</v>
      </c>
      <c r="F110" s="2">
        <v>6.4400000000000004E-4</v>
      </c>
      <c r="G110" s="2">
        <v>5.7300000000000005E-4</v>
      </c>
      <c r="H110" s="2">
        <f>(1/COUNT(E110:G110))*SQRT(SUMSQ(E110:G110))</f>
        <v>1.1523969705695071E-3</v>
      </c>
    </row>
    <row r="111" spans="2:8" x14ac:dyDescent="0.55000000000000004">
      <c r="C111" s="2" t="s">
        <v>24</v>
      </c>
      <c r="D111" s="2">
        <v>0.359819</v>
      </c>
      <c r="E111" s="2">
        <v>0.51752299999999996</v>
      </c>
      <c r="F111" s="2">
        <v>0.33154</v>
      </c>
      <c r="G111" s="2">
        <v>0.32124200000000003</v>
      </c>
      <c r="H111" s="2">
        <f>AVERAGE(E111:G111)</f>
        <v>0.39010166666666662</v>
      </c>
    </row>
    <row r="112" spans="2:8" x14ac:dyDescent="0.55000000000000004">
      <c r="C112" s="2" t="s">
        <v>25</v>
      </c>
      <c r="D112" s="2">
        <v>2.5140000000000002E-3</v>
      </c>
      <c r="E112" s="2">
        <v>6.0489999999999997E-3</v>
      </c>
      <c r="F112" s="2">
        <v>1.872E-3</v>
      </c>
      <c r="G112" s="2">
        <v>1.9910000000000001E-3</v>
      </c>
      <c r="H112" s="2">
        <f>(1/COUNT(E112:G112))*SQRT(SUMSQ(E112:G112))</f>
        <v>2.2125617631052821E-3</v>
      </c>
    </row>
    <row r="113" spans="2:20" x14ac:dyDescent="0.55000000000000004">
      <c r="C113" s="2" t="s">
        <v>26</v>
      </c>
      <c r="D113" s="2">
        <v>0.71291199999999999</v>
      </c>
      <c r="E113" s="2">
        <v>0.61814400000000003</v>
      </c>
      <c r="F113" s="2">
        <v>0.85166399999999998</v>
      </c>
      <c r="G113" s="2">
        <v>0.88198200000000004</v>
      </c>
      <c r="H113" s="2">
        <f>AVERAGE(E113:G113)</f>
        <v>0.78393000000000013</v>
      </c>
    </row>
    <row r="114" spans="2:20" x14ac:dyDescent="0.55000000000000004">
      <c r="C114" s="2" t="s">
        <v>27</v>
      </c>
      <c r="D114" s="2">
        <v>2.0939999999999999E-3</v>
      </c>
      <c r="E114" s="2">
        <v>4.5189999999999996E-3</v>
      </c>
      <c r="F114" s="2">
        <v>1.7639999999999999E-3</v>
      </c>
      <c r="G114" s="2">
        <v>1.0839999999999999E-3</v>
      </c>
      <c r="H114" s="2">
        <f>(1/COUNT(E114:G114))*SQRT(SUMSQ(E114:G114))</f>
        <v>1.6569085336520205E-3</v>
      </c>
    </row>
    <row r="115" spans="2:20" x14ac:dyDescent="0.55000000000000004">
      <c r="C115" s="2" t="s">
        <v>28</v>
      </c>
      <c r="D115" s="2">
        <v>2.6802869999999999</v>
      </c>
      <c r="E115" s="2">
        <v>3.677578</v>
      </c>
      <c r="F115" s="2">
        <v>1.7609710000000001</v>
      </c>
      <c r="G115" s="2">
        <v>1.2618929999999999</v>
      </c>
      <c r="H115" s="2">
        <f>AVERAGE(E115:G115)</f>
        <v>2.2334806666666664</v>
      </c>
    </row>
    <row r="116" spans="2:20" x14ac:dyDescent="0.55000000000000004">
      <c r="C116" s="2" t="s">
        <v>29</v>
      </c>
      <c r="D116" s="2">
        <v>2.0820000000000002E-2</v>
      </c>
      <c r="E116" s="2">
        <v>5.1241000000000002E-2</v>
      </c>
      <c r="F116" s="2">
        <v>2.1871999999999999E-2</v>
      </c>
      <c r="G116" s="2">
        <v>1.0954E-2</v>
      </c>
      <c r="H116" s="2">
        <f>(1/COUNT(E116:G116))*SQRT(SUMSQ(E116:G116))</f>
        <v>1.8926802221541104E-2</v>
      </c>
    </row>
    <row r="117" spans="2:20" x14ac:dyDescent="0.55000000000000004">
      <c r="C117" s="2" t="s">
        <v>30</v>
      </c>
      <c r="D117" s="2">
        <v>12.45261</v>
      </c>
      <c r="E117" s="2">
        <v>18.925229000000002</v>
      </c>
      <c r="F117" s="2">
        <v>10.610571999999999</v>
      </c>
      <c r="G117" s="2">
        <v>6.0120110000000002</v>
      </c>
      <c r="H117" s="2">
        <f>AVERAGE(E117:G117)</f>
        <v>11.849270666666667</v>
      </c>
    </row>
    <row r="118" spans="2:20" x14ac:dyDescent="0.55000000000000004">
      <c r="C118" s="2" t="s">
        <v>31</v>
      </c>
      <c r="D118" s="2">
        <v>0.115755</v>
      </c>
      <c r="E118" s="2">
        <v>0.22451099999999999</v>
      </c>
      <c r="F118" s="2">
        <v>8.6571999999999996E-2</v>
      </c>
      <c r="G118" s="2">
        <v>2.9905000000000001E-2</v>
      </c>
      <c r="H118" s="2">
        <f>(1/COUNT(E118:G118))*SQRT(SUMSQ(E118:G118))</f>
        <v>8.0825057535120592E-2</v>
      </c>
    </row>
    <row r="119" spans="2:20" x14ac:dyDescent="0.55000000000000004">
      <c r="B119" s="2" t="s">
        <v>36</v>
      </c>
      <c r="C119" s="2" t="s">
        <v>22</v>
      </c>
      <c r="D119" s="2">
        <v>0.95937300000000003</v>
      </c>
      <c r="E119" s="2">
        <v>0.93615199999999998</v>
      </c>
      <c r="F119" s="2">
        <v>0.97630700000000004</v>
      </c>
      <c r="G119" s="2">
        <v>0.97412200000000004</v>
      </c>
      <c r="H119" s="2">
        <f t="shared" ref="H119:H134" si="1">AVERAGE(D119:G119)</f>
        <v>0.96148850000000008</v>
      </c>
    </row>
    <row r="120" spans="2:20" x14ac:dyDescent="0.55000000000000004">
      <c r="C120" s="2" t="s">
        <v>24</v>
      </c>
      <c r="D120" s="2">
        <v>0.30717299999999997</v>
      </c>
      <c r="E120" s="2">
        <v>0.356628</v>
      </c>
      <c r="F120" s="2">
        <v>0.32410299999999997</v>
      </c>
      <c r="G120" s="2">
        <v>0.29336899999999999</v>
      </c>
      <c r="H120" s="2">
        <f t="shared" si="1"/>
        <v>0.32031824999999997</v>
      </c>
    </row>
    <row r="121" spans="2:20" x14ac:dyDescent="0.55000000000000004">
      <c r="C121" s="2" t="s">
        <v>26</v>
      </c>
      <c r="D121" s="2">
        <v>0.74562899999999999</v>
      </c>
      <c r="E121" s="2">
        <v>0.73460300000000001</v>
      </c>
      <c r="F121" s="2">
        <v>0.85838099999999995</v>
      </c>
      <c r="G121" s="2">
        <v>0.894957</v>
      </c>
      <c r="H121" s="2">
        <f t="shared" si="1"/>
        <v>0.80839250000000007</v>
      </c>
    </row>
    <row r="122" spans="2:20" x14ac:dyDescent="0.55000000000000004">
      <c r="C122" s="2" t="s">
        <v>28</v>
      </c>
      <c r="D122" s="2">
        <v>2.3836650000000001</v>
      </c>
      <c r="E122" s="2">
        <v>2.377421</v>
      </c>
      <c r="F122" s="2">
        <v>1.769528</v>
      </c>
      <c r="G122" s="2">
        <v>1.1089880000000001</v>
      </c>
      <c r="H122" s="2">
        <f t="shared" si="1"/>
        <v>1.9099005000000002</v>
      </c>
    </row>
    <row r="123" spans="2:20" x14ac:dyDescent="0.55000000000000004">
      <c r="C123" s="2" t="s">
        <v>30</v>
      </c>
      <c r="D123" s="2">
        <v>11.546688</v>
      </c>
      <c r="E123" s="2">
        <v>13.031929</v>
      </c>
      <c r="F123" s="2">
        <v>11.251448999999999</v>
      </c>
      <c r="G123" s="2">
        <v>5.5292870000000001</v>
      </c>
      <c r="H123" s="2">
        <f t="shared" si="1"/>
        <v>10.33983825</v>
      </c>
    </row>
    <row r="124" spans="2:20" x14ac:dyDescent="0.55000000000000004">
      <c r="B124" s="2" t="s">
        <v>37</v>
      </c>
      <c r="C124" s="2" t="s">
        <v>22</v>
      </c>
      <c r="D124" s="2">
        <v>0.93959499999999996</v>
      </c>
      <c r="E124" s="2">
        <v>0.87192599999999998</v>
      </c>
      <c r="F124" s="2">
        <v>0.92983499999999997</v>
      </c>
      <c r="G124" s="2">
        <v>0.910134</v>
      </c>
      <c r="H124" s="2">
        <f t="shared" si="1"/>
        <v>0.91287249999999998</v>
      </c>
    </row>
    <row r="125" spans="2:20" x14ac:dyDescent="0.55000000000000004">
      <c r="C125" s="2" t="s">
        <v>24</v>
      </c>
      <c r="D125" s="2">
        <v>0.371112</v>
      </c>
      <c r="E125" s="2">
        <v>0.48973100000000003</v>
      </c>
      <c r="F125" s="2">
        <v>0.44880999999999999</v>
      </c>
      <c r="G125" s="2">
        <v>0.47786499999999998</v>
      </c>
      <c r="H125" s="2">
        <f t="shared" si="1"/>
        <v>0.44687949999999999</v>
      </c>
    </row>
    <row r="126" spans="2:20" x14ac:dyDescent="0.55000000000000004">
      <c r="C126" s="2" t="s">
        <v>26</v>
      </c>
      <c r="D126" s="2">
        <v>0.69680600000000004</v>
      </c>
      <c r="E126" s="2">
        <v>0.63661900000000005</v>
      </c>
      <c r="F126" s="2">
        <v>0.74881299999999995</v>
      </c>
      <c r="G126" s="2">
        <v>0.79260699999999995</v>
      </c>
      <c r="H126" s="2">
        <f t="shared" si="1"/>
        <v>0.71871125000000002</v>
      </c>
    </row>
    <row r="127" spans="2:20" x14ac:dyDescent="0.55000000000000004">
      <c r="C127" s="2" t="s">
        <v>28</v>
      </c>
      <c r="D127" s="2">
        <v>3.4906679999999999</v>
      </c>
      <c r="E127" s="2">
        <v>3.660666</v>
      </c>
      <c r="F127" s="2">
        <v>3.1019519999999998</v>
      </c>
      <c r="G127" s="2">
        <v>2.1133980000000001</v>
      </c>
      <c r="H127" s="2">
        <f t="shared" si="1"/>
        <v>3.0916709999999998</v>
      </c>
    </row>
    <row r="128" spans="2:20" x14ac:dyDescent="0.55000000000000004">
      <c r="C128" s="2" t="s">
        <v>30</v>
      </c>
      <c r="D128" s="2">
        <v>16.680693000000002</v>
      </c>
      <c r="E128" s="2">
        <v>20.52553</v>
      </c>
      <c r="F128" s="2">
        <v>16.468169</v>
      </c>
      <c r="G128" s="2">
        <v>9.3403349999999996</v>
      </c>
      <c r="H128" s="2">
        <f t="shared" si="1"/>
        <v>15.753681749999998</v>
      </c>
      <c r="P128" s="2" t="s">
        <v>38</v>
      </c>
      <c r="Q128" s="2" cm="1">
        <f t="array" ref="Q128:T128">D125:G125/D128:G128</f>
        <v>2.2247996531079371E-2</v>
      </c>
      <c r="R128" s="2">
        <v>2.3859603138140648E-2</v>
      </c>
      <c r="S128" s="2">
        <v>2.7253181577138297E-2</v>
      </c>
      <c r="T128" s="2">
        <v>5.1161441211691014E-2</v>
      </c>
    </row>
    <row r="129" spans="1:8" x14ac:dyDescent="0.55000000000000004">
      <c r="B129" s="2" t="s">
        <v>39</v>
      </c>
      <c r="C129" s="2" t="s">
        <v>22</v>
      </c>
      <c r="D129" s="2">
        <v>0.96192599999999995</v>
      </c>
      <c r="E129" s="2">
        <v>0.93803099999999995</v>
      </c>
      <c r="F129" s="2">
        <v>0.980549</v>
      </c>
      <c r="G129" s="2">
        <v>0.97471300000000005</v>
      </c>
      <c r="H129" s="2">
        <f t="shared" si="1"/>
        <v>0.96380474999999999</v>
      </c>
    </row>
    <row r="130" spans="1:8" x14ac:dyDescent="0.55000000000000004">
      <c r="C130" s="2" t="s">
        <v>24</v>
      </c>
      <c r="D130" s="2">
        <v>0.304004</v>
      </c>
      <c r="E130" s="2">
        <v>0.34951100000000002</v>
      </c>
      <c r="F130" s="2">
        <v>0.32897999999999999</v>
      </c>
      <c r="G130" s="2">
        <v>0.310168</v>
      </c>
      <c r="H130" s="2">
        <f t="shared" si="1"/>
        <v>0.32316575000000003</v>
      </c>
    </row>
    <row r="131" spans="1:8" x14ac:dyDescent="0.55000000000000004">
      <c r="C131" s="2" t="s">
        <v>26</v>
      </c>
      <c r="D131" s="2">
        <v>0.75685199999999997</v>
      </c>
      <c r="E131" s="2">
        <v>0.74341400000000002</v>
      </c>
      <c r="F131" s="2">
        <v>0.86963900000000005</v>
      </c>
      <c r="G131" s="2">
        <v>0.89297800000000005</v>
      </c>
      <c r="H131" s="2">
        <f t="shared" si="1"/>
        <v>0.81572075000000011</v>
      </c>
    </row>
    <row r="132" spans="1:8" x14ac:dyDescent="0.55000000000000004">
      <c r="C132" s="2" t="s">
        <v>28</v>
      </c>
      <c r="D132" s="2">
        <v>2.3663280000000002</v>
      </c>
      <c r="E132" s="2">
        <v>2.1666340000000002</v>
      </c>
      <c r="F132" s="2">
        <v>1.798227</v>
      </c>
      <c r="G132" s="2">
        <v>1.2359530000000001</v>
      </c>
      <c r="H132" s="2">
        <f t="shared" si="1"/>
        <v>1.8917855000000001</v>
      </c>
    </row>
    <row r="133" spans="1:8" x14ac:dyDescent="0.55000000000000004">
      <c r="C133" s="2" t="s">
        <v>30</v>
      </c>
      <c r="D133" s="2">
        <v>11.550044</v>
      </c>
      <c r="E133" s="2">
        <v>12.146493</v>
      </c>
      <c r="F133" s="2">
        <v>11.551295</v>
      </c>
      <c r="G133" s="2">
        <v>6.4539439999999999</v>
      </c>
      <c r="H133" s="2">
        <f t="shared" si="1"/>
        <v>10.425444000000001</v>
      </c>
    </row>
    <row r="134" spans="1:8" x14ac:dyDescent="0.55000000000000004">
      <c r="A134" s="2" t="s">
        <v>20</v>
      </c>
      <c r="B134" s="2" t="s">
        <v>21</v>
      </c>
      <c r="C134" s="2" t="s">
        <v>22</v>
      </c>
      <c r="D134" s="2">
        <v>0.95986000000000005</v>
      </c>
      <c r="E134" s="2">
        <v>0.91974900000000004</v>
      </c>
      <c r="F134" s="2">
        <v>0.97847899999999999</v>
      </c>
      <c r="G134" s="2">
        <v>0.97281799999999996</v>
      </c>
      <c r="H134" s="2">
        <f t="shared" si="1"/>
        <v>0.95772649999999993</v>
      </c>
    </row>
    <row r="135" spans="1:8" x14ac:dyDescent="0.55000000000000004">
      <c r="A135" s="2">
        <v>0.9</v>
      </c>
      <c r="C135" s="2" t="s">
        <v>23</v>
      </c>
      <c r="D135" s="2">
        <v>2.2499999999999999E-4</v>
      </c>
      <c r="E135" s="2">
        <v>1.6559999999999999E-3</v>
      </c>
      <c r="F135" s="2">
        <v>3.01E-4</v>
      </c>
      <c r="G135" s="2">
        <v>3.3399999999999999E-4</v>
      </c>
      <c r="H135" s="2">
        <f>(1/COUNT(D135:G135))*SQRT(SUMSQ(D135:G135))</f>
        <v>4.326602304349222E-4</v>
      </c>
    </row>
    <row r="136" spans="1:8" x14ac:dyDescent="0.55000000000000004">
      <c r="C136" s="2" t="s">
        <v>24</v>
      </c>
      <c r="D136" s="2">
        <v>0.31035499999999999</v>
      </c>
      <c r="E136" s="2">
        <v>0.39229199999999997</v>
      </c>
      <c r="F136" s="2">
        <v>0.31564999999999999</v>
      </c>
      <c r="G136" s="2">
        <v>0.29624299999999998</v>
      </c>
      <c r="H136" s="2">
        <f>AVERAGE(D136:G136)</f>
        <v>0.32863500000000001</v>
      </c>
    </row>
    <row r="137" spans="1:8" x14ac:dyDescent="0.55000000000000004">
      <c r="C137" s="2" t="s">
        <v>25</v>
      </c>
      <c r="D137" s="2">
        <v>6.6299999999999996E-4</v>
      </c>
      <c r="E137" s="2">
        <v>4.3819999999999996E-3</v>
      </c>
      <c r="F137" s="2">
        <v>9.6400000000000001E-4</v>
      </c>
      <c r="G137" s="2">
        <v>1.2359999999999999E-3</v>
      </c>
      <c r="H137" s="2">
        <f>(1/COUNT(D137:G137))*SQRT(SUMSQ(D137:G137))</f>
        <v>1.1752256432277165E-3</v>
      </c>
    </row>
    <row r="138" spans="1:8" x14ac:dyDescent="0.55000000000000004">
      <c r="C138" s="2" t="s">
        <v>26</v>
      </c>
      <c r="D138" s="2">
        <v>0.75334599999999996</v>
      </c>
      <c r="E138" s="2">
        <v>0.712534</v>
      </c>
      <c r="F138" s="2">
        <v>0.86633800000000005</v>
      </c>
      <c r="G138" s="2">
        <v>0.89324800000000004</v>
      </c>
      <c r="H138" s="2">
        <f>AVERAGE(D138:G138)</f>
        <v>0.80636649999999999</v>
      </c>
    </row>
    <row r="139" spans="1:8" x14ac:dyDescent="0.55000000000000004">
      <c r="C139" s="2" t="s">
        <v>27</v>
      </c>
      <c r="D139" s="2">
        <v>5.1599999999999997E-4</v>
      </c>
      <c r="E139" s="2">
        <v>3.189E-3</v>
      </c>
      <c r="F139" s="2">
        <v>7.8299999999999995E-4</v>
      </c>
      <c r="G139" s="2">
        <v>5.8100000000000003E-4</v>
      </c>
      <c r="H139" s="2">
        <f>(1/COUNT(D139:G139))*SQRT(SUMSQ(D139:G139))</f>
        <v>8.4360191293050065E-4</v>
      </c>
    </row>
    <row r="140" spans="1:8" x14ac:dyDescent="0.55000000000000004">
      <c r="C140" s="2" t="s">
        <v>28</v>
      </c>
      <c r="D140" s="2">
        <v>2.2790270000000001</v>
      </c>
      <c r="E140" s="2">
        <v>2.5444680000000002</v>
      </c>
      <c r="F140" s="2">
        <v>1.5646580000000001</v>
      </c>
      <c r="G140" s="2">
        <v>1.143259</v>
      </c>
      <c r="H140" s="2">
        <f>AVERAGE(D140:G140)</f>
        <v>1.8828530000000003</v>
      </c>
    </row>
    <row r="141" spans="1:8" x14ac:dyDescent="0.55000000000000004">
      <c r="C141" s="2" t="s">
        <v>29</v>
      </c>
      <c r="D141" s="2">
        <v>4.4019999999999997E-3</v>
      </c>
      <c r="E141" s="2">
        <v>2.6103000000000001E-2</v>
      </c>
      <c r="F141" s="2">
        <v>1.1927E-2</v>
      </c>
      <c r="G141" s="2">
        <v>7.5550000000000001E-3</v>
      </c>
      <c r="H141" s="2">
        <f>(1/COUNT(D141:G141))*SQRT(SUMSQ(D141:G141))</f>
        <v>7.5003148558910517E-3</v>
      </c>
    </row>
    <row r="142" spans="1:8" x14ac:dyDescent="0.55000000000000004">
      <c r="C142" s="2" t="s">
        <v>30</v>
      </c>
      <c r="D142" s="2">
        <v>10.356546</v>
      </c>
      <c r="E142" s="2">
        <v>12.964521</v>
      </c>
      <c r="F142" s="2">
        <v>9.7463189999999997</v>
      </c>
      <c r="G142" s="2">
        <v>5.7585829999999998</v>
      </c>
      <c r="H142" s="2">
        <f>AVERAGE(D142:G142)</f>
        <v>9.7064922500000002</v>
      </c>
    </row>
    <row r="143" spans="1:8" x14ac:dyDescent="0.55000000000000004">
      <c r="C143" s="2" t="s">
        <v>31</v>
      </c>
      <c r="D143" s="2">
        <v>2.5010999999999999E-2</v>
      </c>
      <c r="E143" s="2">
        <v>9.6889000000000003E-2</v>
      </c>
      <c r="F143" s="2">
        <v>8.1379000000000007E-2</v>
      </c>
      <c r="G143" s="2">
        <v>2.2065999999999999E-2</v>
      </c>
      <c r="H143" s="2">
        <f>(1/COUNT(D143:G143))*SQRT(SUMSQ(D143:G143))</f>
        <v>3.2713222134750045E-2</v>
      </c>
    </row>
    <row r="144" spans="1:8" x14ac:dyDescent="0.55000000000000004">
      <c r="B144" s="2" t="s">
        <v>32</v>
      </c>
      <c r="C144" s="2" t="s">
        <v>22</v>
      </c>
      <c r="D144" s="2">
        <v>0.95530899999999996</v>
      </c>
      <c r="E144" s="2">
        <v>0.916045</v>
      </c>
      <c r="F144" s="2">
        <v>0.977522</v>
      </c>
      <c r="G144" s="2">
        <v>0.97049799999999997</v>
      </c>
      <c r="H144" s="2">
        <f>AVERAGE(D144:G144)</f>
        <v>0.95484349999999996</v>
      </c>
    </row>
    <row r="145" spans="2:8" x14ac:dyDescent="0.55000000000000004">
      <c r="C145" s="2" t="s">
        <v>23</v>
      </c>
      <c r="D145" s="2">
        <v>9.8900000000000008E-4</v>
      </c>
      <c r="E145" s="2">
        <v>4.0330000000000001E-3</v>
      </c>
      <c r="F145" s="2">
        <v>3.9800000000000002E-4</v>
      </c>
      <c r="G145" s="2">
        <v>6.3500000000000004E-4</v>
      </c>
      <c r="H145" s="2">
        <f>(1/COUNT(D145:G145))*SQRT(SUMSQ(D145:G145))</f>
        <v>1.054894514868667E-3</v>
      </c>
    </row>
    <row r="146" spans="2:8" x14ac:dyDescent="0.55000000000000004">
      <c r="C146" s="2" t="s">
        <v>24</v>
      </c>
      <c r="D146" s="2">
        <v>0.32445200000000002</v>
      </c>
      <c r="E146" s="2">
        <v>0.40015699999999998</v>
      </c>
      <c r="F146" s="2">
        <v>0.31890499999999999</v>
      </c>
      <c r="G146" s="2">
        <v>0.30525000000000002</v>
      </c>
      <c r="H146" s="2">
        <f>AVERAGE(D146:G146)</f>
        <v>0.33719100000000002</v>
      </c>
    </row>
    <row r="147" spans="2:8" x14ac:dyDescent="0.55000000000000004">
      <c r="C147" s="2" t="s">
        <v>25</v>
      </c>
      <c r="D147" s="2">
        <v>2.872E-3</v>
      </c>
      <c r="E147" s="2">
        <v>9.4160000000000008E-3</v>
      </c>
      <c r="F147" s="2">
        <v>1.1100000000000001E-3</v>
      </c>
      <c r="G147" s="2">
        <v>2.1419999999999998E-3</v>
      </c>
      <c r="H147" s="2">
        <f>(1/COUNT(D147:G147))*SQRT(SUMSQ(D147:G147))</f>
        <v>2.5338915722658696E-3</v>
      </c>
    </row>
    <row r="148" spans="2:8" x14ac:dyDescent="0.55000000000000004">
      <c r="C148" s="2" t="s">
        <v>26</v>
      </c>
      <c r="D148" s="2">
        <v>0.74117900000000003</v>
      </c>
      <c r="E148" s="2">
        <v>0.70871799999999996</v>
      </c>
      <c r="F148" s="2">
        <v>0.86369799999999997</v>
      </c>
      <c r="G148" s="2">
        <v>0.889405</v>
      </c>
      <c r="H148" s="2">
        <f>AVERAGE(D148:G148)</f>
        <v>0.80074999999999996</v>
      </c>
    </row>
    <row r="149" spans="2:8" x14ac:dyDescent="0.55000000000000004">
      <c r="C149" s="2" t="s">
        <v>27</v>
      </c>
      <c r="D149" s="2">
        <v>2.2669999999999999E-3</v>
      </c>
      <c r="E149" s="2">
        <v>7.0679999999999996E-3</v>
      </c>
      <c r="F149" s="2">
        <v>1.1559999999999999E-3</v>
      </c>
      <c r="G149" s="2">
        <v>1.194E-3</v>
      </c>
      <c r="H149" s="2">
        <f>(1/COUNT(D149:G149))*SQRT(SUMSQ(D149:G149))</f>
        <v>1.9016092691454783E-3</v>
      </c>
    </row>
    <row r="150" spans="2:8" x14ac:dyDescent="0.55000000000000004">
      <c r="C150" s="2" t="s">
        <v>28</v>
      </c>
      <c r="D150" s="2">
        <v>2.4344830000000002</v>
      </c>
      <c r="E150" s="2">
        <v>2.7480799999999999</v>
      </c>
      <c r="F150" s="2">
        <v>1.592638</v>
      </c>
      <c r="G150" s="2">
        <v>1.1816660000000001</v>
      </c>
      <c r="H150" s="2">
        <f>AVERAGE(D150:G150)</f>
        <v>1.98921675</v>
      </c>
    </row>
    <row r="151" spans="2:8" x14ac:dyDescent="0.55000000000000004">
      <c r="C151" s="2" t="s">
        <v>29</v>
      </c>
      <c r="D151" s="2">
        <v>2.5739000000000001E-2</v>
      </c>
      <c r="E151" s="2">
        <v>6.8362000000000006E-2</v>
      </c>
      <c r="F151" s="2">
        <v>1.4841E-2</v>
      </c>
      <c r="G151" s="2">
        <v>1.2189999999999999E-2</v>
      </c>
      <c r="H151" s="2">
        <f>(1/COUNT(D151:G151))*SQRT(SUMSQ(D151:G151))</f>
        <v>1.888238356577368E-2</v>
      </c>
    </row>
    <row r="152" spans="2:8" x14ac:dyDescent="0.55000000000000004">
      <c r="C152" s="2" t="s">
        <v>30</v>
      </c>
      <c r="D152" s="2">
        <v>11.023917000000001</v>
      </c>
      <c r="E152" s="2">
        <v>14.461862</v>
      </c>
      <c r="F152" s="2">
        <v>9.8950490000000002</v>
      </c>
      <c r="G152" s="2">
        <v>5.8148299999999997</v>
      </c>
      <c r="H152" s="2">
        <f>AVERAGE(D152:G152)</f>
        <v>10.2989145</v>
      </c>
    </row>
    <row r="153" spans="2:8" x14ac:dyDescent="0.55000000000000004">
      <c r="C153" s="2" t="s">
        <v>31</v>
      </c>
      <c r="D153" s="2">
        <v>0.13218199999999999</v>
      </c>
      <c r="E153" s="2">
        <v>0.21462500000000001</v>
      </c>
      <c r="F153" s="2">
        <v>8.6154999999999995E-2</v>
      </c>
      <c r="G153" s="2">
        <v>3.1824999999999999E-2</v>
      </c>
      <c r="H153" s="2">
        <f>(1/COUNT(D153:G153))*SQRT(SUMSQ(D153:G153))</f>
        <v>6.7068755020035217E-2</v>
      </c>
    </row>
    <row r="154" spans="2:8" x14ac:dyDescent="0.55000000000000004">
      <c r="B154" s="2" t="s">
        <v>33</v>
      </c>
      <c r="C154" s="2" t="s">
        <v>22</v>
      </c>
      <c r="D154" s="2">
        <v>0.95995299999999995</v>
      </c>
      <c r="E154" s="2">
        <v>0.92159199999999997</v>
      </c>
      <c r="F154" s="2">
        <v>0.97847399999999995</v>
      </c>
      <c r="G154" s="2">
        <v>0.97253199999999995</v>
      </c>
      <c r="H154" s="2">
        <f>AVERAGE(D154:G154)</f>
        <v>0.9581377499999999</v>
      </c>
    </row>
    <row r="155" spans="2:8" x14ac:dyDescent="0.55000000000000004">
      <c r="C155" s="2" t="s">
        <v>23</v>
      </c>
      <c r="D155" s="2">
        <v>7.3999999999999996E-5</v>
      </c>
      <c r="E155" s="2">
        <v>4.7199999999999998E-4</v>
      </c>
      <c r="F155" s="2">
        <v>1.08E-4</v>
      </c>
      <c r="G155" s="2">
        <v>1.3100000000000001E-4</v>
      </c>
      <c r="H155" s="2">
        <f>(1/COUNT(D155:G155))*SQRT(SUMSQ(D155:G155))</f>
        <v>1.2675887542890242E-4</v>
      </c>
    </row>
    <row r="156" spans="2:8" x14ac:dyDescent="0.55000000000000004">
      <c r="C156" s="2" t="s">
        <v>24</v>
      </c>
      <c r="D156" s="2">
        <v>0.31038300000000002</v>
      </c>
      <c r="E156" s="2">
        <v>0.386934</v>
      </c>
      <c r="F156" s="2">
        <v>0.315944</v>
      </c>
      <c r="G156" s="2">
        <v>0.29726799999999998</v>
      </c>
      <c r="H156" s="2">
        <f>AVERAGE(D156:G156)</f>
        <v>0.32763224999999996</v>
      </c>
    </row>
    <row r="157" spans="2:8" x14ac:dyDescent="0.55000000000000004">
      <c r="C157" s="2" t="s">
        <v>25</v>
      </c>
      <c r="D157" s="2">
        <v>2.4899999999999998E-4</v>
      </c>
      <c r="E157" s="2">
        <v>1.1620000000000001E-3</v>
      </c>
      <c r="F157" s="2">
        <v>3.7199999999999999E-4</v>
      </c>
      <c r="G157" s="2">
        <v>4.2400000000000001E-4</v>
      </c>
      <c r="H157" s="2">
        <f>(1/COUNT(D157:G157))*SQRT(SUMSQ(D157:G157))</f>
        <v>3.2886214817154011E-4</v>
      </c>
    </row>
    <row r="158" spans="2:8" x14ac:dyDescent="0.55000000000000004">
      <c r="C158" s="2" t="s">
        <v>26</v>
      </c>
      <c r="D158" s="2">
        <v>0.75359600000000004</v>
      </c>
      <c r="E158" s="2">
        <v>0.71647899999999998</v>
      </c>
      <c r="F158" s="2">
        <v>0.86665499999999995</v>
      </c>
      <c r="G158" s="2">
        <v>0.893347</v>
      </c>
      <c r="H158" s="2">
        <f>AVERAGE(D158:G158)</f>
        <v>0.80751925000000002</v>
      </c>
    </row>
    <row r="159" spans="2:8" x14ac:dyDescent="0.55000000000000004">
      <c r="C159" s="2" t="s">
        <v>27</v>
      </c>
      <c r="D159" s="2">
        <v>2.1599999999999999E-4</v>
      </c>
      <c r="E159" s="2">
        <v>9.4499999999999998E-4</v>
      </c>
      <c r="F159" s="2">
        <v>2.8899999999999998E-4</v>
      </c>
      <c r="G159" s="2">
        <v>2.1900000000000001E-4</v>
      </c>
      <c r="H159" s="2">
        <f>(1/COUNT(D159:G159))*SQRT(SUMSQ(D159:G159))</f>
        <v>2.5874251196894571E-4</v>
      </c>
    </row>
    <row r="160" spans="2:8" x14ac:dyDescent="0.55000000000000004">
      <c r="C160" s="2" t="s">
        <v>28</v>
      </c>
      <c r="D160" s="2">
        <v>2.2828170000000001</v>
      </c>
      <c r="E160" s="2">
        <v>2.5017369999999999</v>
      </c>
      <c r="F160" s="2">
        <v>1.5717460000000001</v>
      </c>
      <c r="G160" s="2">
        <v>1.143311</v>
      </c>
      <c r="H160" s="2">
        <f>AVERAGE(D160:G160)</f>
        <v>1.87490275</v>
      </c>
    </row>
    <row r="161" spans="2:8" x14ac:dyDescent="0.55000000000000004">
      <c r="C161" s="2" t="s">
        <v>29</v>
      </c>
      <c r="D161" s="2">
        <v>2.6419999999999998E-3</v>
      </c>
      <c r="E161" s="2">
        <v>1.0954999999999999E-2</v>
      </c>
      <c r="F161" s="2">
        <v>5.3359999999999996E-3</v>
      </c>
      <c r="G161" s="2">
        <v>2.6809999999999998E-3</v>
      </c>
      <c r="H161" s="2">
        <f>(1/COUNT(D161:G161))*SQRT(SUMSQ(D161:G161))</f>
        <v>3.1883856220664398E-3</v>
      </c>
    </row>
    <row r="162" spans="2:8" x14ac:dyDescent="0.55000000000000004">
      <c r="C162" s="2" t="s">
        <v>30</v>
      </c>
      <c r="D162" s="2">
        <v>10.323964</v>
      </c>
      <c r="E162" s="2">
        <v>12.96754</v>
      </c>
      <c r="F162" s="2">
        <v>9.8277540000000005</v>
      </c>
      <c r="G162" s="2">
        <v>5.7083849999999998</v>
      </c>
      <c r="H162" s="2">
        <f>AVERAGE(D162:G162)</f>
        <v>9.7069107500000005</v>
      </c>
    </row>
    <row r="163" spans="2:8" x14ac:dyDescent="0.55000000000000004">
      <c r="C163" s="2" t="s">
        <v>31</v>
      </c>
      <c r="D163" s="2">
        <v>1.2303E-2</v>
      </c>
      <c r="E163" s="2">
        <v>3.5139999999999998E-2</v>
      </c>
      <c r="F163" s="2">
        <v>3.4684E-2</v>
      </c>
      <c r="G163" s="2">
        <v>9.2250000000000006E-3</v>
      </c>
      <c r="H163" s="2">
        <f>(1/COUNT(D163:G163))*SQRT(SUMSQ(D163:G163))</f>
        <v>1.2928321357585445E-2</v>
      </c>
    </row>
    <row r="164" spans="2:8" x14ac:dyDescent="0.55000000000000004">
      <c r="B164" s="2" t="s">
        <v>34</v>
      </c>
      <c r="C164" s="2" t="s">
        <v>22</v>
      </c>
      <c r="D164" s="2">
        <v>0.95926199999999995</v>
      </c>
      <c r="E164" s="2">
        <v>0.92294699999999996</v>
      </c>
      <c r="F164" s="2">
        <v>0.97577100000000005</v>
      </c>
      <c r="G164" s="2">
        <v>0.97062199999999998</v>
      </c>
      <c r="H164" s="2">
        <f>AVERAGE(D164:G164)</f>
        <v>0.95715050000000002</v>
      </c>
    </row>
    <row r="165" spans="2:8" x14ac:dyDescent="0.55000000000000004">
      <c r="C165" s="2" t="s">
        <v>23</v>
      </c>
      <c r="D165" s="2">
        <v>2.0349999999999999E-3</v>
      </c>
      <c r="E165" s="2">
        <v>3.8089999999999999E-3</v>
      </c>
      <c r="F165" s="2">
        <v>2.5179999999999998E-3</v>
      </c>
      <c r="G165" s="2">
        <v>1.142E-3</v>
      </c>
      <c r="H165" s="2">
        <f>(1/COUNT(D165:G165))*SQRT(SUMSQ(D165:G165))</f>
        <v>1.2819466155031573E-3</v>
      </c>
    </row>
    <row r="166" spans="2:8" x14ac:dyDescent="0.55000000000000004">
      <c r="C166" s="2" t="s">
        <v>24</v>
      </c>
      <c r="D166" s="2">
        <v>0.31126900000000002</v>
      </c>
      <c r="E166" s="2">
        <v>0.38389400000000001</v>
      </c>
      <c r="F166" s="2">
        <v>0.32804899999999998</v>
      </c>
      <c r="G166" s="2">
        <v>0.30726300000000001</v>
      </c>
      <c r="H166" s="2">
        <f>AVERAGE(D166:G166)</f>
        <v>0.33261875000000002</v>
      </c>
    </row>
    <row r="167" spans="2:8" x14ac:dyDescent="0.55000000000000004">
      <c r="C167" s="2" t="s">
        <v>25</v>
      </c>
      <c r="D167" s="2">
        <v>5.0200000000000002E-3</v>
      </c>
      <c r="E167" s="2">
        <v>9.4129999999999995E-3</v>
      </c>
      <c r="F167" s="2">
        <v>7.084E-3</v>
      </c>
      <c r="G167" s="2">
        <v>4.0969999999999999E-3</v>
      </c>
      <c r="H167" s="2">
        <f>(1/COUNT(D167:G167))*SQRT(SUMSQ(D167:G167))</f>
        <v>3.3613002878350516E-3</v>
      </c>
    </row>
    <row r="168" spans="2:8" x14ac:dyDescent="0.55000000000000004">
      <c r="C168" s="2" t="s">
        <v>26</v>
      </c>
      <c r="D168" s="2">
        <v>0.75010399999999999</v>
      </c>
      <c r="E168" s="2">
        <v>0.71971799999999997</v>
      </c>
      <c r="F168" s="2">
        <v>0.85734600000000005</v>
      </c>
      <c r="G168" s="2">
        <v>0.88855799999999996</v>
      </c>
      <c r="H168" s="2">
        <f>AVERAGE(D168:G168)</f>
        <v>0.80393150000000002</v>
      </c>
    </row>
    <row r="169" spans="2:8" x14ac:dyDescent="0.55000000000000004">
      <c r="C169" s="2" t="s">
        <v>27</v>
      </c>
      <c r="D169" s="2">
        <v>3.7200000000000002E-3</v>
      </c>
      <c r="E169" s="2">
        <v>7.0860000000000003E-3</v>
      </c>
      <c r="F169" s="2">
        <v>7.1770000000000002E-3</v>
      </c>
      <c r="G169" s="2">
        <v>2.2790000000000002E-3</v>
      </c>
      <c r="H169" s="2">
        <f>(1/COUNT(D169:G169))*SQRT(SUMSQ(D169:G169))</f>
        <v>2.7471913611905527E-3</v>
      </c>
    </row>
    <row r="170" spans="2:8" x14ac:dyDescent="0.55000000000000004">
      <c r="C170" s="2" t="s">
        <v>28</v>
      </c>
      <c r="D170" s="2">
        <v>2.3829199999999999</v>
      </c>
      <c r="E170" s="2">
        <v>2.6304129999999999</v>
      </c>
      <c r="F170" s="2">
        <v>1.733565</v>
      </c>
      <c r="G170" s="2">
        <v>1.192391</v>
      </c>
      <c r="H170" s="2">
        <f>AVERAGE(D170:G170)</f>
        <v>1.9848222499999999</v>
      </c>
    </row>
    <row r="171" spans="2:8" x14ac:dyDescent="0.55000000000000004">
      <c r="C171" s="2" t="s">
        <v>29</v>
      </c>
      <c r="D171" s="2">
        <v>4.0786000000000003E-2</v>
      </c>
      <c r="E171" s="2">
        <v>6.5987000000000004E-2</v>
      </c>
      <c r="F171" s="2">
        <v>7.7146000000000006E-2</v>
      </c>
      <c r="G171" s="2">
        <v>2.4159E-2</v>
      </c>
      <c r="H171" s="2">
        <f>(1/COUNT(D171:G171))*SQRT(SUMSQ(D171:G171))</f>
        <v>2.8009980991157424E-2</v>
      </c>
    </row>
    <row r="172" spans="2:8" x14ac:dyDescent="0.55000000000000004">
      <c r="C172" s="2" t="s">
        <v>30</v>
      </c>
      <c r="D172" s="2">
        <v>11.021341</v>
      </c>
      <c r="E172" s="2">
        <v>13.559493</v>
      </c>
      <c r="F172" s="2">
        <v>10.672192000000001</v>
      </c>
      <c r="G172" s="2">
        <v>5.8125720000000003</v>
      </c>
      <c r="H172" s="2">
        <f>AVERAGE(D172:G172)</f>
        <v>10.2663995</v>
      </c>
    </row>
    <row r="173" spans="2:8" x14ac:dyDescent="0.55000000000000004">
      <c r="C173" s="2" t="s">
        <v>31</v>
      </c>
      <c r="D173" s="2">
        <v>0.202712</v>
      </c>
      <c r="E173" s="2">
        <v>0.232319</v>
      </c>
      <c r="F173" s="2">
        <v>0.24026400000000001</v>
      </c>
      <c r="G173" s="2">
        <v>6.9427000000000003E-2</v>
      </c>
      <c r="H173" s="2">
        <f>(1/COUNT(D173:G173))*SQRT(SUMSQ(D173:G173))</f>
        <v>9.9250683476865803E-2</v>
      </c>
    </row>
    <row r="174" spans="2:8" x14ac:dyDescent="0.55000000000000004">
      <c r="B174" s="2" t="s">
        <v>35</v>
      </c>
      <c r="C174" s="2" t="s">
        <v>22</v>
      </c>
      <c r="D174" s="2">
        <v>0.93964499999999995</v>
      </c>
      <c r="E174" s="2">
        <v>0.85378399999999999</v>
      </c>
      <c r="F174" s="2">
        <v>0.97499599999999997</v>
      </c>
      <c r="G174" s="2">
        <v>0.96729500000000002</v>
      </c>
      <c r="H174" s="2">
        <f>AVERAGE(E174:G174)</f>
        <v>0.93202499999999999</v>
      </c>
    </row>
    <row r="175" spans="2:8" x14ac:dyDescent="0.55000000000000004">
      <c r="C175" s="2" t="s">
        <v>23</v>
      </c>
      <c r="D175" s="2">
        <v>7.1100000000000004E-4</v>
      </c>
      <c r="E175" s="2">
        <v>4.5719999999999997E-3</v>
      </c>
      <c r="F175" s="2">
        <v>5.5999999999999995E-4</v>
      </c>
      <c r="G175" s="2">
        <v>7.3499999999999998E-4</v>
      </c>
      <c r="H175" s="2">
        <f>(1/COUNT(E175:G175))*SQRT(SUMSQ(E175:G175))</f>
        <v>1.5548136365637019E-3</v>
      </c>
    </row>
    <row r="176" spans="2:8" x14ac:dyDescent="0.55000000000000004">
      <c r="C176" s="2" t="s">
        <v>24</v>
      </c>
      <c r="D176" s="2">
        <v>0.36279800000000001</v>
      </c>
      <c r="E176" s="2">
        <v>0.52688100000000004</v>
      </c>
      <c r="F176" s="2">
        <v>0.33069300000000001</v>
      </c>
      <c r="G176" s="2">
        <v>0.32111200000000001</v>
      </c>
      <c r="H176" s="2">
        <f>AVERAGE(E176:G176)</f>
        <v>0.39289533333333337</v>
      </c>
    </row>
    <row r="177" spans="2:8" x14ac:dyDescent="0.55000000000000004">
      <c r="C177" s="2" t="s">
        <v>25</v>
      </c>
      <c r="D177" s="2">
        <v>1.766E-3</v>
      </c>
      <c r="E177" s="2">
        <v>7.8499999999999993E-3</v>
      </c>
      <c r="F177" s="2">
        <v>1.4710000000000001E-3</v>
      </c>
      <c r="G177" s="2">
        <v>2.336E-3</v>
      </c>
      <c r="H177" s="2">
        <f>(1/COUNT(E177:G177))*SQRT(SUMSQ(E177:G177))</f>
        <v>2.7737507097790885E-3</v>
      </c>
    </row>
    <row r="178" spans="2:8" x14ac:dyDescent="0.55000000000000004">
      <c r="C178" s="2" t="s">
        <v>26</v>
      </c>
      <c r="D178" s="2">
        <v>0.71022200000000002</v>
      </c>
      <c r="E178" s="2">
        <v>0.61157499999999998</v>
      </c>
      <c r="F178" s="2">
        <v>0.85349399999999997</v>
      </c>
      <c r="G178" s="2">
        <v>0.88183500000000004</v>
      </c>
      <c r="H178" s="2">
        <f>AVERAGE(E178:G178)</f>
        <v>0.78230133333333329</v>
      </c>
    </row>
    <row r="179" spans="2:8" x14ac:dyDescent="0.55000000000000004">
      <c r="C179" s="2" t="s">
        <v>27</v>
      </c>
      <c r="D179" s="2">
        <v>1.5299999999999999E-3</v>
      </c>
      <c r="E179" s="2">
        <v>5.0400000000000002E-3</v>
      </c>
      <c r="F179" s="2">
        <v>1.578E-3</v>
      </c>
      <c r="G179" s="2">
        <v>1.372E-3</v>
      </c>
      <c r="H179" s="2">
        <f>(1/COUNT(E179:G179))*SQRT(SUMSQ(E179:G179))</f>
        <v>1.8188539737366981E-3</v>
      </c>
    </row>
    <row r="180" spans="2:8" x14ac:dyDescent="0.55000000000000004">
      <c r="C180" s="2" t="s">
        <v>28</v>
      </c>
      <c r="D180" s="2">
        <v>2.6950780000000001</v>
      </c>
      <c r="E180" s="2">
        <v>3.750972</v>
      </c>
      <c r="F180" s="2">
        <v>1.7513289999999999</v>
      </c>
      <c r="G180" s="2">
        <v>1.2597069999999999</v>
      </c>
      <c r="H180" s="2">
        <f>AVERAGE(E180:G180)</f>
        <v>2.2540026666666666</v>
      </c>
    </row>
    <row r="181" spans="2:8" x14ac:dyDescent="0.55000000000000004">
      <c r="C181" s="2" t="s">
        <v>29</v>
      </c>
      <c r="D181" s="2">
        <v>1.9654999999999999E-2</v>
      </c>
      <c r="E181" s="2">
        <v>8.3091999999999999E-2</v>
      </c>
      <c r="F181" s="2">
        <v>1.6142E-2</v>
      </c>
      <c r="G181" s="2">
        <v>1.3553000000000001E-2</v>
      </c>
      <c r="H181" s="2">
        <f>(1/COUNT(E181:G181))*SQRT(SUMSQ(E181:G181))</f>
        <v>2.8574519412698205E-2</v>
      </c>
    </row>
    <row r="182" spans="2:8" x14ac:dyDescent="0.55000000000000004">
      <c r="C182" s="2" t="s">
        <v>30</v>
      </c>
      <c r="D182" s="2">
        <v>12.410978999999999</v>
      </c>
      <c r="E182" s="2">
        <v>18.978798999999999</v>
      </c>
      <c r="F182" s="2">
        <v>10.63125</v>
      </c>
      <c r="G182" s="2">
        <v>5.9869859999999999</v>
      </c>
      <c r="H182" s="2">
        <f>AVERAGE(E182:G182)</f>
        <v>11.865678333333333</v>
      </c>
    </row>
    <row r="183" spans="2:8" x14ac:dyDescent="0.55000000000000004">
      <c r="C183" s="2" t="s">
        <v>31</v>
      </c>
      <c r="D183" s="2">
        <v>0.10584</v>
      </c>
      <c r="E183" s="2">
        <v>0.34552699999999997</v>
      </c>
      <c r="F183" s="2">
        <v>5.6616E-2</v>
      </c>
      <c r="G183" s="2">
        <v>3.4070999999999997E-2</v>
      </c>
      <c r="H183" s="2">
        <f>(1/COUNT(E183:G183))*SQRT(SUMSQ(E183:G183))</f>
        <v>0.11726281603778373</v>
      </c>
    </row>
    <row r="184" spans="2:8" x14ac:dyDescent="0.55000000000000004">
      <c r="B184" s="2" t="s">
        <v>36</v>
      </c>
      <c r="C184" s="2" t="s">
        <v>22</v>
      </c>
      <c r="D184" s="2">
        <v>0.95675100000000002</v>
      </c>
      <c r="E184" s="2">
        <v>0.91620500000000005</v>
      </c>
      <c r="F184" s="2">
        <v>0.97742499999999999</v>
      </c>
      <c r="G184" s="2">
        <v>0.97284899999999996</v>
      </c>
      <c r="H184" s="2">
        <f t="shared" ref="H184:H199" si="2">AVERAGE(D184:G184)</f>
        <v>0.95580750000000003</v>
      </c>
    </row>
    <row r="185" spans="2:8" x14ac:dyDescent="0.55000000000000004">
      <c r="C185" s="2" t="s">
        <v>24</v>
      </c>
      <c r="D185" s="2">
        <v>0.31776599999999999</v>
      </c>
      <c r="E185" s="2">
        <v>0.40951199999999999</v>
      </c>
      <c r="F185" s="2">
        <v>0.32166</v>
      </c>
      <c r="G185" s="2">
        <v>0.30013499999999999</v>
      </c>
      <c r="H185" s="2">
        <f t="shared" si="2"/>
        <v>0.33726824999999999</v>
      </c>
    </row>
    <row r="186" spans="2:8" x14ac:dyDescent="0.55000000000000004">
      <c r="C186" s="2" t="s">
        <v>26</v>
      </c>
      <c r="D186" s="2">
        <v>0.74183600000000005</v>
      </c>
      <c r="E186" s="2">
        <v>0.69330899999999995</v>
      </c>
      <c r="F186" s="2">
        <v>0.86073699999999997</v>
      </c>
      <c r="G186" s="2">
        <v>0.89189300000000005</v>
      </c>
      <c r="H186" s="2">
        <f t="shared" si="2"/>
        <v>0.79694374999999995</v>
      </c>
    </row>
    <row r="187" spans="2:8" x14ac:dyDescent="0.55000000000000004">
      <c r="C187" s="2" t="s">
        <v>28</v>
      </c>
      <c r="D187" s="2">
        <v>2.5108130000000002</v>
      </c>
      <c r="E187" s="2">
        <v>2.7494109999999998</v>
      </c>
      <c r="F187" s="2">
        <v>1.6900409999999999</v>
      </c>
      <c r="G187" s="2">
        <v>1.161886</v>
      </c>
      <c r="H187" s="2">
        <f t="shared" si="2"/>
        <v>2.0280377500000002</v>
      </c>
    </row>
    <row r="188" spans="2:8" x14ac:dyDescent="0.55000000000000004">
      <c r="C188" s="2" t="s">
        <v>30</v>
      </c>
      <c r="D188" s="2">
        <v>11.244999999999999</v>
      </c>
      <c r="E188" s="2">
        <v>13.716759</v>
      </c>
      <c r="F188" s="2">
        <v>10.799187999999999</v>
      </c>
      <c r="G188" s="2">
        <v>5.811388</v>
      </c>
      <c r="H188" s="2">
        <f t="shared" si="2"/>
        <v>10.393083750000001</v>
      </c>
    </row>
    <row r="189" spans="2:8" x14ac:dyDescent="0.55000000000000004">
      <c r="B189" s="2" t="s">
        <v>37</v>
      </c>
      <c r="C189" s="2" t="s">
        <v>22</v>
      </c>
      <c r="D189" s="2">
        <v>0.92530500000000004</v>
      </c>
      <c r="E189" s="2">
        <v>0.81920099999999996</v>
      </c>
      <c r="F189" s="2">
        <v>0.92186199999999996</v>
      </c>
      <c r="G189" s="2">
        <v>0.89958300000000002</v>
      </c>
      <c r="H189" s="2">
        <f t="shared" si="2"/>
        <v>0.89148775000000002</v>
      </c>
    </row>
    <row r="190" spans="2:8" x14ac:dyDescent="0.55000000000000004">
      <c r="C190" s="2" t="s">
        <v>24</v>
      </c>
      <c r="D190" s="2">
        <v>0.40324100000000002</v>
      </c>
      <c r="E190" s="2">
        <v>0.581063</v>
      </c>
      <c r="F190" s="2">
        <v>0.45917999999999998</v>
      </c>
      <c r="G190" s="2">
        <v>0.48377799999999999</v>
      </c>
      <c r="H190" s="2">
        <f t="shared" si="2"/>
        <v>0.48181550000000001</v>
      </c>
    </row>
    <row r="191" spans="2:8" x14ac:dyDescent="0.55000000000000004">
      <c r="C191" s="2" t="s">
        <v>26</v>
      </c>
      <c r="D191" s="2">
        <v>0.672566</v>
      </c>
      <c r="E191" s="2">
        <v>0.57530999999999999</v>
      </c>
      <c r="F191" s="2">
        <v>0.73402000000000001</v>
      </c>
      <c r="G191" s="2">
        <v>0.78205899999999995</v>
      </c>
      <c r="H191" s="2">
        <f t="shared" si="2"/>
        <v>0.69098874999999993</v>
      </c>
    </row>
    <row r="192" spans="2:8" x14ac:dyDescent="0.55000000000000004">
      <c r="C192" s="2" t="s">
        <v>28</v>
      </c>
      <c r="D192" s="2">
        <v>3.7067299999999999</v>
      </c>
      <c r="E192" s="2">
        <v>4.5711469999999998</v>
      </c>
      <c r="F192" s="2">
        <v>3.240408</v>
      </c>
      <c r="G192" s="2">
        <v>2.2146919999999999</v>
      </c>
      <c r="H192" s="2">
        <f t="shared" si="2"/>
        <v>3.43324425</v>
      </c>
    </row>
    <row r="193" spans="1:20" x14ac:dyDescent="0.55000000000000004">
      <c r="C193" s="2" t="s">
        <v>30</v>
      </c>
      <c r="D193" s="2">
        <v>18.228321000000001</v>
      </c>
      <c r="E193" s="2">
        <v>22.260788999999999</v>
      </c>
      <c r="F193" s="2">
        <v>16.074237</v>
      </c>
      <c r="G193" s="2">
        <v>8.9436870000000006</v>
      </c>
      <c r="H193" s="2">
        <f t="shared" si="2"/>
        <v>16.376758499999998</v>
      </c>
      <c r="P193" s="2" t="s">
        <v>38</v>
      </c>
      <c r="Q193" s="2" cm="1">
        <f t="array" ref="Q193:T193">D190:G190/D193:G193</f>
        <v>2.2121675386339752E-2</v>
      </c>
      <c r="R193" s="2">
        <v>2.6102533921865931E-2</v>
      </c>
      <c r="S193" s="2">
        <v>2.8566208150346419E-2</v>
      </c>
      <c r="T193" s="2">
        <v>5.409156201463669E-2</v>
      </c>
    </row>
    <row r="194" spans="1:20" x14ac:dyDescent="0.55000000000000004">
      <c r="B194" s="2" t="s">
        <v>39</v>
      </c>
      <c r="C194" s="2" t="s">
        <v>22</v>
      </c>
      <c r="D194" s="2">
        <v>0.96057999999999999</v>
      </c>
      <c r="E194" s="2">
        <v>0.93237000000000003</v>
      </c>
      <c r="F194" s="2">
        <v>0.97977300000000001</v>
      </c>
      <c r="G194" s="2">
        <v>0.97311700000000001</v>
      </c>
      <c r="H194" s="2">
        <f t="shared" si="2"/>
        <v>0.96145999999999998</v>
      </c>
    </row>
    <row r="195" spans="1:20" x14ac:dyDescent="0.55000000000000004">
      <c r="C195" s="2" t="s">
        <v>24</v>
      </c>
      <c r="D195" s="2">
        <v>0.31045</v>
      </c>
      <c r="E195" s="2">
        <v>0.363008</v>
      </c>
      <c r="F195" s="2">
        <v>0.32530100000000001</v>
      </c>
      <c r="G195" s="2">
        <v>0.30749300000000002</v>
      </c>
      <c r="H195" s="2">
        <f t="shared" si="2"/>
        <v>0.32656299999999999</v>
      </c>
    </row>
    <row r="196" spans="1:20" x14ac:dyDescent="0.55000000000000004">
      <c r="C196" s="2" t="s">
        <v>26</v>
      </c>
      <c r="D196" s="2">
        <v>0.75243700000000002</v>
      </c>
      <c r="E196" s="2">
        <v>0.73249799999999998</v>
      </c>
      <c r="F196" s="2">
        <v>0.86859399999999998</v>
      </c>
      <c r="G196" s="2">
        <v>0.89188400000000001</v>
      </c>
      <c r="H196" s="2">
        <f t="shared" si="2"/>
        <v>0.81135325000000003</v>
      </c>
    </row>
    <row r="197" spans="1:20" x14ac:dyDescent="0.55000000000000004">
      <c r="C197" s="2" t="s">
        <v>28</v>
      </c>
      <c r="D197" s="2">
        <v>2.3691430000000002</v>
      </c>
      <c r="E197" s="2">
        <v>2.3084639999999998</v>
      </c>
      <c r="F197" s="2">
        <v>1.761498</v>
      </c>
      <c r="G197" s="2">
        <v>1.222089</v>
      </c>
      <c r="H197" s="2">
        <f t="shared" si="2"/>
        <v>1.9152985</v>
      </c>
    </row>
    <row r="198" spans="1:20" x14ac:dyDescent="0.55000000000000004">
      <c r="C198" s="2" t="s">
        <v>30</v>
      </c>
      <c r="D198" s="2">
        <v>11.076657000000001</v>
      </c>
      <c r="E198" s="2">
        <v>12.730017</v>
      </c>
      <c r="F198" s="2">
        <v>11.438276</v>
      </c>
      <c r="G198" s="2">
        <v>6.2342940000000002</v>
      </c>
      <c r="H198" s="2">
        <f t="shared" si="2"/>
        <v>10.369811</v>
      </c>
    </row>
    <row r="199" spans="1:20" x14ac:dyDescent="0.55000000000000004">
      <c r="A199" s="2" t="s">
        <v>20</v>
      </c>
      <c r="B199" s="2" t="s">
        <v>21</v>
      </c>
      <c r="C199" s="2" t="s">
        <v>22</v>
      </c>
      <c r="D199" s="2">
        <v>0.95858299999999996</v>
      </c>
      <c r="E199" s="2">
        <v>0.92445900000000003</v>
      </c>
      <c r="F199" s="2">
        <v>0.977711</v>
      </c>
      <c r="G199" s="2">
        <v>0.97117900000000001</v>
      </c>
      <c r="H199" s="2">
        <f t="shared" si="2"/>
        <v>0.95798300000000003</v>
      </c>
    </row>
    <row r="200" spans="1:20" x14ac:dyDescent="0.55000000000000004">
      <c r="A200" s="2">
        <v>1.2</v>
      </c>
      <c r="C200" s="2" t="s">
        <v>23</v>
      </c>
      <c r="D200" s="2">
        <v>1.2999999999999999E-4</v>
      </c>
      <c r="E200" s="2">
        <v>8.92E-4</v>
      </c>
      <c r="F200" s="2">
        <v>2.5399999999999999E-4</v>
      </c>
      <c r="G200" s="2">
        <v>3.3399999999999999E-4</v>
      </c>
      <c r="H200" s="2">
        <f>(1/COUNT(D200:G200))*SQRT(SUMSQ(D200:G200))</f>
        <v>2.4857544126482005E-4</v>
      </c>
    </row>
    <row r="201" spans="1:20" x14ac:dyDescent="0.55000000000000004">
      <c r="C201" s="2" t="s">
        <v>24</v>
      </c>
      <c r="D201" s="2">
        <v>0.31644099999999997</v>
      </c>
      <c r="E201" s="2">
        <v>0.37960100000000002</v>
      </c>
      <c r="F201" s="2">
        <v>0.31809300000000001</v>
      </c>
      <c r="G201" s="2">
        <v>0.30200399999999999</v>
      </c>
      <c r="H201" s="2">
        <f>AVERAGE(D201:G201)</f>
        <v>0.32903474999999999</v>
      </c>
    </row>
    <row r="202" spans="1:20" x14ac:dyDescent="0.55000000000000004">
      <c r="C202" s="2" t="s">
        <v>25</v>
      </c>
      <c r="D202" s="2">
        <v>4.4499999999999997E-4</v>
      </c>
      <c r="E202" s="2">
        <v>2.2230000000000001E-3</v>
      </c>
      <c r="F202" s="2">
        <v>7.1299999999999998E-4</v>
      </c>
      <c r="G202" s="2">
        <v>9.5699999999999995E-4</v>
      </c>
      <c r="H202" s="2">
        <f>(1/COUNT(D202:G202))*SQRT(SUMSQ(D202:G202))</f>
        <v>6.4050624509055332E-4</v>
      </c>
    </row>
    <row r="203" spans="1:20" x14ac:dyDescent="0.55000000000000004">
      <c r="C203" s="2" t="s">
        <v>26</v>
      </c>
      <c r="D203" s="2">
        <v>0.74771799999999999</v>
      </c>
      <c r="E203" s="2">
        <v>0.72230700000000003</v>
      </c>
      <c r="F203" s="2">
        <v>0.86408600000000002</v>
      </c>
      <c r="G203" s="2">
        <v>0.89088400000000001</v>
      </c>
      <c r="H203" s="2">
        <f>AVERAGE(D203:G203)</f>
        <v>0.80624874999999996</v>
      </c>
    </row>
    <row r="204" spans="1:20" x14ac:dyDescent="0.55000000000000004">
      <c r="C204" s="2" t="s">
        <v>27</v>
      </c>
      <c r="D204" s="2">
        <v>3.4499999999999998E-4</v>
      </c>
      <c r="E204" s="2">
        <v>1.8730000000000001E-3</v>
      </c>
      <c r="F204" s="2">
        <v>7.0500000000000001E-4</v>
      </c>
      <c r="G204" s="2">
        <v>6.02E-4</v>
      </c>
      <c r="H204" s="2">
        <f>(1/COUNT(D204:G204))*SQRT(SUMSQ(D204:G204))</f>
        <v>5.2953889139514582E-4</v>
      </c>
    </row>
    <row r="205" spans="1:20" x14ac:dyDescent="0.55000000000000004">
      <c r="C205" s="2" t="s">
        <v>28</v>
      </c>
      <c r="D205" s="2">
        <v>2.3469370000000001</v>
      </c>
      <c r="E205" s="2">
        <v>2.578506</v>
      </c>
      <c r="F205" s="2">
        <v>1.5929439999999999</v>
      </c>
      <c r="G205" s="2">
        <v>1.1666650000000001</v>
      </c>
      <c r="H205" s="2">
        <f>AVERAGE(D205:G205)</f>
        <v>1.9212629999999999</v>
      </c>
    </row>
    <row r="206" spans="1:20" x14ac:dyDescent="0.55000000000000004">
      <c r="C206" s="2" t="s">
        <v>29</v>
      </c>
      <c r="D206" s="2">
        <v>4.4679999999999997E-3</v>
      </c>
      <c r="E206" s="2">
        <v>1.9597E-2</v>
      </c>
      <c r="F206" s="2">
        <v>1.1906999999999999E-2</v>
      </c>
      <c r="G206" s="2">
        <v>6.0780000000000001E-3</v>
      </c>
      <c r="H206" s="2">
        <f>(1/COUNT(D206:G206))*SQRT(SUMSQ(D206:G206))</f>
        <v>6.0349200802496134E-3</v>
      </c>
    </row>
    <row r="207" spans="1:20" x14ac:dyDescent="0.55000000000000004">
      <c r="C207" s="2" t="s">
        <v>30</v>
      </c>
      <c r="D207" s="2">
        <v>10.511462999999999</v>
      </c>
      <c r="E207" s="2">
        <v>13.700542</v>
      </c>
      <c r="F207" s="2">
        <v>9.9360289999999996</v>
      </c>
      <c r="G207" s="2">
        <v>5.8071910000000004</v>
      </c>
      <c r="H207" s="2">
        <f>AVERAGE(D207:G207)</f>
        <v>9.9888062499999997</v>
      </c>
    </row>
    <row r="208" spans="1:20" x14ac:dyDescent="0.55000000000000004">
      <c r="C208" s="2" t="s">
        <v>31</v>
      </c>
      <c r="D208" s="2">
        <v>3.6311000000000003E-2</v>
      </c>
      <c r="E208" s="2">
        <v>9.8161999999999999E-2</v>
      </c>
      <c r="F208" s="2">
        <v>7.5967999999999994E-2</v>
      </c>
      <c r="G208" s="2">
        <v>2.0407000000000002E-2</v>
      </c>
      <c r="H208" s="2">
        <f>(1/COUNT(D208:G208))*SQRT(SUMSQ(D208:G208))</f>
        <v>3.2731721653084488E-2</v>
      </c>
    </row>
    <row r="209" spans="2:8" x14ac:dyDescent="0.55000000000000004">
      <c r="B209" s="2" t="s">
        <v>32</v>
      </c>
      <c r="C209" s="2" t="s">
        <v>22</v>
      </c>
      <c r="D209" s="2">
        <v>0.95583200000000001</v>
      </c>
      <c r="E209" s="2">
        <v>0.91603299999999999</v>
      </c>
      <c r="F209" s="2">
        <v>0.97776300000000005</v>
      </c>
      <c r="G209" s="2">
        <v>0.97051799999999999</v>
      </c>
      <c r="H209" s="2">
        <f>AVERAGE(D209:G209)</f>
        <v>0.95503650000000007</v>
      </c>
    </row>
    <row r="210" spans="2:8" x14ac:dyDescent="0.55000000000000004">
      <c r="C210" s="2" t="s">
        <v>23</v>
      </c>
      <c r="D210" s="2">
        <v>9.1699999999999995E-4</v>
      </c>
      <c r="E210" s="2">
        <v>3.6120000000000002E-3</v>
      </c>
      <c r="F210" s="2">
        <v>4.1800000000000002E-4</v>
      </c>
      <c r="G210" s="2">
        <v>4.84E-4</v>
      </c>
      <c r="H210" s="2">
        <f>(1/COUNT(D210:G210))*SQRT(SUMSQ(D210:G210))</f>
        <v>9.4526494301862274E-4</v>
      </c>
    </row>
    <row r="211" spans="2:8" x14ac:dyDescent="0.55000000000000004">
      <c r="C211" s="2" t="s">
        <v>24</v>
      </c>
      <c r="D211" s="2">
        <v>0.32361800000000002</v>
      </c>
      <c r="E211" s="2">
        <v>0.40023399999999998</v>
      </c>
      <c r="F211" s="2">
        <v>0.318579</v>
      </c>
      <c r="G211" s="2">
        <v>0.30430600000000002</v>
      </c>
      <c r="H211" s="2">
        <f>AVERAGE(D211:G211)</f>
        <v>0.33668424999999996</v>
      </c>
    </row>
    <row r="212" spans="2:8" x14ac:dyDescent="0.55000000000000004">
      <c r="C212" s="2" t="s">
        <v>25</v>
      </c>
      <c r="D212" s="2">
        <v>2.6350000000000002E-3</v>
      </c>
      <c r="E212" s="2">
        <v>7.9179999999999997E-3</v>
      </c>
      <c r="F212" s="2">
        <v>1.4450000000000001E-3</v>
      </c>
      <c r="G212" s="2">
        <v>1.493E-3</v>
      </c>
      <c r="H212" s="2">
        <f>(1/COUNT(D212:G212))*SQRT(SUMSQ(D212:G212))</f>
        <v>2.1499276586666818E-3</v>
      </c>
    </row>
    <row r="213" spans="2:8" x14ac:dyDescent="0.55000000000000004">
      <c r="C213" s="2" t="s">
        <v>26</v>
      </c>
      <c r="D213" s="2">
        <v>0.74250400000000005</v>
      </c>
      <c r="E213" s="2">
        <v>0.70753299999999997</v>
      </c>
      <c r="F213" s="2">
        <v>0.863209</v>
      </c>
      <c r="G213" s="2">
        <v>0.88936000000000004</v>
      </c>
      <c r="H213" s="2">
        <f>AVERAGE(D213:G213)</f>
        <v>0.80065149999999996</v>
      </c>
    </row>
    <row r="214" spans="2:8" x14ac:dyDescent="0.55000000000000004">
      <c r="C214" s="2" t="s">
        <v>27</v>
      </c>
      <c r="D214" s="2">
        <v>2.0309999999999998E-3</v>
      </c>
      <c r="E214" s="2">
        <v>5.9379999999999997E-3</v>
      </c>
      <c r="F214" s="2">
        <v>1.3420000000000001E-3</v>
      </c>
      <c r="G214" s="2">
        <v>8.5999999999999998E-4</v>
      </c>
      <c r="H214" s="2">
        <f>(1/COUNT(D214:G214))*SQRT(SUMSQ(D214:G214))</f>
        <v>1.6187450579075136E-3</v>
      </c>
    </row>
    <row r="215" spans="2:8" x14ac:dyDescent="0.55000000000000004">
      <c r="C215" s="2" t="s">
        <v>28</v>
      </c>
      <c r="D215" s="2">
        <v>2.443397</v>
      </c>
      <c r="E215" s="2">
        <v>2.818737</v>
      </c>
      <c r="F215" s="2">
        <v>1.595658</v>
      </c>
      <c r="G215" s="2">
        <v>1.175546</v>
      </c>
      <c r="H215" s="2">
        <f>AVERAGE(D215:G215)</f>
        <v>2.0083345000000001</v>
      </c>
    </row>
    <row r="216" spans="2:8" x14ac:dyDescent="0.55000000000000004">
      <c r="C216" s="2" t="s">
        <v>29</v>
      </c>
      <c r="D216" s="2">
        <v>2.0671999999999999E-2</v>
      </c>
      <c r="E216" s="2">
        <v>5.6913999999999999E-2</v>
      </c>
      <c r="F216" s="2">
        <v>1.8711999999999999E-2</v>
      </c>
      <c r="G216" s="2">
        <v>8.3770000000000008E-3</v>
      </c>
      <c r="H216" s="2">
        <f>(1/COUNT(D216:G216))*SQRT(SUMSQ(D216:G216))</f>
        <v>1.5982115107597616E-2</v>
      </c>
    </row>
    <row r="217" spans="2:8" x14ac:dyDescent="0.55000000000000004">
      <c r="C217" s="2" t="s">
        <v>30</v>
      </c>
      <c r="D217" s="2">
        <v>11.111011</v>
      </c>
      <c r="E217" s="2">
        <v>15.824446</v>
      </c>
      <c r="F217" s="2">
        <v>9.8983179999999997</v>
      </c>
      <c r="G217" s="2">
        <v>5.797466</v>
      </c>
      <c r="H217" s="2">
        <f>AVERAGE(D217:G217)</f>
        <v>10.657810250000001</v>
      </c>
    </row>
    <row r="218" spans="2:8" x14ac:dyDescent="0.55000000000000004">
      <c r="C218" s="2" t="s">
        <v>31</v>
      </c>
      <c r="D218" s="2">
        <v>0.122472</v>
      </c>
      <c r="E218" s="2">
        <v>0.25920900000000002</v>
      </c>
      <c r="F218" s="2">
        <v>9.5500000000000002E-2</v>
      </c>
      <c r="G218" s="2">
        <v>2.7324999999999999E-2</v>
      </c>
      <c r="H218" s="2">
        <f>(1/COUNT(D218:G218))*SQRT(SUMSQ(D218:G218))</f>
        <v>7.5851665312140645E-2</v>
      </c>
    </row>
    <row r="219" spans="2:8" x14ac:dyDescent="0.55000000000000004">
      <c r="B219" s="2" t="s">
        <v>33</v>
      </c>
      <c r="C219" s="2" t="s">
        <v>22</v>
      </c>
      <c r="D219" s="2">
        <v>0.95876700000000004</v>
      </c>
      <c r="E219" s="2">
        <v>0.92064299999999999</v>
      </c>
      <c r="F219" s="2">
        <v>0.97804899999999995</v>
      </c>
      <c r="G219" s="2">
        <v>0.971383</v>
      </c>
      <c r="H219" s="2">
        <f>AVERAGE(D219:G219)</f>
        <v>0.95721049999999996</v>
      </c>
    </row>
    <row r="220" spans="2:8" x14ac:dyDescent="0.55000000000000004">
      <c r="C220" s="2" t="s">
        <v>23</v>
      </c>
      <c r="D220" s="2">
        <v>8.2999999999999998E-5</v>
      </c>
      <c r="E220" s="2">
        <v>1.0070000000000001E-3</v>
      </c>
      <c r="F220" s="2">
        <v>1.36E-4</v>
      </c>
      <c r="G220" s="2">
        <v>1.02E-4</v>
      </c>
      <c r="H220" s="2">
        <f>(1/COUNT(D220:G220))*SQRT(SUMSQ(D220:G220))</f>
        <v>2.5615400641020632E-4</v>
      </c>
    </row>
    <row r="221" spans="2:8" x14ac:dyDescent="0.55000000000000004">
      <c r="C221" s="2" t="s">
        <v>24</v>
      </c>
      <c r="D221" s="2">
        <v>0.315691</v>
      </c>
      <c r="E221" s="2">
        <v>0.38578600000000002</v>
      </c>
      <c r="F221" s="2">
        <v>0.31714500000000001</v>
      </c>
      <c r="G221" s="2">
        <v>0.30119800000000002</v>
      </c>
      <c r="H221" s="2">
        <f>AVERAGE(D221:G221)</f>
        <v>0.32995500000000005</v>
      </c>
    </row>
    <row r="222" spans="2:8" x14ac:dyDescent="0.55000000000000004">
      <c r="C222" s="2" t="s">
        <v>25</v>
      </c>
      <c r="D222" s="2">
        <v>2.5300000000000002E-4</v>
      </c>
      <c r="E222" s="2">
        <v>2.6059999999999998E-3</v>
      </c>
      <c r="F222" s="2">
        <v>3.9300000000000001E-4</v>
      </c>
      <c r="G222" s="2">
        <v>3.8699999999999997E-4</v>
      </c>
      <c r="H222" s="2">
        <f>(1/COUNT(D222:G222))*SQRT(SUMSQ(D222:G222))</f>
        <v>6.6892932175230586E-4</v>
      </c>
    </row>
    <row r="223" spans="2:8" x14ac:dyDescent="0.55000000000000004">
      <c r="C223" s="2" t="s">
        <v>26</v>
      </c>
      <c r="D223" s="2">
        <v>0.74853800000000004</v>
      </c>
      <c r="E223" s="2">
        <v>0.71838100000000005</v>
      </c>
      <c r="F223" s="2">
        <v>0.86512599999999995</v>
      </c>
      <c r="G223" s="2">
        <v>0.891293</v>
      </c>
      <c r="H223" s="2">
        <f>AVERAGE(D223:G223)</f>
        <v>0.80583450000000001</v>
      </c>
    </row>
    <row r="224" spans="2:8" x14ac:dyDescent="0.55000000000000004">
      <c r="C224" s="2" t="s">
        <v>27</v>
      </c>
      <c r="D224" s="2">
        <v>2.0900000000000001E-4</v>
      </c>
      <c r="E224" s="2">
        <v>2.1080000000000001E-3</v>
      </c>
      <c r="F224" s="2">
        <v>3.3599999999999998E-4</v>
      </c>
      <c r="G224" s="2">
        <v>1.7799999999999999E-4</v>
      </c>
      <c r="H224" s="2">
        <f>(1/COUNT(D224:G224))*SQRT(SUMSQ(D224:G224))</f>
        <v>5.3804768608367787E-4</v>
      </c>
    </row>
    <row r="225" spans="2:8" x14ac:dyDescent="0.55000000000000004">
      <c r="C225" s="2" t="s">
        <v>28</v>
      </c>
      <c r="D225" s="2">
        <v>2.339601</v>
      </c>
      <c r="E225" s="2">
        <v>2.6214029999999999</v>
      </c>
      <c r="F225" s="2">
        <v>1.5821940000000001</v>
      </c>
      <c r="G225" s="2">
        <v>1.161624</v>
      </c>
      <c r="H225" s="2">
        <f>AVERAGE(D225:G225)</f>
        <v>1.9262055</v>
      </c>
    </row>
    <row r="226" spans="2:8" x14ac:dyDescent="0.55000000000000004">
      <c r="C226" s="2" t="s">
        <v>29</v>
      </c>
      <c r="D226" s="2">
        <v>2.2850000000000001E-3</v>
      </c>
      <c r="E226" s="2">
        <v>2.2197999999999999E-2</v>
      </c>
      <c r="F226" s="2">
        <v>5.0860000000000002E-3</v>
      </c>
      <c r="G226" s="2">
        <v>2.3579999999999999E-3</v>
      </c>
      <c r="H226" s="2">
        <f>(1/COUNT(D226:G226))*SQRT(SUMSQ(D226:G226))</f>
        <v>5.7521734424911073E-3</v>
      </c>
    </row>
    <row r="227" spans="2:8" x14ac:dyDescent="0.55000000000000004">
      <c r="C227" s="2" t="s">
        <v>30</v>
      </c>
      <c r="D227" s="2">
        <v>10.517201</v>
      </c>
      <c r="E227" s="2">
        <v>13.043768999999999</v>
      </c>
      <c r="F227" s="2">
        <v>9.8801810000000003</v>
      </c>
      <c r="G227" s="2">
        <v>5.7775650000000001</v>
      </c>
      <c r="H227" s="2">
        <f>AVERAGE(D227:G227)</f>
        <v>9.8046790000000001</v>
      </c>
    </row>
    <row r="228" spans="2:8" x14ac:dyDescent="0.55000000000000004">
      <c r="C228" s="2" t="s">
        <v>31</v>
      </c>
      <c r="D228" s="2">
        <v>1.3742000000000001E-2</v>
      </c>
      <c r="E228" s="2">
        <v>6.1996000000000002E-2</v>
      </c>
      <c r="F228" s="2">
        <v>2.3265000000000001E-2</v>
      </c>
      <c r="G228" s="2">
        <v>7.5009999999999999E-3</v>
      </c>
      <c r="H228" s="2">
        <f>(1/COUNT(D228:G228))*SQRT(SUMSQ(D228:G228))</f>
        <v>1.7010790336577548E-2</v>
      </c>
    </row>
    <row r="229" spans="2:8" x14ac:dyDescent="0.55000000000000004">
      <c r="B229" s="2" t="s">
        <v>34</v>
      </c>
      <c r="C229" s="2" t="s">
        <v>22</v>
      </c>
      <c r="D229" s="2">
        <v>0.95791999999999999</v>
      </c>
      <c r="E229" s="2">
        <v>0.92226600000000003</v>
      </c>
      <c r="F229" s="2">
        <v>0.97698099999999999</v>
      </c>
      <c r="G229" s="2">
        <v>0.971275</v>
      </c>
      <c r="H229" s="2">
        <f>AVERAGE(D229:G229)</f>
        <v>0.95711049999999998</v>
      </c>
    </row>
    <row r="230" spans="2:8" x14ac:dyDescent="0.55000000000000004">
      <c r="C230" s="2" t="s">
        <v>23</v>
      </c>
      <c r="D230" s="2">
        <v>9.19E-4</v>
      </c>
      <c r="E230" s="2">
        <v>5.3600000000000002E-3</v>
      </c>
      <c r="F230" s="2">
        <v>1.1969999999999999E-3</v>
      </c>
      <c r="G230" s="2">
        <v>1.1590000000000001E-3</v>
      </c>
      <c r="H230" s="2">
        <f>(1/COUNT(D230:G230))*SQRT(SUMSQ(D230:G230))</f>
        <v>1.4219320263289662E-3</v>
      </c>
    </row>
    <row r="231" spans="2:8" x14ac:dyDescent="0.55000000000000004">
      <c r="C231" s="2" t="s">
        <v>24</v>
      </c>
      <c r="D231" s="2">
        <v>0.31599300000000002</v>
      </c>
      <c r="E231" s="2">
        <v>0.38496399999999997</v>
      </c>
      <c r="F231" s="2">
        <v>0.32485700000000001</v>
      </c>
      <c r="G231" s="2">
        <v>0.30542200000000003</v>
      </c>
      <c r="H231" s="2">
        <f>AVERAGE(D231:G231)</f>
        <v>0.33280900000000002</v>
      </c>
    </row>
    <row r="232" spans="2:8" x14ac:dyDescent="0.55000000000000004">
      <c r="C232" s="2" t="s">
        <v>25</v>
      </c>
      <c r="D232" s="2">
        <v>2.5400000000000002E-3</v>
      </c>
      <c r="E232" s="2">
        <v>1.2139E-2</v>
      </c>
      <c r="F232" s="2">
        <v>3.581E-3</v>
      </c>
      <c r="G232" s="2">
        <v>4.0049999999999999E-3</v>
      </c>
      <c r="H232" s="2">
        <f>(1/COUNT(D232:G232))*SQRT(SUMSQ(D232:G232))</f>
        <v>3.3788913399960055E-3</v>
      </c>
    </row>
    <row r="233" spans="2:8" x14ac:dyDescent="0.55000000000000004">
      <c r="C233" s="2" t="s">
        <v>26</v>
      </c>
      <c r="D233" s="2">
        <v>0.74652099999999999</v>
      </c>
      <c r="E233" s="2">
        <v>0.71708899999999998</v>
      </c>
      <c r="F233" s="2">
        <v>0.86048400000000003</v>
      </c>
      <c r="G233" s="2">
        <v>0.88971199999999995</v>
      </c>
      <c r="H233" s="2">
        <f>AVERAGE(D233:G233)</f>
        <v>0.80345149999999999</v>
      </c>
    </row>
    <row r="234" spans="2:8" x14ac:dyDescent="0.55000000000000004">
      <c r="C234" s="2" t="s">
        <v>27</v>
      </c>
      <c r="D234" s="2">
        <v>1.7730000000000001E-3</v>
      </c>
      <c r="E234" s="2">
        <v>9.0089999999999996E-3</v>
      </c>
      <c r="F234" s="2">
        <v>3.5999999999999999E-3</v>
      </c>
      <c r="G234" s="2">
        <v>2.2339999999999999E-3</v>
      </c>
      <c r="H234" s="2">
        <f>(1/COUNT(D234:G234))*SQRT(SUMSQ(D234:G234))</f>
        <v>2.5280472454050377E-3</v>
      </c>
    </row>
    <row r="235" spans="2:8" x14ac:dyDescent="0.55000000000000004">
      <c r="C235" s="2" t="s">
        <v>28</v>
      </c>
      <c r="D235" s="2">
        <v>2.3960210000000002</v>
      </c>
      <c r="E235" s="2">
        <v>2.7165330000000001</v>
      </c>
      <c r="F235" s="2">
        <v>1.6939340000000001</v>
      </c>
      <c r="G235" s="2">
        <v>1.181422</v>
      </c>
      <c r="H235" s="2">
        <f>AVERAGE(D235:G235)</f>
        <v>1.9969774999999998</v>
      </c>
    </row>
    <row r="236" spans="2:8" x14ac:dyDescent="0.55000000000000004">
      <c r="C236" s="2" t="s">
        <v>29</v>
      </c>
      <c r="D236" s="2">
        <v>1.8291000000000002E-2</v>
      </c>
      <c r="E236" s="2">
        <v>7.8343999999999997E-2</v>
      </c>
      <c r="F236" s="2">
        <v>4.3029999999999999E-2</v>
      </c>
      <c r="G236" s="2">
        <v>2.3831000000000001E-2</v>
      </c>
      <c r="H236" s="2">
        <f>(1/COUNT(D236:G236))*SQRT(SUMSQ(D236:G236))</f>
        <v>2.357413900601674E-2</v>
      </c>
    </row>
    <row r="237" spans="2:8" x14ac:dyDescent="0.55000000000000004">
      <c r="C237" s="2" t="s">
        <v>30</v>
      </c>
      <c r="D237" s="2">
        <v>10.886056999999999</v>
      </c>
      <c r="E237" s="2">
        <v>14.805680000000001</v>
      </c>
      <c r="F237" s="2">
        <v>10.51427</v>
      </c>
      <c r="G237" s="2">
        <v>5.7660799999999997</v>
      </c>
      <c r="H237" s="2">
        <f>AVERAGE(D237:G237)</f>
        <v>10.49302175</v>
      </c>
    </row>
    <row r="238" spans="2:8" x14ac:dyDescent="0.55000000000000004">
      <c r="C238" s="2" t="s">
        <v>31</v>
      </c>
      <c r="D238" s="2">
        <v>0.108303</v>
      </c>
      <c r="E238" s="2">
        <v>0.35415000000000002</v>
      </c>
      <c r="F238" s="2">
        <v>0.14607800000000001</v>
      </c>
      <c r="G238" s="2">
        <v>7.0137000000000005E-2</v>
      </c>
      <c r="H238" s="2">
        <f>(1/COUNT(D238:G238))*SQRT(SUMSQ(D238:G238))</f>
        <v>0.10105992750652951</v>
      </c>
    </row>
    <row r="239" spans="2:8" x14ac:dyDescent="0.55000000000000004">
      <c r="B239" s="2" t="s">
        <v>35</v>
      </c>
      <c r="C239" s="2" t="s">
        <v>22</v>
      </c>
      <c r="D239" s="2">
        <v>0.93814600000000004</v>
      </c>
      <c r="E239" s="2">
        <v>0.85261100000000001</v>
      </c>
      <c r="F239" s="2">
        <v>0.97065400000000002</v>
      </c>
      <c r="G239" s="2">
        <v>0.96539799999999998</v>
      </c>
      <c r="H239" s="2">
        <f>AVERAGE(E239:G239)</f>
        <v>0.92955433333333337</v>
      </c>
    </row>
    <row r="240" spans="2:8" x14ac:dyDescent="0.55000000000000004">
      <c r="C240" s="2" t="s">
        <v>23</v>
      </c>
      <c r="D240" s="2">
        <v>8.3299999999999997E-4</v>
      </c>
      <c r="E240" s="2">
        <v>2.4499999999999999E-3</v>
      </c>
      <c r="F240" s="2">
        <v>1.034E-3</v>
      </c>
      <c r="G240" s="2">
        <v>7.76E-4</v>
      </c>
      <c r="H240" s="2">
        <f>(1/COUNT(E240:G240))*SQRT(SUMSQ(E240:G240))</f>
        <v>9.2338940864621132E-4</v>
      </c>
    </row>
    <row r="241" spans="2:8" x14ac:dyDescent="0.55000000000000004">
      <c r="C241" s="2" t="s">
        <v>24</v>
      </c>
      <c r="D241" s="2">
        <v>0.36668699999999999</v>
      </c>
      <c r="E241" s="2">
        <v>0.53006399999999998</v>
      </c>
      <c r="F241" s="2">
        <v>0.34248299999999998</v>
      </c>
      <c r="G241" s="2">
        <v>0.32741700000000001</v>
      </c>
      <c r="H241" s="2">
        <f>AVERAGE(E241:G241)</f>
        <v>0.39998800000000001</v>
      </c>
    </row>
    <row r="242" spans="2:8" x14ac:dyDescent="0.55000000000000004">
      <c r="C242" s="2" t="s">
        <v>25</v>
      </c>
      <c r="D242" s="2">
        <v>1.8320000000000001E-3</v>
      </c>
      <c r="E242" s="2">
        <v>4.3819999999999996E-3</v>
      </c>
      <c r="F242" s="2">
        <v>2.7430000000000002E-3</v>
      </c>
      <c r="G242" s="2">
        <v>2.4559999999999998E-3</v>
      </c>
      <c r="H242" s="2">
        <f>(1/COUNT(E242:G242))*SQRT(SUMSQ(E242:G242))</f>
        <v>1.9078175139846752E-3</v>
      </c>
    </row>
    <row r="243" spans="2:8" x14ac:dyDescent="0.55000000000000004">
      <c r="C243" s="2" t="s">
        <v>26</v>
      </c>
      <c r="D243" s="2">
        <v>0.70639200000000002</v>
      </c>
      <c r="E243" s="2">
        <v>0.608348</v>
      </c>
      <c r="F243" s="2">
        <v>0.84135499999999996</v>
      </c>
      <c r="G243" s="2">
        <v>0.87825399999999998</v>
      </c>
      <c r="H243" s="2">
        <f>AVERAGE(E243:G243)</f>
        <v>0.77598566666666668</v>
      </c>
    </row>
    <row r="244" spans="2:8" x14ac:dyDescent="0.55000000000000004">
      <c r="C244" s="2" t="s">
        <v>27</v>
      </c>
      <c r="D244" s="2">
        <v>1.591E-3</v>
      </c>
      <c r="E244" s="2">
        <v>3.0720000000000001E-3</v>
      </c>
      <c r="F244" s="2">
        <v>2.8800000000000002E-3</v>
      </c>
      <c r="G244" s="2">
        <v>1.4040000000000001E-3</v>
      </c>
      <c r="H244" s="2">
        <f>(1/COUNT(E244:G244))*SQRT(SUMSQ(E244:G244))</f>
        <v>1.4795945390545344E-3</v>
      </c>
    </row>
    <row r="245" spans="2:8" x14ac:dyDescent="0.55000000000000004">
      <c r="C245" s="2" t="s">
        <v>28</v>
      </c>
      <c r="D245" s="2">
        <v>2.7372719999999999</v>
      </c>
      <c r="E245" s="2">
        <v>3.7848869999999999</v>
      </c>
      <c r="F245" s="2">
        <v>1.8821319999999999</v>
      </c>
      <c r="G245" s="2">
        <v>1.2965089999999999</v>
      </c>
      <c r="H245" s="2">
        <f>AVERAGE(E245:G245)</f>
        <v>2.3211759999999999</v>
      </c>
    </row>
    <row r="246" spans="2:8" x14ac:dyDescent="0.55000000000000004">
      <c r="C246" s="2" t="s">
        <v>29</v>
      </c>
      <c r="D246" s="2">
        <v>1.6650999999999999E-2</v>
      </c>
      <c r="E246" s="2">
        <v>4.2452999999999998E-2</v>
      </c>
      <c r="F246" s="2">
        <v>3.0851E-2</v>
      </c>
      <c r="G246" s="2">
        <v>1.3305000000000001E-2</v>
      </c>
      <c r="H246" s="2">
        <f>(1/COUNT(E246:G246))*SQRT(SUMSQ(E246:G246))</f>
        <v>1.8046435274344654E-2</v>
      </c>
    </row>
    <row r="247" spans="2:8" x14ac:dyDescent="0.55000000000000004">
      <c r="C247" s="2" t="s">
        <v>30</v>
      </c>
      <c r="D247" s="2">
        <v>12.636564</v>
      </c>
      <c r="E247" s="2">
        <v>19.324680000000001</v>
      </c>
      <c r="F247" s="2">
        <v>10.96571</v>
      </c>
      <c r="G247" s="2">
        <v>6.0509069999999996</v>
      </c>
      <c r="H247" s="2">
        <f>AVERAGE(E247:G247)</f>
        <v>12.113765666666668</v>
      </c>
    </row>
    <row r="248" spans="2:8" x14ac:dyDescent="0.55000000000000004">
      <c r="C248" s="2" t="s">
        <v>31</v>
      </c>
      <c r="D248" s="2">
        <v>0.10219300000000001</v>
      </c>
      <c r="E248" s="2">
        <v>0.24764800000000001</v>
      </c>
      <c r="F248" s="2">
        <v>9.4805E-2</v>
      </c>
      <c r="G248" s="2">
        <v>3.0082999999999999E-2</v>
      </c>
      <c r="H248" s="2">
        <f>(1/COUNT(E248:G248))*SQRT(SUMSQ(E248:G248))</f>
        <v>8.8958483961152718E-2</v>
      </c>
    </row>
    <row r="249" spans="2:8" x14ac:dyDescent="0.55000000000000004">
      <c r="B249" s="2" t="s">
        <v>36</v>
      </c>
      <c r="C249" s="2" t="s">
        <v>22</v>
      </c>
      <c r="D249" s="2">
        <v>0.95583899999999999</v>
      </c>
      <c r="E249" s="2">
        <v>0.89386399999999999</v>
      </c>
      <c r="F249" s="2">
        <v>0.97908799999999996</v>
      </c>
      <c r="G249" s="2">
        <v>0.97342300000000004</v>
      </c>
      <c r="H249" s="2">
        <f t="shared" ref="H249:H264" si="3">AVERAGE(D249:G249)</f>
        <v>0.95055349999999994</v>
      </c>
    </row>
    <row r="250" spans="2:8" x14ac:dyDescent="0.55000000000000004">
      <c r="C250" s="2" t="s">
        <v>24</v>
      </c>
      <c r="D250" s="2">
        <v>0.32269599999999998</v>
      </c>
      <c r="E250" s="2">
        <v>0.45633400000000002</v>
      </c>
      <c r="F250" s="2">
        <v>0.31705100000000003</v>
      </c>
      <c r="G250" s="2">
        <v>0.29704900000000001</v>
      </c>
      <c r="H250" s="2">
        <f t="shared" si="3"/>
        <v>0.34828250000000005</v>
      </c>
    </row>
    <row r="251" spans="2:8" x14ac:dyDescent="0.55000000000000004">
      <c r="C251" s="2" t="s">
        <v>26</v>
      </c>
      <c r="D251" s="2">
        <v>0.74058299999999999</v>
      </c>
      <c r="E251" s="2">
        <v>0.65896399999999999</v>
      </c>
      <c r="F251" s="2">
        <v>0.86711700000000003</v>
      </c>
      <c r="G251" s="2">
        <v>0.89371800000000001</v>
      </c>
      <c r="H251" s="2">
        <f t="shared" si="3"/>
        <v>0.79009550000000006</v>
      </c>
    </row>
    <row r="252" spans="2:8" x14ac:dyDescent="0.55000000000000004">
      <c r="C252" s="2" t="s">
        <v>28</v>
      </c>
      <c r="D252" s="2">
        <v>2.4354140000000002</v>
      </c>
      <c r="E252" s="2">
        <v>3.1463519999999998</v>
      </c>
      <c r="F252" s="2">
        <v>1.619469</v>
      </c>
      <c r="G252" s="2">
        <v>1.131065</v>
      </c>
      <c r="H252" s="2">
        <f t="shared" si="3"/>
        <v>2.083075</v>
      </c>
    </row>
    <row r="253" spans="2:8" x14ac:dyDescent="0.55000000000000004">
      <c r="C253" s="2" t="s">
        <v>30</v>
      </c>
      <c r="D253" s="2">
        <v>11.717376</v>
      </c>
      <c r="E253" s="2">
        <v>15.941682999999999</v>
      </c>
      <c r="F253" s="2">
        <v>10.02772</v>
      </c>
      <c r="G253" s="2">
        <v>5.6418350000000004</v>
      </c>
      <c r="H253" s="2">
        <f t="shared" si="3"/>
        <v>10.8321535</v>
      </c>
    </row>
    <row r="254" spans="2:8" x14ac:dyDescent="0.55000000000000004">
      <c r="B254" s="2" t="s">
        <v>37</v>
      </c>
      <c r="C254" s="2" t="s">
        <v>22</v>
      </c>
      <c r="D254" s="2">
        <v>0.91840200000000005</v>
      </c>
      <c r="E254" s="2">
        <v>0.76672600000000002</v>
      </c>
      <c r="F254" s="2">
        <v>0.91910700000000001</v>
      </c>
      <c r="G254" s="2">
        <v>0.89777300000000004</v>
      </c>
      <c r="H254" s="2">
        <f t="shared" si="3"/>
        <v>0.875502</v>
      </c>
    </row>
    <row r="255" spans="2:8" x14ac:dyDescent="0.55000000000000004">
      <c r="C255" s="2" t="s">
        <v>24</v>
      </c>
      <c r="D255" s="2">
        <v>0.41709000000000002</v>
      </c>
      <c r="E255" s="2">
        <v>0.66487499999999999</v>
      </c>
      <c r="F255" s="2">
        <v>0.46992400000000001</v>
      </c>
      <c r="G255" s="2">
        <v>0.49399599999999999</v>
      </c>
      <c r="H255" s="2">
        <f t="shared" si="3"/>
        <v>0.51147125000000004</v>
      </c>
    </row>
    <row r="256" spans="2:8" x14ac:dyDescent="0.55000000000000004">
      <c r="C256" s="2" t="s">
        <v>26</v>
      </c>
      <c r="D256" s="2">
        <v>0.66182799999999997</v>
      </c>
      <c r="E256" s="2">
        <v>0.52791500000000002</v>
      </c>
      <c r="F256" s="2">
        <v>0.72961299999999996</v>
      </c>
      <c r="G256" s="2">
        <v>0.77761999999999998</v>
      </c>
      <c r="H256" s="2">
        <f t="shared" si="3"/>
        <v>0.67424400000000007</v>
      </c>
    </row>
    <row r="257" spans="1:20" x14ac:dyDescent="0.55000000000000004">
      <c r="C257" s="2" t="s">
        <v>28</v>
      </c>
      <c r="D257" s="2">
        <v>3.7721079999999998</v>
      </c>
      <c r="E257" s="2">
        <v>5.5918330000000003</v>
      </c>
      <c r="F257" s="2">
        <v>3.427451</v>
      </c>
      <c r="G257" s="2">
        <v>2.310905</v>
      </c>
      <c r="H257" s="2">
        <f t="shared" si="3"/>
        <v>3.77557425</v>
      </c>
    </row>
    <row r="258" spans="1:20" x14ac:dyDescent="0.55000000000000004">
      <c r="C258" s="2" t="s">
        <v>30</v>
      </c>
      <c r="D258" s="2">
        <v>18.398237000000002</v>
      </c>
      <c r="E258" s="2">
        <v>24.369122000000001</v>
      </c>
      <c r="F258" s="2">
        <v>17.378805</v>
      </c>
      <c r="G258" s="2">
        <v>9.4261979999999994</v>
      </c>
      <c r="H258" s="2">
        <f t="shared" si="3"/>
        <v>17.3930905</v>
      </c>
      <c r="P258" s="2" t="s">
        <v>38</v>
      </c>
      <c r="Q258" s="2" cm="1">
        <f t="array" ref="Q258:T258">D255:G255/D258:G258</f>
        <v>2.2670106923831885E-2</v>
      </c>
      <c r="R258" s="2">
        <v>2.728350245856211E-2</v>
      </c>
      <c r="S258" s="2">
        <v>2.7040064032020614E-2</v>
      </c>
      <c r="T258" s="2">
        <v>5.240670734902874E-2</v>
      </c>
    </row>
    <row r="259" spans="1:20" x14ac:dyDescent="0.55000000000000004">
      <c r="B259" s="2" t="s">
        <v>39</v>
      </c>
      <c r="C259" s="2" t="s">
        <v>22</v>
      </c>
      <c r="D259" s="2">
        <v>0.96036200000000005</v>
      </c>
      <c r="E259" s="2">
        <v>0.93165799999999999</v>
      </c>
      <c r="F259" s="2">
        <v>0.97915200000000002</v>
      </c>
      <c r="G259" s="2">
        <v>0.97267000000000003</v>
      </c>
      <c r="H259" s="2">
        <f t="shared" si="3"/>
        <v>0.9609605</v>
      </c>
    </row>
    <row r="260" spans="1:20" x14ac:dyDescent="0.55000000000000004">
      <c r="C260" s="2" t="s">
        <v>24</v>
      </c>
      <c r="D260" s="2">
        <v>0.31195699999999998</v>
      </c>
      <c r="E260" s="2">
        <v>0.35875499999999999</v>
      </c>
      <c r="F260" s="2">
        <v>0.32328400000000002</v>
      </c>
      <c r="G260" s="2">
        <v>0.30581599999999998</v>
      </c>
      <c r="H260" s="2">
        <f t="shared" si="3"/>
        <v>0.32495299999999999</v>
      </c>
    </row>
    <row r="261" spans="1:20" x14ac:dyDescent="0.55000000000000004">
      <c r="C261" s="2" t="s">
        <v>26</v>
      </c>
      <c r="D261" s="2">
        <v>0.75165199999999999</v>
      </c>
      <c r="E261" s="2">
        <v>0.73962899999999998</v>
      </c>
      <c r="F261" s="2">
        <v>0.86628300000000003</v>
      </c>
      <c r="G261" s="2">
        <v>0.89115999999999995</v>
      </c>
      <c r="H261" s="2">
        <f t="shared" si="3"/>
        <v>0.81218100000000004</v>
      </c>
    </row>
    <row r="262" spans="1:20" x14ac:dyDescent="0.55000000000000004">
      <c r="C262" s="2" t="s">
        <v>28</v>
      </c>
      <c r="D262" s="2">
        <v>2.3724180000000001</v>
      </c>
      <c r="E262" s="2">
        <v>2.5843250000000002</v>
      </c>
      <c r="F262" s="2">
        <v>1.7177309999999999</v>
      </c>
      <c r="G262" s="2">
        <v>1.194849</v>
      </c>
      <c r="H262" s="2">
        <f t="shared" si="3"/>
        <v>1.9673307499999999</v>
      </c>
    </row>
    <row r="263" spans="1:20" x14ac:dyDescent="0.55000000000000004">
      <c r="C263" s="2" t="s">
        <v>30</v>
      </c>
      <c r="D263" s="2">
        <v>10.813506</v>
      </c>
      <c r="E263" s="2">
        <v>18.150386000000001</v>
      </c>
      <c r="F263" s="2">
        <v>10.850232999999999</v>
      </c>
      <c r="G263" s="2">
        <v>6.0600690000000004</v>
      </c>
      <c r="H263" s="2">
        <f t="shared" si="3"/>
        <v>11.468548500000001</v>
      </c>
    </row>
    <row r="264" spans="1:20" x14ac:dyDescent="0.55000000000000004">
      <c r="A264" s="2" t="s">
        <v>20</v>
      </c>
      <c r="B264" s="2" t="s">
        <v>21</v>
      </c>
      <c r="C264" s="2" t="s">
        <v>22</v>
      </c>
      <c r="D264" s="2">
        <v>0.95829299999999995</v>
      </c>
      <c r="E264" s="2">
        <v>0.91887300000000005</v>
      </c>
      <c r="F264" s="2">
        <v>0.97702699999999998</v>
      </c>
      <c r="G264" s="2">
        <v>0.97001599999999999</v>
      </c>
      <c r="H264" s="2">
        <f t="shared" si="3"/>
        <v>0.95605224999999994</v>
      </c>
    </row>
    <row r="265" spans="1:20" x14ac:dyDescent="0.55000000000000004">
      <c r="A265" s="2">
        <v>1.5</v>
      </c>
      <c r="C265" s="2" t="s">
        <v>23</v>
      </c>
      <c r="D265" s="2">
        <v>1.76E-4</v>
      </c>
      <c r="E265" s="2">
        <v>2.529E-3</v>
      </c>
      <c r="F265" s="2">
        <v>2.5300000000000002E-4</v>
      </c>
      <c r="G265" s="2">
        <v>2.52E-4</v>
      </c>
      <c r="H265" s="2">
        <f>(1/COUNT(D265:G265))*SQRT(SUMSQ(D265:G265))</f>
        <v>6.4003564353870166E-4</v>
      </c>
    </row>
    <row r="266" spans="1:20" x14ac:dyDescent="0.55000000000000004">
      <c r="C266" s="2" t="s">
        <v>24</v>
      </c>
      <c r="D266" s="2">
        <v>0.31730000000000003</v>
      </c>
      <c r="E266" s="2">
        <v>0.392926</v>
      </c>
      <c r="F266" s="2">
        <v>0.32050099999999998</v>
      </c>
      <c r="G266" s="2">
        <v>0.30668899999999999</v>
      </c>
      <c r="H266" s="2">
        <f>AVERAGE(D266:G266)</f>
        <v>0.33435399999999998</v>
      </c>
    </row>
    <row r="267" spans="1:20" x14ac:dyDescent="0.55000000000000004">
      <c r="C267" s="2" t="s">
        <v>25</v>
      </c>
      <c r="D267" s="2">
        <v>5.5000000000000003E-4</v>
      </c>
      <c r="E267" s="2">
        <v>6.0720000000000001E-3</v>
      </c>
      <c r="F267" s="2">
        <v>1.0380000000000001E-3</v>
      </c>
      <c r="G267" s="2">
        <v>8.9999999999999998E-4</v>
      </c>
      <c r="H267" s="2">
        <f>(1/COUNT(D267:G267))*SQRT(SUMSQ(D267:G267))</f>
        <v>1.562432558544528E-3</v>
      </c>
    </row>
    <row r="268" spans="1:20" x14ac:dyDescent="0.55000000000000004">
      <c r="C268" s="2" t="s">
        <v>26</v>
      </c>
      <c r="D268" s="2">
        <v>0.74525200000000003</v>
      </c>
      <c r="E268" s="2">
        <v>0.71218300000000001</v>
      </c>
      <c r="F268" s="2">
        <v>0.86194899999999997</v>
      </c>
      <c r="G268" s="2">
        <v>0.88860700000000004</v>
      </c>
      <c r="H268" s="2">
        <f>AVERAGE(D268:G268)</f>
        <v>0.80199774999999995</v>
      </c>
    </row>
    <row r="269" spans="1:20" x14ac:dyDescent="0.55000000000000004">
      <c r="C269" s="2" t="s">
        <v>27</v>
      </c>
      <c r="D269" s="2">
        <v>3.68E-4</v>
      </c>
      <c r="E269" s="2">
        <v>4.8279999999999998E-3</v>
      </c>
      <c r="F269" s="2">
        <v>4.9700000000000005E-4</v>
      </c>
      <c r="G269" s="2">
        <v>4.4099999999999999E-4</v>
      </c>
      <c r="H269" s="2">
        <f>(1/COUNT(D269:G269))*SQRT(SUMSQ(D269:G269))</f>
        <v>1.2218453768787605E-3</v>
      </c>
    </row>
    <row r="270" spans="1:20" x14ac:dyDescent="0.55000000000000004">
      <c r="C270" s="2" t="s">
        <v>28</v>
      </c>
      <c r="D270" s="2">
        <v>2.3567260000000001</v>
      </c>
      <c r="E270" s="2">
        <v>2.7079200000000001</v>
      </c>
      <c r="F270" s="2">
        <v>1.624099</v>
      </c>
      <c r="G270" s="2">
        <v>1.1905650000000001</v>
      </c>
      <c r="H270" s="2">
        <f>AVERAGE(D270:G270)</f>
        <v>1.9698275000000001</v>
      </c>
    </row>
    <row r="271" spans="1:20" x14ac:dyDescent="0.55000000000000004">
      <c r="C271" s="2" t="s">
        <v>29</v>
      </c>
      <c r="D271" s="2">
        <v>4.0309999999999999E-3</v>
      </c>
      <c r="E271" s="2">
        <v>4.0249E-2</v>
      </c>
      <c r="F271" s="2">
        <v>1.3011E-2</v>
      </c>
      <c r="G271" s="2">
        <v>5.3280000000000003E-3</v>
      </c>
      <c r="H271" s="2">
        <f>(1/COUNT(D271:G271))*SQRT(SUMSQ(D271:G271))</f>
        <v>1.0706028287254803E-2</v>
      </c>
    </row>
    <row r="272" spans="1:20" x14ac:dyDescent="0.55000000000000004">
      <c r="C272" s="2" t="s">
        <v>30</v>
      </c>
      <c r="D272" s="2">
        <v>10.557138</v>
      </c>
      <c r="E272" s="2">
        <v>13.218429</v>
      </c>
      <c r="F272" s="2">
        <v>10.068562999999999</v>
      </c>
      <c r="G272" s="2">
        <v>5.857367</v>
      </c>
      <c r="H272" s="2">
        <f>AVERAGE(D272:G272)</f>
        <v>9.9253742500000008</v>
      </c>
    </row>
    <row r="273" spans="2:8" x14ac:dyDescent="0.55000000000000004">
      <c r="C273" s="2" t="s">
        <v>31</v>
      </c>
      <c r="D273" s="2">
        <v>4.2077000000000003E-2</v>
      </c>
      <c r="E273" s="2">
        <v>9.0371000000000007E-2</v>
      </c>
      <c r="F273" s="2">
        <v>5.4030000000000002E-2</v>
      </c>
      <c r="G273" s="2">
        <v>1.6202000000000001E-2</v>
      </c>
      <c r="H273" s="2">
        <f>(1/COUNT(D273:G273))*SQRT(SUMSQ(D273:G273))</f>
        <v>2.8634700620488424E-2</v>
      </c>
    </row>
    <row r="274" spans="2:8" x14ac:dyDescent="0.55000000000000004">
      <c r="B274" s="2" t="s">
        <v>32</v>
      </c>
      <c r="C274" s="2" t="s">
        <v>22</v>
      </c>
      <c r="D274" s="2">
        <v>0.95717600000000003</v>
      </c>
      <c r="E274" s="2">
        <v>0.92536600000000002</v>
      </c>
      <c r="F274" s="2">
        <v>0.97584599999999999</v>
      </c>
      <c r="G274" s="2">
        <v>0.96793700000000005</v>
      </c>
      <c r="H274" s="2">
        <f>AVERAGE(D274:G274)</f>
        <v>0.95658124999999994</v>
      </c>
    </row>
    <row r="275" spans="2:8" x14ac:dyDescent="0.55000000000000004">
      <c r="C275" s="2" t="s">
        <v>23</v>
      </c>
      <c r="D275" s="2">
        <v>7.1199999999999996E-4</v>
      </c>
      <c r="E275" s="2">
        <v>4.0369999999999998E-3</v>
      </c>
      <c r="F275" s="2">
        <v>5.6099999999999998E-4</v>
      </c>
      <c r="G275" s="2">
        <v>4.5399999999999998E-4</v>
      </c>
      <c r="H275" s="2">
        <f>(1/COUNT(D275:G275))*SQRT(SUMSQ(D275:G275))</f>
        <v>1.0405872740909337E-3</v>
      </c>
    </row>
    <row r="276" spans="2:8" x14ac:dyDescent="0.55000000000000004">
      <c r="C276" s="2" t="s">
        <v>24</v>
      </c>
      <c r="D276" s="2">
        <v>0.31906400000000001</v>
      </c>
      <c r="E276" s="2">
        <v>0.37678499999999998</v>
      </c>
      <c r="F276" s="2">
        <v>0.325152</v>
      </c>
      <c r="G276" s="2">
        <v>0.314446</v>
      </c>
      <c r="H276" s="2">
        <f>AVERAGE(D276:G276)</f>
        <v>0.33386175000000001</v>
      </c>
    </row>
    <row r="277" spans="2:8" x14ac:dyDescent="0.55000000000000004">
      <c r="C277" s="2" t="s">
        <v>25</v>
      </c>
      <c r="D277" s="2">
        <v>2.1440000000000001E-3</v>
      </c>
      <c r="E277" s="2">
        <v>8.3669999999999994E-3</v>
      </c>
      <c r="F277" s="2">
        <v>1.835E-3</v>
      </c>
      <c r="G277" s="2">
        <v>1.4710000000000001E-3</v>
      </c>
      <c r="H277" s="2">
        <f>(1/COUNT(D277:G277))*SQRT(SUMSQ(D277:G277))</f>
        <v>2.2379467570744394E-3</v>
      </c>
    </row>
    <row r="278" spans="2:8" x14ac:dyDescent="0.55000000000000004">
      <c r="C278" s="2" t="s">
        <v>26</v>
      </c>
      <c r="D278" s="2">
        <v>0.74332399999999998</v>
      </c>
      <c r="E278" s="2">
        <v>0.72462499999999996</v>
      </c>
      <c r="F278" s="2">
        <v>0.85778500000000002</v>
      </c>
      <c r="G278" s="2">
        <v>0.88442500000000002</v>
      </c>
      <c r="H278" s="2">
        <f>AVERAGE(D278:G278)</f>
        <v>0.80253975</v>
      </c>
    </row>
    <row r="279" spans="2:8" x14ac:dyDescent="0.55000000000000004">
      <c r="C279" s="2" t="s">
        <v>27</v>
      </c>
      <c r="D279" s="2">
        <v>1.4339999999999999E-3</v>
      </c>
      <c r="E279" s="2">
        <v>6.1859999999999997E-3</v>
      </c>
      <c r="F279" s="2">
        <v>1.5820000000000001E-3</v>
      </c>
      <c r="G279" s="2">
        <v>7.4100000000000001E-4</v>
      </c>
      <c r="H279" s="2">
        <f>(1/COUNT(D279:G279))*SQRT(SUMSQ(D279:G279))</f>
        <v>1.6464878719565472E-3</v>
      </c>
    </row>
    <row r="280" spans="2:8" x14ac:dyDescent="0.55000000000000004">
      <c r="C280" s="2" t="s">
        <v>28</v>
      </c>
      <c r="D280" s="2">
        <v>2.420264</v>
      </c>
      <c r="E280" s="2">
        <v>2.64988</v>
      </c>
      <c r="F280" s="2">
        <v>1.669815</v>
      </c>
      <c r="G280" s="2">
        <v>1.230756</v>
      </c>
      <c r="H280" s="2">
        <f>AVERAGE(D280:G280)</f>
        <v>1.9926787500000001</v>
      </c>
    </row>
    <row r="281" spans="2:8" x14ac:dyDescent="0.55000000000000004">
      <c r="C281" s="2" t="s">
        <v>29</v>
      </c>
      <c r="D281" s="2">
        <v>2.0412E-2</v>
      </c>
      <c r="E281" s="2">
        <v>6.4044000000000004E-2</v>
      </c>
      <c r="F281" s="2">
        <v>2.1339E-2</v>
      </c>
      <c r="G281" s="2">
        <v>7.953E-3</v>
      </c>
      <c r="H281" s="2">
        <f>(1/COUNT(D281:G281))*SQRT(SUMSQ(D281:G281))</f>
        <v>1.7742756990529969E-2</v>
      </c>
    </row>
    <row r="282" spans="2:8" x14ac:dyDescent="0.55000000000000004">
      <c r="C282" s="2" t="s">
        <v>30</v>
      </c>
      <c r="D282" s="2">
        <v>11.006197999999999</v>
      </c>
      <c r="E282" s="2">
        <v>14.493883</v>
      </c>
      <c r="F282" s="2">
        <v>10.227247</v>
      </c>
      <c r="G282" s="2">
        <v>5.953894</v>
      </c>
      <c r="H282" s="2">
        <f>AVERAGE(D282:G282)</f>
        <v>10.4203055</v>
      </c>
    </row>
    <row r="283" spans="2:8" x14ac:dyDescent="0.55000000000000004">
      <c r="C283" s="2" t="s">
        <v>31</v>
      </c>
      <c r="D283" s="2">
        <v>0.119073</v>
      </c>
      <c r="E283" s="2">
        <v>0.225186</v>
      </c>
      <c r="F283" s="2">
        <v>0.10731</v>
      </c>
      <c r="G283" s="2">
        <v>2.5499000000000001E-2</v>
      </c>
      <c r="H283" s="2">
        <f>(1/COUNT(D283:G283))*SQRT(SUMSQ(D283:G283))</f>
        <v>6.9395942346256803E-2</v>
      </c>
    </row>
    <row r="284" spans="2:8" x14ac:dyDescent="0.55000000000000004">
      <c r="B284" s="2" t="s">
        <v>33</v>
      </c>
      <c r="C284" s="2" t="s">
        <v>22</v>
      </c>
      <c r="D284" s="2">
        <v>0.95827200000000001</v>
      </c>
      <c r="E284" s="2">
        <v>0.91820599999999997</v>
      </c>
      <c r="F284" s="2">
        <v>0.97736199999999995</v>
      </c>
      <c r="G284" s="2">
        <v>0.97021000000000002</v>
      </c>
      <c r="H284" s="2">
        <f>AVERAGE(D284:G284)</f>
        <v>0.95601249999999993</v>
      </c>
    </row>
    <row r="285" spans="2:8" x14ac:dyDescent="0.55000000000000004">
      <c r="C285" s="2" t="s">
        <v>23</v>
      </c>
      <c r="D285" s="2">
        <v>8.3999999999999995E-5</v>
      </c>
      <c r="E285" s="2">
        <v>9.6000000000000002E-4</v>
      </c>
      <c r="F285" s="2">
        <v>1.46E-4</v>
      </c>
      <c r="G285" s="2">
        <v>1.73E-4</v>
      </c>
      <c r="H285" s="2">
        <f>(1/COUNT(D285:G285))*SQRT(SUMSQ(D285:G285))</f>
        <v>2.4747487246183197E-4</v>
      </c>
    </row>
    <row r="286" spans="2:8" x14ac:dyDescent="0.55000000000000004">
      <c r="C286" s="2" t="s">
        <v>24</v>
      </c>
      <c r="D286" s="2">
        <v>0.31749500000000003</v>
      </c>
      <c r="E286" s="2">
        <v>0.39294200000000001</v>
      </c>
      <c r="F286" s="2">
        <v>0.31979299999999999</v>
      </c>
      <c r="G286" s="2">
        <v>0.30612600000000001</v>
      </c>
      <c r="H286" s="2">
        <f>AVERAGE(D286:G286)</f>
        <v>0.33408899999999997</v>
      </c>
    </row>
    <row r="287" spans="2:8" x14ac:dyDescent="0.55000000000000004">
      <c r="C287" s="2" t="s">
        <v>25</v>
      </c>
      <c r="D287" s="2">
        <v>3.0400000000000002E-4</v>
      </c>
      <c r="E287" s="2">
        <v>2.3410000000000002E-3</v>
      </c>
      <c r="F287" s="2">
        <v>4.1599999999999997E-4</v>
      </c>
      <c r="G287" s="2">
        <v>4.8700000000000002E-4</v>
      </c>
      <c r="H287" s="2">
        <f>(1/COUNT(D287:G287))*SQRT(SUMSQ(D287:G287))</f>
        <v>6.1150030662298119E-4</v>
      </c>
    </row>
    <row r="288" spans="2:8" x14ac:dyDescent="0.55000000000000004">
      <c r="C288" s="2" t="s">
        <v>26</v>
      </c>
      <c r="D288" s="2">
        <v>0.74534199999999995</v>
      </c>
      <c r="E288" s="2">
        <v>0.71198300000000003</v>
      </c>
      <c r="F288" s="2">
        <v>0.86301300000000003</v>
      </c>
      <c r="G288" s="2">
        <v>0.88902499999999995</v>
      </c>
      <c r="H288" s="2">
        <f>AVERAGE(D288:G288)</f>
        <v>0.80234074999999994</v>
      </c>
    </row>
    <row r="289" spans="2:8" x14ac:dyDescent="0.55000000000000004">
      <c r="C289" s="2" t="s">
        <v>27</v>
      </c>
      <c r="D289" s="2">
        <v>2.22E-4</v>
      </c>
      <c r="E289" s="2">
        <v>1.8979999999999999E-3</v>
      </c>
      <c r="F289" s="2">
        <v>3.7500000000000001E-4</v>
      </c>
      <c r="G289" s="2">
        <v>2.7500000000000002E-4</v>
      </c>
      <c r="H289" s="2">
        <f>(1/COUNT(D289:G289))*SQRT(SUMSQ(D289:G289))</f>
        <v>4.9167685017702429E-4</v>
      </c>
    </row>
    <row r="290" spans="2:8" x14ac:dyDescent="0.55000000000000004">
      <c r="C290" s="2" t="s">
        <v>28</v>
      </c>
      <c r="D290" s="2">
        <v>2.3559230000000002</v>
      </c>
      <c r="E290" s="2">
        <v>2.6982710000000001</v>
      </c>
      <c r="F290" s="2">
        <v>1.6166940000000001</v>
      </c>
      <c r="G290" s="2">
        <v>1.1869829999999999</v>
      </c>
      <c r="H290" s="2">
        <f>AVERAGE(D290:G290)</f>
        <v>1.9644677500000001</v>
      </c>
    </row>
    <row r="291" spans="2:8" x14ac:dyDescent="0.55000000000000004">
      <c r="C291" s="2" t="s">
        <v>29</v>
      </c>
      <c r="D291" s="2">
        <v>3.1740000000000002E-3</v>
      </c>
      <c r="E291" s="2">
        <v>1.9619999999999999E-2</v>
      </c>
      <c r="F291" s="2">
        <v>5.548E-3</v>
      </c>
      <c r="G291" s="2">
        <v>3.0100000000000001E-3</v>
      </c>
      <c r="H291" s="2">
        <f>(1/COUNT(D291:G291))*SQRT(SUMSQ(D291:G291))</f>
        <v>5.2133187606360687E-3</v>
      </c>
    </row>
    <row r="292" spans="2:8" x14ac:dyDescent="0.55000000000000004">
      <c r="C292" s="2" t="s">
        <v>30</v>
      </c>
      <c r="D292" s="2">
        <v>10.525244000000001</v>
      </c>
      <c r="E292" s="2">
        <v>13.163251000000001</v>
      </c>
      <c r="F292" s="2">
        <v>10.103327999999999</v>
      </c>
      <c r="G292" s="2">
        <v>5.8511389999999999</v>
      </c>
      <c r="H292" s="2">
        <f>AVERAGE(D292:G292)</f>
        <v>9.9107404999999993</v>
      </c>
    </row>
    <row r="293" spans="2:8" x14ac:dyDescent="0.55000000000000004">
      <c r="C293" s="2" t="s">
        <v>31</v>
      </c>
      <c r="D293" s="2">
        <v>1.7663999999999999E-2</v>
      </c>
      <c r="E293" s="2">
        <v>7.5702000000000005E-2</v>
      </c>
      <c r="F293" s="2">
        <v>3.3307999999999997E-2</v>
      </c>
      <c r="G293" s="2">
        <v>1.0364999999999999E-2</v>
      </c>
      <c r="H293" s="2">
        <f>(1/COUNT(D293:G293))*SQRT(SUMSQ(D293:G293))</f>
        <v>2.1300918097877847E-2</v>
      </c>
    </row>
    <row r="294" spans="2:8" x14ac:dyDescent="0.55000000000000004">
      <c r="B294" s="2" t="s">
        <v>34</v>
      </c>
      <c r="C294" s="2" t="s">
        <v>22</v>
      </c>
      <c r="D294" s="2">
        <v>0.95747199999999999</v>
      </c>
      <c r="E294" s="2">
        <v>0.91154299999999999</v>
      </c>
      <c r="F294" s="2">
        <v>0.97581799999999996</v>
      </c>
      <c r="G294" s="2">
        <v>0.96657000000000004</v>
      </c>
      <c r="H294" s="2">
        <f>AVERAGE(D294:G294)</f>
        <v>0.95285074999999997</v>
      </c>
    </row>
    <row r="295" spans="2:8" x14ac:dyDescent="0.55000000000000004">
      <c r="C295" s="2" t="s">
        <v>23</v>
      </c>
      <c r="D295" s="2">
        <v>1.1199999999999999E-3</v>
      </c>
      <c r="E295" s="2">
        <v>6.5630000000000003E-3</v>
      </c>
      <c r="F295" s="2">
        <v>1.7240000000000001E-3</v>
      </c>
      <c r="G295" s="2">
        <v>2.7929999999999999E-3</v>
      </c>
      <c r="H295" s="2">
        <f>(1/COUNT(D295:G295))*SQRT(SUMSQ(D295:G295))</f>
        <v>1.8557409908174147E-3</v>
      </c>
    </row>
    <row r="296" spans="2:8" x14ac:dyDescent="0.55000000000000004">
      <c r="C296" s="2" t="s">
        <v>24</v>
      </c>
      <c r="D296" s="2">
        <v>0.31740099999999999</v>
      </c>
      <c r="E296" s="2">
        <v>0.40777999999999998</v>
      </c>
      <c r="F296" s="2">
        <v>0.32783299999999999</v>
      </c>
      <c r="G296" s="2">
        <v>0.31996400000000003</v>
      </c>
      <c r="H296" s="2">
        <f>AVERAGE(D296:G296)</f>
        <v>0.34324449999999995</v>
      </c>
    </row>
    <row r="297" spans="2:8" x14ac:dyDescent="0.55000000000000004">
      <c r="C297" s="2" t="s">
        <v>25</v>
      </c>
      <c r="D297" s="2">
        <v>3.117E-3</v>
      </c>
      <c r="E297" s="2">
        <v>1.4217E-2</v>
      </c>
      <c r="F297" s="2">
        <v>4.8630000000000001E-3</v>
      </c>
      <c r="G297" s="2">
        <v>8.352E-3</v>
      </c>
      <c r="H297" s="2">
        <f>(1/COUNT(D297:G297))*SQRT(SUMSQ(D297:G297))</f>
        <v>4.3678044470305674E-3</v>
      </c>
    </row>
    <row r="298" spans="2:8" x14ac:dyDescent="0.55000000000000004">
      <c r="C298" s="2" t="s">
        <v>26</v>
      </c>
      <c r="D298" s="2">
        <v>0.74484099999999998</v>
      </c>
      <c r="E298" s="2">
        <v>0.70149700000000004</v>
      </c>
      <c r="F298" s="2">
        <v>0.85727500000000001</v>
      </c>
      <c r="G298" s="2">
        <v>0.881467</v>
      </c>
      <c r="H298" s="2">
        <f>AVERAGE(D298:G298)</f>
        <v>0.79627000000000003</v>
      </c>
    </row>
    <row r="299" spans="2:8" x14ac:dyDescent="0.55000000000000004">
      <c r="C299" s="2" t="s">
        <v>27</v>
      </c>
      <c r="D299" s="2">
        <v>2.6069999999999999E-3</v>
      </c>
      <c r="E299" s="2">
        <v>1.0096000000000001E-2</v>
      </c>
      <c r="F299" s="2">
        <v>5.0480000000000004E-3</v>
      </c>
      <c r="G299" s="2">
        <v>4.8789999999999997E-3</v>
      </c>
      <c r="H299" s="2">
        <f>(1/COUNT(D299:G299))*SQRT(SUMSQ(D299:G299))</f>
        <v>3.14257666970911E-3</v>
      </c>
    </row>
    <row r="300" spans="2:8" x14ac:dyDescent="0.55000000000000004">
      <c r="C300" s="2" t="s">
        <v>28</v>
      </c>
      <c r="D300" s="2">
        <v>2.3853599999999999</v>
      </c>
      <c r="E300" s="2">
        <v>2.853097</v>
      </c>
      <c r="F300" s="2">
        <v>1.725579</v>
      </c>
      <c r="G300" s="2">
        <v>1.262991</v>
      </c>
      <c r="H300" s="2">
        <f>AVERAGE(D300:G300)</f>
        <v>2.0567567499999999</v>
      </c>
    </row>
    <row r="301" spans="2:8" x14ac:dyDescent="0.55000000000000004">
      <c r="C301" s="2" t="s">
        <v>29</v>
      </c>
      <c r="D301" s="2">
        <v>2.1829999999999999E-2</v>
      </c>
      <c r="E301" s="2">
        <v>0.1075</v>
      </c>
      <c r="F301" s="2">
        <v>5.4998999999999999E-2</v>
      </c>
      <c r="G301" s="2">
        <v>4.5981000000000001E-2</v>
      </c>
      <c r="H301" s="2">
        <f>(1/COUNT(D301:G301))*SQRT(SUMSQ(D301:G301))</f>
        <v>3.2760438471958829E-2</v>
      </c>
    </row>
    <row r="302" spans="2:8" x14ac:dyDescent="0.55000000000000004">
      <c r="C302" s="2" t="s">
        <v>30</v>
      </c>
      <c r="D302" s="2">
        <v>11.022403000000001</v>
      </c>
      <c r="E302" s="2">
        <v>14.184623</v>
      </c>
      <c r="F302" s="2">
        <v>10.575305</v>
      </c>
      <c r="G302" s="2">
        <v>5.9670740000000002</v>
      </c>
      <c r="H302" s="2">
        <f>AVERAGE(D302:G302)</f>
        <v>10.437351249999999</v>
      </c>
    </row>
    <row r="303" spans="2:8" x14ac:dyDescent="0.55000000000000004">
      <c r="C303" s="2" t="s">
        <v>31</v>
      </c>
      <c r="D303" s="2">
        <v>0.141818</v>
      </c>
      <c r="E303" s="2">
        <v>0.26259199999999999</v>
      </c>
      <c r="F303" s="2">
        <v>0.174979</v>
      </c>
      <c r="G303" s="2">
        <v>0.102579</v>
      </c>
      <c r="H303" s="2">
        <f>(1/COUNT(D303:G303))*SQRT(SUMSQ(D303:G303))</f>
        <v>9.0210519505072126E-2</v>
      </c>
    </row>
    <row r="304" spans="2:8" x14ac:dyDescent="0.55000000000000004">
      <c r="B304" s="2" t="s">
        <v>35</v>
      </c>
      <c r="C304" s="2" t="s">
        <v>22</v>
      </c>
      <c r="D304" s="2">
        <v>0.93831299999999995</v>
      </c>
      <c r="E304" s="2">
        <v>0.84958599999999995</v>
      </c>
      <c r="F304" s="2">
        <v>0.97340300000000002</v>
      </c>
      <c r="G304" s="2">
        <v>0.96469000000000005</v>
      </c>
      <c r="H304" s="2">
        <f>AVERAGE(E304:G304)</f>
        <v>0.92922633333333327</v>
      </c>
    </row>
    <row r="305" spans="2:8" x14ac:dyDescent="0.55000000000000004">
      <c r="C305" s="2" t="s">
        <v>23</v>
      </c>
      <c r="D305" s="2">
        <v>1.0690000000000001E-3</v>
      </c>
      <c r="E305" s="2">
        <v>3.248E-3</v>
      </c>
      <c r="F305" s="2">
        <v>5.71E-4</v>
      </c>
      <c r="G305" s="2">
        <v>6.3000000000000003E-4</v>
      </c>
      <c r="H305" s="2">
        <f>(1/COUNT(E305:G305))*SQRT(SUMSQ(E305:G305))</f>
        <v>1.1191487340335461E-3</v>
      </c>
    </row>
    <row r="306" spans="2:8" x14ac:dyDescent="0.55000000000000004">
      <c r="C306" s="2" t="s">
        <v>24</v>
      </c>
      <c r="D306" s="2">
        <v>0.36587700000000001</v>
      </c>
      <c r="E306" s="2">
        <v>0.534196</v>
      </c>
      <c r="F306" s="2">
        <v>0.33546900000000002</v>
      </c>
      <c r="G306" s="2">
        <v>0.32924900000000001</v>
      </c>
      <c r="H306" s="2">
        <f>AVERAGE(E306:G306)</f>
        <v>0.39963799999999999</v>
      </c>
    </row>
    <row r="307" spans="2:8" x14ac:dyDescent="0.55000000000000004">
      <c r="C307" s="2" t="s">
        <v>25</v>
      </c>
      <c r="D307" s="2">
        <v>2.4780000000000002E-3</v>
      </c>
      <c r="E307" s="2">
        <v>6.0559999999999998E-3</v>
      </c>
      <c r="F307" s="2">
        <v>1.763E-3</v>
      </c>
      <c r="G307" s="2">
        <v>2.0660000000000001E-3</v>
      </c>
      <c r="H307" s="2">
        <f>(1/COUNT(E307:G307))*SQRT(SUMSQ(E307:G307))</f>
        <v>2.2123808442490183E-3</v>
      </c>
    </row>
    <row r="308" spans="2:8" x14ac:dyDescent="0.55000000000000004">
      <c r="C308" s="2" t="s">
        <v>26</v>
      </c>
      <c r="D308" s="2">
        <v>0.70595300000000005</v>
      </c>
      <c r="E308" s="2">
        <v>0.60619400000000001</v>
      </c>
      <c r="F308" s="2">
        <v>0.84882500000000005</v>
      </c>
      <c r="G308" s="2">
        <v>0.877027</v>
      </c>
      <c r="H308" s="2">
        <f>AVERAGE(E308:G308)</f>
        <v>0.77734866666666669</v>
      </c>
    </row>
    <row r="309" spans="2:8" x14ac:dyDescent="0.55000000000000004">
      <c r="C309" s="2" t="s">
        <v>27</v>
      </c>
      <c r="D309" s="2">
        <v>2.2009999999999998E-3</v>
      </c>
      <c r="E309" s="2">
        <v>4.2919999999999998E-3</v>
      </c>
      <c r="F309" s="2">
        <v>1.5790000000000001E-3</v>
      </c>
      <c r="G309" s="2">
        <v>1.096E-3</v>
      </c>
      <c r="H309" s="2">
        <f>(1/COUNT(E309:G309))*SQRT(SUMSQ(E309:G309))</f>
        <v>1.5675784935158216E-3</v>
      </c>
    </row>
    <row r="310" spans="2:8" x14ac:dyDescent="0.55000000000000004">
      <c r="C310" s="2" t="s">
        <v>28</v>
      </c>
      <c r="D310" s="2">
        <v>2.7083119999999998</v>
      </c>
      <c r="E310" s="2">
        <v>3.8626209999999999</v>
      </c>
      <c r="F310" s="2">
        <v>1.8131740000000001</v>
      </c>
      <c r="G310" s="2">
        <v>1.302243</v>
      </c>
      <c r="H310" s="2">
        <f>AVERAGE(E310:G310)</f>
        <v>2.3260126666666667</v>
      </c>
    </row>
    <row r="311" spans="2:8" x14ac:dyDescent="0.55000000000000004">
      <c r="C311" s="2" t="s">
        <v>29</v>
      </c>
      <c r="D311" s="2">
        <v>2.0990999999999999E-2</v>
      </c>
      <c r="E311" s="2">
        <v>5.3677999999999997E-2</v>
      </c>
      <c r="F311" s="2">
        <v>1.9047999999999999E-2</v>
      </c>
      <c r="G311" s="2">
        <v>1.2274999999999999E-2</v>
      </c>
      <c r="H311" s="2">
        <f>(1/COUNT(E311:G311))*SQRT(SUMSQ(E311:G311))</f>
        <v>1.9421722125839751E-2</v>
      </c>
    </row>
    <row r="312" spans="2:8" x14ac:dyDescent="0.55000000000000004">
      <c r="C312" s="2" t="s">
        <v>30</v>
      </c>
      <c r="D312" s="2">
        <v>12.528442</v>
      </c>
      <c r="E312" s="2">
        <v>19.684885000000001</v>
      </c>
      <c r="F312" s="2">
        <v>10.866529</v>
      </c>
      <c r="G312" s="2">
        <v>6.0869030000000004</v>
      </c>
      <c r="H312" s="2">
        <f>AVERAGE(E312:G312)</f>
        <v>12.212772333333334</v>
      </c>
    </row>
    <row r="313" spans="2:8" x14ac:dyDescent="0.55000000000000004">
      <c r="C313" s="2" t="s">
        <v>31</v>
      </c>
      <c r="D313" s="2">
        <v>0.10947</v>
      </c>
      <c r="E313" s="2">
        <v>0.163496</v>
      </c>
      <c r="F313" s="2">
        <v>8.2860000000000003E-2</v>
      </c>
      <c r="G313" s="2">
        <v>3.9889000000000001E-2</v>
      </c>
      <c r="H313" s="2">
        <f>(1/COUNT(E313:G313))*SQRT(SUMSQ(E313:G313))</f>
        <v>6.2528086077822301E-2</v>
      </c>
    </row>
    <row r="314" spans="2:8" x14ac:dyDescent="0.55000000000000004">
      <c r="B314" s="2" t="s">
        <v>36</v>
      </c>
      <c r="C314" s="2" t="s">
        <v>22</v>
      </c>
      <c r="D314" s="2">
        <v>0.95016999999999996</v>
      </c>
      <c r="E314" s="2">
        <v>0.88566199999999995</v>
      </c>
      <c r="F314" s="2">
        <v>0.97690100000000002</v>
      </c>
      <c r="G314" s="2">
        <v>0.97373900000000002</v>
      </c>
      <c r="H314" s="2">
        <f t="shared" ref="H314:H329" si="4">AVERAGE(D314:G314)</f>
        <v>0.94661799999999996</v>
      </c>
    </row>
    <row r="315" spans="2:8" x14ac:dyDescent="0.55000000000000004">
      <c r="C315" s="2" t="s">
        <v>24</v>
      </c>
      <c r="D315" s="2">
        <v>0.34253899999999998</v>
      </c>
      <c r="E315" s="2">
        <v>0.46881400000000001</v>
      </c>
      <c r="F315" s="2">
        <v>0.32502399999999998</v>
      </c>
      <c r="G315" s="2">
        <v>0.29923100000000002</v>
      </c>
      <c r="H315" s="2">
        <f t="shared" si="4"/>
        <v>0.358902</v>
      </c>
    </row>
    <row r="316" spans="2:8" x14ac:dyDescent="0.55000000000000004">
      <c r="C316" s="2" t="s">
        <v>26</v>
      </c>
      <c r="D316" s="2">
        <v>0.72841800000000001</v>
      </c>
      <c r="E316" s="2">
        <v>0.65040200000000004</v>
      </c>
      <c r="F316" s="2">
        <v>0.86009199999999997</v>
      </c>
      <c r="G316" s="2">
        <v>0.89366000000000001</v>
      </c>
      <c r="H316" s="2">
        <f t="shared" si="4"/>
        <v>0.78314300000000003</v>
      </c>
    </row>
    <row r="317" spans="2:8" x14ac:dyDescent="0.55000000000000004">
      <c r="C317" s="2" t="s">
        <v>28</v>
      </c>
      <c r="D317" s="2">
        <v>2.6303269999999999</v>
      </c>
      <c r="E317" s="2">
        <v>3.3617309999999998</v>
      </c>
      <c r="F317" s="2">
        <v>1.7112609999999999</v>
      </c>
      <c r="G317" s="2">
        <v>1.1447050000000001</v>
      </c>
      <c r="H317" s="2">
        <f t="shared" si="4"/>
        <v>2.2120060000000001</v>
      </c>
    </row>
    <row r="318" spans="2:8" x14ac:dyDescent="0.55000000000000004">
      <c r="C318" s="2" t="s">
        <v>30</v>
      </c>
      <c r="D318" s="2">
        <v>12.201558</v>
      </c>
      <c r="E318" s="2">
        <v>18.838328000000001</v>
      </c>
      <c r="F318" s="2">
        <v>10.763995</v>
      </c>
      <c r="G318" s="2">
        <v>5.8157310000000004</v>
      </c>
      <c r="H318" s="2">
        <f t="shared" si="4"/>
        <v>11.904903000000001</v>
      </c>
    </row>
    <row r="319" spans="2:8" x14ac:dyDescent="0.55000000000000004">
      <c r="B319" s="2" t="s">
        <v>37</v>
      </c>
      <c r="C319" s="2" t="s">
        <v>22</v>
      </c>
      <c r="D319" s="2">
        <v>0.92077399999999998</v>
      </c>
      <c r="E319" s="2">
        <v>0.72257099999999996</v>
      </c>
      <c r="F319" s="2">
        <v>0.93416299999999997</v>
      </c>
      <c r="G319" s="2">
        <v>0.91598500000000005</v>
      </c>
      <c r="H319" s="2">
        <f t="shared" si="4"/>
        <v>0.87337324999999999</v>
      </c>
    </row>
    <row r="320" spans="2:8" x14ac:dyDescent="0.55000000000000004">
      <c r="C320" s="2" t="s">
        <v>24</v>
      </c>
      <c r="D320" s="2">
        <v>0.415881</v>
      </c>
      <c r="E320" s="2">
        <v>0.73494099999999996</v>
      </c>
      <c r="F320" s="2">
        <v>0.42622900000000002</v>
      </c>
      <c r="G320" s="2">
        <v>0.43901400000000002</v>
      </c>
      <c r="H320" s="2">
        <f t="shared" si="4"/>
        <v>0.50401625000000005</v>
      </c>
    </row>
    <row r="321" spans="1:20" x14ac:dyDescent="0.55000000000000004">
      <c r="C321" s="2" t="s">
        <v>26</v>
      </c>
      <c r="D321" s="2">
        <v>0.667157</v>
      </c>
      <c r="E321" s="2">
        <v>0.49030899999999999</v>
      </c>
      <c r="F321" s="2">
        <v>0.76284799999999997</v>
      </c>
      <c r="G321" s="2">
        <v>0.80783300000000002</v>
      </c>
      <c r="H321" s="2">
        <f t="shared" si="4"/>
        <v>0.68203674999999997</v>
      </c>
    </row>
    <row r="322" spans="1:20" x14ac:dyDescent="0.55000000000000004">
      <c r="C322" s="2" t="s">
        <v>28</v>
      </c>
      <c r="D322" s="2">
        <v>3.7298049999999998</v>
      </c>
      <c r="E322" s="2">
        <v>6.6118629999999996</v>
      </c>
      <c r="F322" s="2">
        <v>2.9034219999999999</v>
      </c>
      <c r="G322" s="2">
        <v>1.9653499999999999</v>
      </c>
      <c r="H322" s="2">
        <f t="shared" si="4"/>
        <v>3.8026099999999996</v>
      </c>
    </row>
    <row r="323" spans="1:20" x14ac:dyDescent="0.55000000000000004">
      <c r="C323" s="2" t="s">
        <v>30</v>
      </c>
      <c r="D323" s="2">
        <v>17.37576</v>
      </c>
      <c r="E323" s="2">
        <v>26.349710999999999</v>
      </c>
      <c r="F323" s="2">
        <v>15.472231000000001</v>
      </c>
      <c r="G323" s="2">
        <v>8.6227800000000006</v>
      </c>
      <c r="H323" s="2">
        <f t="shared" si="4"/>
        <v>16.9551205</v>
      </c>
      <c r="P323" s="2" t="s">
        <v>38</v>
      </c>
      <c r="Q323" s="2" cm="1">
        <f t="array" ref="Q323:T323">D320:G320/D323:G323</f>
        <v>2.3934550200969629E-2</v>
      </c>
      <c r="R323" s="2">
        <v>2.7891804961352327E-2</v>
      </c>
      <c r="S323" s="2">
        <v>2.7547998733989946E-2</v>
      </c>
      <c r="T323" s="2">
        <v>5.0913278548217623E-2</v>
      </c>
    </row>
    <row r="324" spans="1:20" x14ac:dyDescent="0.55000000000000004">
      <c r="B324" s="2" t="s">
        <v>39</v>
      </c>
      <c r="C324" s="2" t="s">
        <v>22</v>
      </c>
      <c r="D324" s="2">
        <v>0.96072100000000005</v>
      </c>
      <c r="E324" s="2">
        <v>0.92405599999999999</v>
      </c>
      <c r="F324" s="2">
        <v>0.97814199999999996</v>
      </c>
      <c r="G324" s="2">
        <v>0.97182500000000005</v>
      </c>
      <c r="H324" s="2">
        <f t="shared" si="4"/>
        <v>0.95868600000000004</v>
      </c>
    </row>
    <row r="325" spans="1:20" x14ac:dyDescent="0.55000000000000004">
      <c r="C325" s="2" t="s">
        <v>24</v>
      </c>
      <c r="D325" s="2">
        <v>0.30978800000000001</v>
      </c>
      <c r="E325" s="2">
        <v>0.38463999999999998</v>
      </c>
      <c r="F325" s="2">
        <v>0.32500400000000002</v>
      </c>
      <c r="G325" s="2">
        <v>0.307502</v>
      </c>
      <c r="H325" s="2">
        <f t="shared" si="4"/>
        <v>0.33173350000000001</v>
      </c>
    </row>
    <row r="326" spans="1:20" x14ac:dyDescent="0.55000000000000004">
      <c r="C326" s="2" t="s">
        <v>26</v>
      </c>
      <c r="D326" s="2">
        <v>0.75149500000000002</v>
      </c>
      <c r="E326" s="2">
        <v>0.71865900000000005</v>
      </c>
      <c r="F326" s="2">
        <v>0.86409400000000003</v>
      </c>
      <c r="G326" s="2">
        <v>0.89001399999999997</v>
      </c>
      <c r="H326" s="2">
        <f t="shared" si="4"/>
        <v>0.80606549999999999</v>
      </c>
    </row>
    <row r="327" spans="1:20" x14ac:dyDescent="0.55000000000000004">
      <c r="C327" s="2" t="s">
        <v>28</v>
      </c>
      <c r="D327" s="2">
        <v>2.3747639999999999</v>
      </c>
      <c r="E327" s="2">
        <v>2.654779</v>
      </c>
      <c r="F327" s="2">
        <v>1.733169</v>
      </c>
      <c r="G327" s="2">
        <v>1.2072719999999999</v>
      </c>
      <c r="H327" s="2">
        <f t="shared" si="4"/>
        <v>1.992496</v>
      </c>
    </row>
    <row r="328" spans="1:20" x14ac:dyDescent="0.55000000000000004">
      <c r="C328" s="2" t="s">
        <v>30</v>
      </c>
      <c r="D328" s="2">
        <v>10.683109</v>
      </c>
      <c r="E328" s="2">
        <v>14.57461</v>
      </c>
      <c r="F328" s="2">
        <v>10.86312</v>
      </c>
      <c r="G328" s="2">
        <v>6.0747439999999999</v>
      </c>
      <c r="H328" s="2">
        <f t="shared" si="4"/>
        <v>10.548895750000002</v>
      </c>
    </row>
    <row r="329" spans="1:20" x14ac:dyDescent="0.55000000000000004">
      <c r="A329" s="2" t="s">
        <v>20</v>
      </c>
      <c r="B329" s="2" t="s">
        <v>21</v>
      </c>
      <c r="C329" s="2" t="s">
        <v>22</v>
      </c>
      <c r="D329" s="2">
        <v>0.95855800000000002</v>
      </c>
      <c r="E329" s="2">
        <v>0.92118199999999995</v>
      </c>
      <c r="F329" s="2">
        <v>0.97751299999999997</v>
      </c>
      <c r="G329" s="2">
        <v>0.97006099999999995</v>
      </c>
      <c r="H329" s="2">
        <f t="shared" si="4"/>
        <v>0.95682849999999997</v>
      </c>
    </row>
    <row r="330" spans="1:20" x14ac:dyDescent="0.55000000000000004">
      <c r="A330" s="2">
        <v>1.8</v>
      </c>
      <c r="C330" s="2" t="s">
        <v>23</v>
      </c>
      <c r="D330" s="2">
        <v>1.9699999999999999E-4</v>
      </c>
      <c r="E330" s="2">
        <v>2.176E-3</v>
      </c>
      <c r="F330" s="2">
        <v>1.95E-4</v>
      </c>
      <c r="G330" s="2">
        <v>3.7599999999999998E-4</v>
      </c>
      <c r="H330" s="2">
        <f>(1/COUNT(D330:G330))*SQRT(SUMSQ(D330:G330))</f>
        <v>5.5639385780218678E-4</v>
      </c>
    </row>
    <row r="331" spans="1:20" x14ac:dyDescent="0.55000000000000004">
      <c r="C331" s="2" t="s">
        <v>24</v>
      </c>
      <c r="D331" s="2">
        <v>0.31673400000000002</v>
      </c>
      <c r="E331" s="2">
        <v>0.38775900000000002</v>
      </c>
      <c r="F331" s="2">
        <v>0.31914500000000001</v>
      </c>
      <c r="G331" s="2">
        <v>0.30603900000000001</v>
      </c>
      <c r="H331" s="2">
        <f>AVERAGE(D331:G331)</f>
        <v>0.33241925</v>
      </c>
    </row>
    <row r="332" spans="1:20" x14ac:dyDescent="0.55000000000000004">
      <c r="C332" s="2" t="s">
        <v>25</v>
      </c>
      <c r="D332" s="2">
        <v>6.2399999999999999E-4</v>
      </c>
      <c r="E332" s="2">
        <v>4.5849999999999997E-3</v>
      </c>
      <c r="F332" s="2">
        <v>4.4700000000000002E-4</v>
      </c>
      <c r="G332" s="2">
        <v>1.225E-3</v>
      </c>
      <c r="H332" s="2">
        <f>(1/COUNT(D332:G332))*SQRT(SUMSQ(D332:G332))</f>
        <v>1.201874447477772E-3</v>
      </c>
    </row>
    <row r="333" spans="1:20" x14ac:dyDescent="0.55000000000000004">
      <c r="C333" s="2" t="s">
        <v>26</v>
      </c>
      <c r="D333" s="2">
        <v>0.74542799999999998</v>
      </c>
      <c r="E333" s="2">
        <v>0.71589599999999998</v>
      </c>
      <c r="F333" s="2">
        <v>0.86278600000000005</v>
      </c>
      <c r="G333" s="2">
        <v>0.889011</v>
      </c>
      <c r="H333" s="2">
        <f>AVERAGE(D333:G333)</f>
        <v>0.80328025000000003</v>
      </c>
    </row>
    <row r="334" spans="1:20" x14ac:dyDescent="0.55000000000000004">
      <c r="C334" s="2" t="s">
        <v>27</v>
      </c>
      <c r="D334" s="2">
        <v>4.73E-4</v>
      </c>
      <c r="E334" s="2">
        <v>3.4220000000000001E-3</v>
      </c>
      <c r="F334" s="2">
        <v>5.2300000000000003E-4</v>
      </c>
      <c r="G334" s="2">
        <v>6.2500000000000001E-4</v>
      </c>
      <c r="H334" s="2">
        <f>(1/COUNT(D334:G334))*SQRT(SUMSQ(D334:G334))</f>
        <v>8.8734037296856947E-4</v>
      </c>
    </row>
    <row r="335" spans="1:20" x14ac:dyDescent="0.55000000000000004">
      <c r="C335" s="2" t="s">
        <v>28</v>
      </c>
      <c r="D335" s="2">
        <v>2.360795</v>
      </c>
      <c r="E335" s="2">
        <v>2.672663</v>
      </c>
      <c r="F335" s="2">
        <v>1.6014900000000001</v>
      </c>
      <c r="G335" s="2">
        <v>1.1876409999999999</v>
      </c>
      <c r="H335" s="2">
        <f>AVERAGE(D335:G335)</f>
        <v>1.9556472499999999</v>
      </c>
    </row>
    <row r="336" spans="1:20" x14ac:dyDescent="0.55000000000000004">
      <c r="C336" s="2" t="s">
        <v>29</v>
      </c>
      <c r="D336" s="2">
        <v>3.6649999999999999E-3</v>
      </c>
      <c r="E336" s="2">
        <v>3.5980999999999999E-2</v>
      </c>
      <c r="F336" s="2">
        <v>6.8849999999999996E-3</v>
      </c>
      <c r="G336" s="2">
        <v>7.2519999999999998E-3</v>
      </c>
      <c r="H336" s="2">
        <f>(1/COUNT(D336:G336))*SQRT(SUMSQ(D336:G336))</f>
        <v>9.3810291113235536E-3</v>
      </c>
    </row>
    <row r="337" spans="2:8" x14ac:dyDescent="0.55000000000000004">
      <c r="C337" s="2" t="s">
        <v>30</v>
      </c>
      <c r="D337" s="2">
        <v>10.550777</v>
      </c>
      <c r="E337" s="2">
        <v>13.389908</v>
      </c>
      <c r="F337" s="2">
        <v>9.8756000000000004</v>
      </c>
      <c r="G337" s="2">
        <v>5.8234890000000004</v>
      </c>
      <c r="H337" s="2">
        <f>AVERAGE(D337:G337)</f>
        <v>9.9099435000000007</v>
      </c>
    </row>
    <row r="338" spans="2:8" x14ac:dyDescent="0.55000000000000004">
      <c r="C338" s="2" t="s">
        <v>31</v>
      </c>
      <c r="D338" s="2">
        <v>4.8094999999999999E-2</v>
      </c>
      <c r="E338" s="2">
        <v>7.6734999999999998E-2</v>
      </c>
      <c r="F338" s="2">
        <v>5.2304000000000003E-2</v>
      </c>
      <c r="G338" s="2">
        <v>2.5947000000000001E-2</v>
      </c>
      <c r="H338" s="2">
        <f>(1/COUNT(D338:G338))*SQRT(SUMSQ(D338:G338))</f>
        <v>2.6937827115183215E-2</v>
      </c>
    </row>
    <row r="339" spans="2:8" x14ac:dyDescent="0.55000000000000004">
      <c r="B339" s="2" t="s">
        <v>32</v>
      </c>
      <c r="C339" s="2" t="s">
        <v>22</v>
      </c>
      <c r="D339" s="2">
        <v>0.95780200000000004</v>
      </c>
      <c r="E339" s="2">
        <v>0.92801900000000004</v>
      </c>
      <c r="F339" s="2">
        <v>0.97473900000000002</v>
      </c>
      <c r="G339" s="2">
        <v>0.96627799999999997</v>
      </c>
      <c r="H339" s="2">
        <f>AVERAGE(D339:G339)</f>
        <v>0.95670949999999999</v>
      </c>
    </row>
    <row r="340" spans="2:8" x14ac:dyDescent="0.55000000000000004">
      <c r="C340" s="2" t="s">
        <v>23</v>
      </c>
      <c r="D340" s="2">
        <v>9.8900000000000008E-4</v>
      </c>
      <c r="E340" s="2">
        <v>2.8700000000000002E-3</v>
      </c>
      <c r="F340" s="2">
        <v>7.1199999999999996E-4</v>
      </c>
      <c r="G340" s="2">
        <v>9.8299999999999993E-4</v>
      </c>
      <c r="H340" s="2">
        <f>(1/COUNT(D340:G340))*SQRT(SUMSQ(D340:G340))</f>
        <v>8.1732238131596523E-4</v>
      </c>
    </row>
    <row r="341" spans="2:8" x14ac:dyDescent="0.55000000000000004">
      <c r="C341" s="2" t="s">
        <v>24</v>
      </c>
      <c r="D341" s="2">
        <v>0.31740099999999999</v>
      </c>
      <c r="E341" s="2">
        <v>0.37294500000000003</v>
      </c>
      <c r="F341" s="2">
        <v>0.32647999999999999</v>
      </c>
      <c r="G341" s="2">
        <v>0.317664</v>
      </c>
      <c r="H341" s="2">
        <f>AVERAGE(D341:G341)</f>
        <v>0.33362249999999999</v>
      </c>
    </row>
    <row r="342" spans="2:8" x14ac:dyDescent="0.55000000000000004">
      <c r="C342" s="2" t="s">
        <v>25</v>
      </c>
      <c r="D342" s="2">
        <v>2.833E-3</v>
      </c>
      <c r="E342" s="2">
        <v>6.9369999999999996E-3</v>
      </c>
      <c r="F342" s="2">
        <v>2.0660000000000001E-3</v>
      </c>
      <c r="G342" s="2">
        <v>3.166E-3</v>
      </c>
      <c r="H342" s="2">
        <f>(1/COUNT(D342:G342))*SQRT(SUMSQ(D342:G342))</f>
        <v>2.0982101002997768E-3</v>
      </c>
    </row>
    <row r="343" spans="2:8" x14ac:dyDescent="0.55000000000000004">
      <c r="C343" s="2" t="s">
        <v>26</v>
      </c>
      <c r="D343" s="2">
        <v>0.74443099999999995</v>
      </c>
      <c r="E343" s="2">
        <v>0.72801000000000005</v>
      </c>
      <c r="F343" s="2">
        <v>0.85494300000000001</v>
      </c>
      <c r="G343" s="2">
        <v>0.88147200000000003</v>
      </c>
      <c r="H343" s="2">
        <f>AVERAGE(D343:G343)</f>
        <v>0.80221399999999998</v>
      </c>
    </row>
    <row r="344" spans="2:8" x14ac:dyDescent="0.55000000000000004">
      <c r="C344" s="2" t="s">
        <v>27</v>
      </c>
      <c r="D344" s="2">
        <v>2.3679999999999999E-3</v>
      </c>
      <c r="E344" s="2">
        <v>5.3930000000000002E-3</v>
      </c>
      <c r="F344" s="2">
        <v>2.0460000000000001E-3</v>
      </c>
      <c r="G344" s="2">
        <v>1.799E-3</v>
      </c>
      <c r="H344" s="2">
        <f>(1/COUNT(D344:G344))*SQRT(SUMSQ(D344:G344))</f>
        <v>1.6223900193849813E-3</v>
      </c>
    </row>
    <row r="345" spans="2:8" x14ac:dyDescent="0.55000000000000004">
      <c r="C345" s="2" t="s">
        <v>28</v>
      </c>
      <c r="D345" s="2">
        <v>2.403931</v>
      </c>
      <c r="E345" s="2">
        <v>2.6288870000000002</v>
      </c>
      <c r="F345" s="2">
        <v>1.6928240000000001</v>
      </c>
      <c r="G345" s="2">
        <v>1.2504649999999999</v>
      </c>
      <c r="H345" s="2">
        <f>AVERAGE(D345:G345)</f>
        <v>1.9940267500000002</v>
      </c>
    </row>
    <row r="346" spans="2:8" x14ac:dyDescent="0.55000000000000004">
      <c r="C346" s="2" t="s">
        <v>29</v>
      </c>
      <c r="D346" s="2">
        <v>2.2752000000000001E-2</v>
      </c>
      <c r="E346" s="2">
        <v>5.3129999999999997E-2</v>
      </c>
      <c r="F346" s="2">
        <v>2.6987000000000001E-2</v>
      </c>
      <c r="G346" s="2">
        <v>1.6836E-2</v>
      </c>
      <c r="H346" s="2">
        <f>(1/COUNT(D346:G346))*SQRT(SUMSQ(D346:G346))</f>
        <v>1.6492800453910186E-2</v>
      </c>
    </row>
    <row r="347" spans="2:8" x14ac:dyDescent="0.55000000000000004">
      <c r="C347" s="2" t="s">
        <v>30</v>
      </c>
      <c r="D347" s="2">
        <v>10.910522</v>
      </c>
      <c r="E347" s="2">
        <v>14.697452999999999</v>
      </c>
      <c r="F347" s="2">
        <v>10.088262</v>
      </c>
      <c r="G347" s="2">
        <v>5.9655820000000004</v>
      </c>
      <c r="H347" s="2">
        <f>AVERAGE(D347:G347)</f>
        <v>10.415454749999999</v>
      </c>
    </row>
    <row r="348" spans="2:8" x14ac:dyDescent="0.55000000000000004">
      <c r="C348" s="2" t="s">
        <v>31</v>
      </c>
      <c r="D348" s="2">
        <v>0.11992999999999999</v>
      </c>
      <c r="E348" s="2">
        <v>0.244475</v>
      </c>
      <c r="F348" s="2">
        <v>0.12181699999999999</v>
      </c>
      <c r="G348" s="2">
        <v>4.1651000000000001E-2</v>
      </c>
      <c r="H348" s="2">
        <f>(1/COUNT(D348:G348))*SQRT(SUMSQ(D348:G348))</f>
        <v>7.5301650801542858E-2</v>
      </c>
    </row>
    <row r="349" spans="2:8" x14ac:dyDescent="0.55000000000000004">
      <c r="B349" s="2" t="s">
        <v>33</v>
      </c>
      <c r="C349" s="2" t="s">
        <v>22</v>
      </c>
      <c r="D349" s="2">
        <v>0.95864700000000003</v>
      </c>
      <c r="E349" s="2">
        <v>0.919659</v>
      </c>
      <c r="F349" s="2">
        <v>0.97677599999999998</v>
      </c>
      <c r="G349" s="2">
        <v>0.96984700000000001</v>
      </c>
      <c r="H349" s="2">
        <f>AVERAGE(D349:G349)</f>
        <v>0.95623225000000001</v>
      </c>
    </row>
    <row r="350" spans="2:8" x14ac:dyDescent="0.55000000000000004">
      <c r="C350" s="2" t="s">
        <v>23</v>
      </c>
      <c r="D350" s="2">
        <v>6.4999999999999994E-5</v>
      </c>
      <c r="E350" s="2">
        <v>1.17E-3</v>
      </c>
      <c r="F350" s="2">
        <v>1.06E-4</v>
      </c>
      <c r="G350" s="2">
        <v>1.11E-4</v>
      </c>
      <c r="H350" s="2">
        <f>(1/COUNT(D350:G350))*SQRT(SUMSQ(D350:G350))</f>
        <v>2.9545325349367878E-4</v>
      </c>
    </row>
    <row r="351" spans="2:8" x14ac:dyDescent="0.55000000000000004">
      <c r="C351" s="2" t="s">
        <v>24</v>
      </c>
      <c r="D351" s="2">
        <v>0.316529</v>
      </c>
      <c r="E351" s="2">
        <v>0.38986599999999999</v>
      </c>
      <c r="F351" s="2">
        <v>0.322322</v>
      </c>
      <c r="G351" s="2">
        <v>0.30715300000000001</v>
      </c>
      <c r="H351" s="2">
        <f>AVERAGE(D351:G351)</f>
        <v>0.33396749999999997</v>
      </c>
    </row>
    <row r="352" spans="2:8" x14ac:dyDescent="0.55000000000000004">
      <c r="C352" s="2" t="s">
        <v>25</v>
      </c>
      <c r="D352" s="2">
        <v>2.1499999999999999E-4</v>
      </c>
      <c r="E352" s="2">
        <v>2.758E-3</v>
      </c>
      <c r="F352" s="2">
        <v>3.6099999999999999E-4</v>
      </c>
      <c r="G352" s="2">
        <v>3.57E-4</v>
      </c>
      <c r="H352" s="2">
        <f>(1/COUNT(D352:G352))*SQRT(SUMSQ(D352:G352))</f>
        <v>7.0314289977215871E-4</v>
      </c>
    </row>
    <row r="353" spans="2:8" x14ac:dyDescent="0.55000000000000004">
      <c r="C353" s="2" t="s">
        <v>26</v>
      </c>
      <c r="D353" s="2">
        <v>0.74566200000000005</v>
      </c>
      <c r="E353" s="2">
        <v>0.71391000000000004</v>
      </c>
      <c r="F353" s="2">
        <v>0.86126000000000003</v>
      </c>
      <c r="G353" s="2">
        <v>0.88852699999999996</v>
      </c>
      <c r="H353" s="2">
        <f>AVERAGE(D353:G353)</f>
        <v>0.80233975000000002</v>
      </c>
    </row>
    <row r="354" spans="2:8" x14ac:dyDescent="0.55000000000000004">
      <c r="C354" s="2" t="s">
        <v>27</v>
      </c>
      <c r="D354" s="2">
        <v>1.73E-4</v>
      </c>
      <c r="E354" s="2">
        <v>2.183E-3</v>
      </c>
      <c r="F354" s="2">
        <v>2.9700000000000001E-4</v>
      </c>
      <c r="G354" s="2">
        <v>2.0599999999999999E-4</v>
      </c>
      <c r="H354" s="2">
        <f>(1/COUNT(D354:G354))*SQRT(SUMSQ(D354:G354))</f>
        <v>5.5486839655903997E-4</v>
      </c>
    </row>
    <row r="355" spans="2:8" x14ac:dyDescent="0.55000000000000004">
      <c r="C355" s="2" t="s">
        <v>28</v>
      </c>
      <c r="D355" s="2">
        <v>2.3569900000000001</v>
      </c>
      <c r="E355" s="2">
        <v>2.6935380000000002</v>
      </c>
      <c r="F355" s="2">
        <v>1.6446810000000001</v>
      </c>
      <c r="G355" s="2">
        <v>1.1943600000000001</v>
      </c>
      <c r="H355" s="2">
        <f>AVERAGE(D355:G355)</f>
        <v>1.97239225</v>
      </c>
    </row>
    <row r="356" spans="2:8" x14ac:dyDescent="0.55000000000000004">
      <c r="C356" s="2" t="s">
        <v>29</v>
      </c>
      <c r="D356" s="2">
        <v>2.1930000000000001E-3</v>
      </c>
      <c r="E356" s="2">
        <v>2.5359E-2</v>
      </c>
      <c r="F356" s="2">
        <v>4.8190000000000004E-3</v>
      </c>
      <c r="G356" s="2">
        <v>2.264E-3</v>
      </c>
      <c r="H356" s="2">
        <f>(1/COUNT(D356:G356))*SQRT(SUMSQ(D356:G356))</f>
        <v>6.5011373379970988E-3</v>
      </c>
    </row>
    <row r="357" spans="2:8" x14ac:dyDescent="0.55000000000000004">
      <c r="C357" s="2" t="s">
        <v>30</v>
      </c>
      <c r="D357" s="2">
        <v>10.536471000000001</v>
      </c>
      <c r="E357" s="2">
        <v>13.413862</v>
      </c>
      <c r="F357" s="2">
        <v>10.199794000000001</v>
      </c>
      <c r="G357" s="2">
        <v>5.8424339999999999</v>
      </c>
      <c r="H357" s="2">
        <f>AVERAGE(D357:G357)</f>
        <v>9.9981402499999987</v>
      </c>
    </row>
    <row r="358" spans="2:8" x14ac:dyDescent="0.55000000000000004">
      <c r="C358" s="2" t="s">
        <v>31</v>
      </c>
      <c r="D358" s="2">
        <v>1.3592999999999999E-2</v>
      </c>
      <c r="E358" s="2">
        <v>6.5028000000000002E-2</v>
      </c>
      <c r="F358" s="2">
        <v>2.9829000000000001E-2</v>
      </c>
      <c r="G358" s="2">
        <v>7.1199999999999996E-3</v>
      </c>
      <c r="H358" s="2">
        <f>(1/COUNT(D358:G358))*SQRT(SUMSQ(D358:G358))</f>
        <v>1.8292543005962839E-2</v>
      </c>
    </row>
    <row r="359" spans="2:8" x14ac:dyDescent="0.55000000000000004">
      <c r="B359" s="2" t="s">
        <v>34</v>
      </c>
      <c r="C359" s="2" t="s">
        <v>22</v>
      </c>
      <c r="D359" s="2">
        <v>0.95859099999999997</v>
      </c>
      <c r="E359" s="2">
        <v>0.91271500000000005</v>
      </c>
      <c r="F359" s="2">
        <v>0.97733499999999995</v>
      </c>
      <c r="G359" s="2">
        <v>0.96399999999999997</v>
      </c>
      <c r="H359" s="2">
        <f>AVERAGE(D359:G359)</f>
        <v>0.95316025000000004</v>
      </c>
    </row>
    <row r="360" spans="2:8" x14ac:dyDescent="0.55000000000000004">
      <c r="C360" s="2" t="s">
        <v>23</v>
      </c>
      <c r="D360" s="2">
        <v>8.43E-4</v>
      </c>
      <c r="E360" s="2">
        <v>9.7649999999999994E-3</v>
      </c>
      <c r="F360" s="2">
        <v>3.48E-4</v>
      </c>
      <c r="G360" s="2">
        <v>2.6610000000000002E-3</v>
      </c>
      <c r="H360" s="2">
        <f>(1/COUNT(D360:G360))*SQRT(SUMSQ(D360:G360))</f>
        <v>2.540520357623611E-3</v>
      </c>
    </row>
    <row r="361" spans="2:8" x14ac:dyDescent="0.55000000000000004">
      <c r="C361" s="2" t="s">
        <v>24</v>
      </c>
      <c r="D361" s="2">
        <v>0.31456800000000001</v>
      </c>
      <c r="E361" s="2">
        <v>0.40723500000000001</v>
      </c>
      <c r="F361" s="2">
        <v>0.32122299999999998</v>
      </c>
      <c r="G361" s="2">
        <v>0.32708700000000002</v>
      </c>
      <c r="H361" s="2">
        <f>AVERAGE(D361:G361)</f>
        <v>0.34252824999999998</v>
      </c>
    </row>
    <row r="362" spans="2:8" x14ac:dyDescent="0.55000000000000004">
      <c r="C362" s="2" t="s">
        <v>25</v>
      </c>
      <c r="D362" s="2">
        <v>2.5720000000000001E-3</v>
      </c>
      <c r="E362" s="2">
        <v>1.9733000000000001E-2</v>
      </c>
      <c r="F362" s="2">
        <v>1.304E-3</v>
      </c>
      <c r="G362" s="2">
        <v>7.8659999999999997E-3</v>
      </c>
      <c r="H362" s="2">
        <f>(1/COUNT(D362:G362))*SQRT(SUMSQ(D362:G362))</f>
        <v>5.3594591903008276E-3</v>
      </c>
    </row>
    <row r="363" spans="2:8" x14ac:dyDescent="0.55000000000000004">
      <c r="C363" s="2" t="s">
        <v>26</v>
      </c>
      <c r="D363" s="2">
        <v>0.74619500000000005</v>
      </c>
      <c r="E363" s="2">
        <v>0.699847</v>
      </c>
      <c r="F363" s="2">
        <v>0.86287999999999998</v>
      </c>
      <c r="G363" s="2">
        <v>0.87743700000000002</v>
      </c>
      <c r="H363" s="2">
        <f>AVERAGE(D363:G363)</f>
        <v>0.79658974999999999</v>
      </c>
    </row>
    <row r="364" spans="2:8" x14ac:dyDescent="0.55000000000000004">
      <c r="C364" s="2" t="s">
        <v>27</v>
      </c>
      <c r="D364" s="2">
        <v>2.3570000000000002E-3</v>
      </c>
      <c r="E364" s="2">
        <v>1.4933E-2</v>
      </c>
      <c r="F364" s="2">
        <v>1.1050000000000001E-3</v>
      </c>
      <c r="G364" s="2">
        <v>4.5979999999999997E-3</v>
      </c>
      <c r="H364" s="2">
        <f>(1/COUNT(D364:G364))*SQRT(SUMSQ(D364:G364))</f>
        <v>3.9600549791006688E-3</v>
      </c>
    </row>
    <row r="365" spans="2:8" x14ac:dyDescent="0.55000000000000004">
      <c r="C365" s="2" t="s">
        <v>28</v>
      </c>
      <c r="D365" s="2">
        <v>2.37662</v>
      </c>
      <c r="E365" s="2">
        <v>2.8643990000000001</v>
      </c>
      <c r="F365" s="2">
        <v>1.6415150000000001</v>
      </c>
      <c r="G365" s="2">
        <v>1.2959000000000001</v>
      </c>
      <c r="H365" s="2">
        <f>AVERAGE(D365:G365)</f>
        <v>2.0446084999999998</v>
      </c>
    </row>
    <row r="366" spans="2:8" x14ac:dyDescent="0.55000000000000004">
      <c r="C366" s="2" t="s">
        <v>29</v>
      </c>
      <c r="D366" s="2">
        <v>2.3428999999999998E-2</v>
      </c>
      <c r="E366" s="2">
        <v>0.14414299999999999</v>
      </c>
      <c r="F366" s="2">
        <v>1.4232E-2</v>
      </c>
      <c r="G366" s="2">
        <v>4.3046000000000001E-2</v>
      </c>
      <c r="H366" s="2">
        <f>(1/COUNT(D366:G366))*SQRT(SUMSQ(D366:G366))</f>
        <v>3.8227632700377878E-2</v>
      </c>
    </row>
    <row r="367" spans="2:8" x14ac:dyDescent="0.55000000000000004">
      <c r="C367" s="2" t="s">
        <v>30</v>
      </c>
      <c r="D367" s="2">
        <v>11.034205</v>
      </c>
      <c r="E367" s="2">
        <v>14.569105</v>
      </c>
      <c r="F367" s="2">
        <v>10.200224</v>
      </c>
      <c r="G367" s="2">
        <v>6.0411089999999996</v>
      </c>
      <c r="H367" s="2">
        <f>AVERAGE(D367:G367)</f>
        <v>10.461160749999999</v>
      </c>
    </row>
    <row r="368" spans="2:8" x14ac:dyDescent="0.55000000000000004">
      <c r="C368" s="2" t="s">
        <v>31</v>
      </c>
      <c r="D368" s="2">
        <v>0.156529</v>
      </c>
      <c r="E368" s="2">
        <v>0.28818500000000002</v>
      </c>
      <c r="F368" s="2">
        <v>6.0379000000000002E-2</v>
      </c>
      <c r="G368" s="2">
        <v>9.5856999999999998E-2</v>
      </c>
      <c r="H368" s="2">
        <f>(1/COUNT(D368:G368))*SQRT(SUMSQ(D368:G368))</f>
        <v>8.6741753987050557E-2</v>
      </c>
    </row>
    <row r="369" spans="2:8" x14ac:dyDescent="0.55000000000000004">
      <c r="B369" s="2" t="s">
        <v>35</v>
      </c>
      <c r="C369" s="2" t="s">
        <v>22</v>
      </c>
      <c r="D369" s="2">
        <v>0.93656499999999998</v>
      </c>
      <c r="E369" s="2">
        <v>0.84680699999999998</v>
      </c>
      <c r="F369" s="2">
        <v>0.97183600000000003</v>
      </c>
      <c r="G369" s="2">
        <v>0.96442499999999998</v>
      </c>
      <c r="H369" s="2">
        <f>AVERAGE(E369:G369)</f>
        <v>0.92768933333333337</v>
      </c>
    </row>
    <row r="370" spans="2:8" x14ac:dyDescent="0.55000000000000004">
      <c r="C370" s="2" t="s">
        <v>23</v>
      </c>
      <c r="D370" s="2">
        <v>8.8699999999999998E-4</v>
      </c>
      <c r="E370" s="2">
        <v>2.7469999999999999E-3</v>
      </c>
      <c r="F370" s="2">
        <v>6.8000000000000005E-4</v>
      </c>
      <c r="G370" s="2">
        <v>7.54E-4</v>
      </c>
      <c r="H370" s="2">
        <f>(1/COUNT(E370:G370))*SQRT(SUMSQ(E370:G370))</f>
        <v>9.7621292076404439E-4</v>
      </c>
    </row>
    <row r="371" spans="2:8" x14ac:dyDescent="0.55000000000000004">
      <c r="C371" s="2" t="s">
        <v>24</v>
      </c>
      <c r="D371" s="2">
        <v>0.37072100000000002</v>
      </c>
      <c r="E371" s="2">
        <v>0.53677900000000001</v>
      </c>
      <c r="F371" s="2">
        <v>0.34004699999999999</v>
      </c>
      <c r="G371" s="2">
        <v>0.33108900000000002</v>
      </c>
      <c r="H371" s="2">
        <f>AVERAGE(E371:G371)</f>
        <v>0.40263833333333338</v>
      </c>
    </row>
    <row r="372" spans="2:8" x14ac:dyDescent="0.55000000000000004">
      <c r="C372" s="2" t="s">
        <v>25</v>
      </c>
      <c r="D372" s="2">
        <v>1.946E-3</v>
      </c>
      <c r="E372" s="2">
        <v>5.3550000000000004E-3</v>
      </c>
      <c r="F372" s="2">
        <v>1.9589999999999998E-3</v>
      </c>
      <c r="G372" s="2">
        <v>2.1779999999999998E-3</v>
      </c>
      <c r="H372" s="2">
        <f>(1/COUNT(E372:G372))*SQRT(SUMSQ(E372:G372))</f>
        <v>2.0346277300774211E-3</v>
      </c>
    </row>
    <row r="373" spans="2:8" x14ac:dyDescent="0.55000000000000004">
      <c r="C373" s="2" t="s">
        <v>26</v>
      </c>
      <c r="D373" s="2">
        <v>0.70266200000000001</v>
      </c>
      <c r="E373" s="2">
        <v>0.60568299999999997</v>
      </c>
      <c r="F373" s="2">
        <v>0.84391799999999995</v>
      </c>
      <c r="G373" s="2">
        <v>0.87614899999999996</v>
      </c>
      <c r="H373" s="2">
        <f>AVERAGE(E373:G373)</f>
        <v>0.77524999999999988</v>
      </c>
    </row>
    <row r="374" spans="2:8" x14ac:dyDescent="0.55000000000000004">
      <c r="C374" s="2" t="s">
        <v>27</v>
      </c>
      <c r="D374" s="2">
        <v>1.7619999999999999E-3</v>
      </c>
      <c r="E374" s="2">
        <v>4.267E-3</v>
      </c>
      <c r="F374" s="2">
        <v>1.8860000000000001E-3</v>
      </c>
      <c r="G374" s="2">
        <v>1.302E-3</v>
      </c>
      <c r="H374" s="2">
        <f>(1/COUNT(E374:G374))*SQRT(SUMSQ(E374:G374))</f>
        <v>1.6144998881662672E-3</v>
      </c>
    </row>
    <row r="375" spans="2:8" x14ac:dyDescent="0.55000000000000004">
      <c r="C375" s="2" t="s">
        <v>28</v>
      </c>
      <c r="D375" s="2">
        <v>2.793202</v>
      </c>
      <c r="E375" s="2">
        <v>3.9172940000000001</v>
      </c>
      <c r="F375" s="2">
        <v>1.863467</v>
      </c>
      <c r="G375" s="2">
        <v>1.3161849999999999</v>
      </c>
      <c r="H375" s="2">
        <f>AVERAGE(E375:G375)</f>
        <v>2.3656486666666665</v>
      </c>
    </row>
    <row r="376" spans="2:8" x14ac:dyDescent="0.55000000000000004">
      <c r="C376" s="2" t="s">
        <v>29</v>
      </c>
      <c r="D376" s="2">
        <v>1.9113999999999999E-2</v>
      </c>
      <c r="E376" s="2">
        <v>5.1926E-2</v>
      </c>
      <c r="F376" s="2">
        <v>2.2672999999999999E-2</v>
      </c>
      <c r="G376" s="2">
        <v>1.247E-2</v>
      </c>
      <c r="H376" s="2">
        <f>(1/COUNT(E376:G376))*SQRT(SUMSQ(E376:G376))</f>
        <v>1.9338721389998873E-2</v>
      </c>
    </row>
    <row r="377" spans="2:8" x14ac:dyDescent="0.55000000000000004">
      <c r="C377" s="2" t="s">
        <v>30</v>
      </c>
      <c r="D377" s="2">
        <v>13.009124</v>
      </c>
      <c r="E377" s="2">
        <v>20.049257999999998</v>
      </c>
      <c r="F377" s="2">
        <v>11.106185999999999</v>
      </c>
      <c r="G377" s="2">
        <v>6.1448429999999998</v>
      </c>
      <c r="H377" s="2">
        <f>AVERAGE(E377:G377)</f>
        <v>12.433428999999999</v>
      </c>
    </row>
    <row r="378" spans="2:8" x14ac:dyDescent="0.55000000000000004">
      <c r="C378" s="2" t="s">
        <v>31</v>
      </c>
      <c r="D378" s="2">
        <v>8.7062E-2</v>
      </c>
      <c r="E378" s="2">
        <v>0.272837</v>
      </c>
      <c r="F378" s="2">
        <v>8.3756999999999998E-2</v>
      </c>
      <c r="G378" s="2">
        <v>2.8955000000000002E-2</v>
      </c>
      <c r="H378" s="2">
        <f>(1/COUNT(E378:G378))*SQRT(SUMSQ(E378:G378))</f>
        <v>9.562290267445811E-2</v>
      </c>
    </row>
    <row r="379" spans="2:8" x14ac:dyDescent="0.55000000000000004">
      <c r="B379" s="2" t="s">
        <v>36</v>
      </c>
      <c r="C379" s="2" t="s">
        <v>22</v>
      </c>
      <c r="D379" s="2">
        <v>0.94489000000000001</v>
      </c>
      <c r="E379" s="2">
        <v>0.88268599999999997</v>
      </c>
      <c r="F379" s="2">
        <v>0.97711300000000001</v>
      </c>
      <c r="G379" s="2">
        <v>0.97284499999999996</v>
      </c>
      <c r="H379" s="2">
        <f t="shared" ref="H379:H394" si="5">AVERAGE(D379:G379)</f>
        <v>0.94438350000000004</v>
      </c>
    </row>
    <row r="380" spans="2:8" x14ac:dyDescent="0.55000000000000004">
      <c r="C380" s="2" t="s">
        <v>24</v>
      </c>
      <c r="D380" s="2">
        <v>0.35186200000000001</v>
      </c>
      <c r="E380" s="2">
        <v>0.47554400000000002</v>
      </c>
      <c r="F380" s="2">
        <v>0.32356000000000001</v>
      </c>
      <c r="G380" s="2">
        <v>0.29898799999999998</v>
      </c>
      <c r="H380" s="2">
        <f t="shared" si="5"/>
        <v>0.36248850000000005</v>
      </c>
    </row>
    <row r="381" spans="2:8" x14ac:dyDescent="0.55000000000000004">
      <c r="C381" s="2" t="s">
        <v>26</v>
      </c>
      <c r="D381" s="2">
        <v>0.72025799999999995</v>
      </c>
      <c r="E381" s="2">
        <v>0.64516499999999999</v>
      </c>
      <c r="F381" s="2">
        <v>0.86113300000000004</v>
      </c>
      <c r="G381" s="2">
        <v>0.89334800000000003</v>
      </c>
      <c r="H381" s="2">
        <f t="shared" si="5"/>
        <v>0.779976</v>
      </c>
    </row>
    <row r="382" spans="2:8" x14ac:dyDescent="0.55000000000000004">
      <c r="C382" s="2" t="s">
        <v>28</v>
      </c>
      <c r="D382" s="2">
        <v>2.7075300000000002</v>
      </c>
      <c r="E382" s="2">
        <v>3.4034610000000001</v>
      </c>
      <c r="F382" s="2">
        <v>1.6491089999999999</v>
      </c>
      <c r="G382" s="2">
        <v>1.138469</v>
      </c>
      <c r="H382" s="2">
        <f t="shared" si="5"/>
        <v>2.22464225</v>
      </c>
    </row>
    <row r="383" spans="2:8" x14ac:dyDescent="0.55000000000000004">
      <c r="C383" s="2" t="s">
        <v>30</v>
      </c>
      <c r="D383" s="2">
        <v>12.696383000000001</v>
      </c>
      <c r="E383" s="2">
        <v>18.947928999999998</v>
      </c>
      <c r="F383" s="2">
        <v>10.246896</v>
      </c>
      <c r="G383" s="2">
        <v>5.657343</v>
      </c>
      <c r="H383" s="2">
        <f t="shared" si="5"/>
        <v>11.887137749999999</v>
      </c>
    </row>
    <row r="384" spans="2:8" ht="14.25" customHeight="1" x14ac:dyDescent="0.55000000000000004">
      <c r="B384" s="2" t="s">
        <v>37</v>
      </c>
      <c r="C384" s="2" t="s">
        <v>22</v>
      </c>
      <c r="D384" s="2">
        <v>0.92263700000000004</v>
      </c>
      <c r="E384" s="2">
        <v>0.69653100000000001</v>
      </c>
      <c r="F384" s="2">
        <v>0.94704299999999997</v>
      </c>
      <c r="G384" s="2">
        <v>0.93238500000000002</v>
      </c>
      <c r="H384" s="2">
        <f t="shared" si="5"/>
        <v>0.87464900000000001</v>
      </c>
    </row>
    <row r="385" spans="1:20" x14ac:dyDescent="0.55000000000000004">
      <c r="C385" s="2" t="s">
        <v>24</v>
      </c>
      <c r="D385" s="2">
        <v>0.405972</v>
      </c>
      <c r="E385" s="2">
        <v>0.77420199999999995</v>
      </c>
      <c r="F385" s="2">
        <v>0.39852100000000001</v>
      </c>
      <c r="G385" s="2">
        <v>0.41026400000000002</v>
      </c>
      <c r="H385" s="2">
        <f t="shared" si="5"/>
        <v>0.49723975000000004</v>
      </c>
    </row>
    <row r="386" spans="1:20" x14ac:dyDescent="0.55000000000000004">
      <c r="C386" s="2" t="s">
        <v>26</v>
      </c>
      <c r="D386" s="2">
        <v>0.67372200000000004</v>
      </c>
      <c r="E386" s="2">
        <v>0.47345199999999998</v>
      </c>
      <c r="F386" s="2">
        <v>0.78143799999999997</v>
      </c>
      <c r="G386" s="2">
        <v>0.82496599999999998</v>
      </c>
      <c r="H386" s="2">
        <f t="shared" si="5"/>
        <v>0.68839450000000002</v>
      </c>
    </row>
    <row r="387" spans="1:20" x14ac:dyDescent="0.55000000000000004">
      <c r="C387" s="2" t="s">
        <v>28</v>
      </c>
      <c r="D387" s="2">
        <v>3.399934</v>
      </c>
      <c r="E387" s="2">
        <v>7.3431620000000004</v>
      </c>
      <c r="F387" s="2">
        <v>2.5495269999999999</v>
      </c>
      <c r="G387" s="2">
        <v>1.778589</v>
      </c>
      <c r="H387" s="2">
        <f t="shared" si="5"/>
        <v>3.7678030000000002</v>
      </c>
    </row>
    <row r="388" spans="1:20" x14ac:dyDescent="0.55000000000000004">
      <c r="C388" s="2" t="s">
        <v>30</v>
      </c>
      <c r="D388" s="2">
        <v>15.450704</v>
      </c>
      <c r="E388" s="2">
        <v>27.651527999999999</v>
      </c>
      <c r="F388" s="2">
        <v>13.374048</v>
      </c>
      <c r="G388" s="2">
        <v>7.7184100000000004</v>
      </c>
      <c r="H388" s="2">
        <f t="shared" si="5"/>
        <v>16.048672500000002</v>
      </c>
      <c r="P388" s="2" t="s">
        <v>38</v>
      </c>
      <c r="Q388" s="2" cm="1">
        <f t="array" ref="Q388:T388">D385:G385/D388:G388</f>
        <v>2.6275307584689992E-2</v>
      </c>
      <c r="R388" s="2">
        <v>2.7998525072466158E-2</v>
      </c>
      <c r="S388" s="2">
        <v>2.9798083572004527E-2</v>
      </c>
      <c r="T388" s="2">
        <v>5.3153952692329122E-2</v>
      </c>
    </row>
    <row r="389" spans="1:20" x14ac:dyDescent="0.55000000000000004">
      <c r="B389" s="2" t="s">
        <v>39</v>
      </c>
      <c r="C389" s="2" t="s">
        <v>22</v>
      </c>
      <c r="D389" s="2">
        <v>0.96108499999999997</v>
      </c>
      <c r="E389" s="2">
        <v>0.92640100000000003</v>
      </c>
      <c r="F389" s="2">
        <v>0.97671699999999995</v>
      </c>
      <c r="G389" s="2">
        <v>0.97093700000000005</v>
      </c>
      <c r="H389" s="2">
        <f t="shared" si="5"/>
        <v>0.958785</v>
      </c>
    </row>
    <row r="390" spans="1:20" x14ac:dyDescent="0.55000000000000004">
      <c r="C390" s="2" t="s">
        <v>24</v>
      </c>
      <c r="D390" s="2">
        <v>0.31131599999999998</v>
      </c>
      <c r="E390" s="2">
        <v>0.38456499999999999</v>
      </c>
      <c r="F390" s="2">
        <v>0.32466200000000001</v>
      </c>
      <c r="G390" s="2">
        <v>0.309697</v>
      </c>
      <c r="H390" s="2">
        <f t="shared" si="5"/>
        <v>0.33255999999999997</v>
      </c>
    </row>
    <row r="391" spans="1:20" x14ac:dyDescent="0.55000000000000004">
      <c r="C391" s="2" t="s">
        <v>26</v>
      </c>
      <c r="D391" s="2">
        <v>0.75226999999999999</v>
      </c>
      <c r="E391" s="2">
        <v>0.71937200000000001</v>
      </c>
      <c r="F391" s="2">
        <v>0.85898799999999997</v>
      </c>
      <c r="G391" s="2">
        <v>0.88891500000000001</v>
      </c>
      <c r="H391" s="2">
        <f t="shared" si="5"/>
        <v>0.80488625000000003</v>
      </c>
    </row>
    <row r="392" spans="1:20" x14ac:dyDescent="0.55000000000000004">
      <c r="C392" s="2" t="s">
        <v>28</v>
      </c>
      <c r="D392" s="2">
        <v>2.4559229999999999</v>
      </c>
      <c r="E392" s="2">
        <v>2.7740629999999999</v>
      </c>
      <c r="F392" s="2">
        <v>1.6829449999999999</v>
      </c>
      <c r="G392" s="2">
        <v>1.2004189999999999</v>
      </c>
      <c r="H392" s="2">
        <f t="shared" si="5"/>
        <v>2.0283375000000001</v>
      </c>
    </row>
    <row r="393" spans="1:20" x14ac:dyDescent="0.55000000000000004">
      <c r="C393" s="2" t="s">
        <v>30</v>
      </c>
      <c r="D393" s="2">
        <v>10.971136</v>
      </c>
      <c r="E393" s="2">
        <v>14.53581</v>
      </c>
      <c r="F393" s="2">
        <v>10.335736000000001</v>
      </c>
      <c r="G393" s="2">
        <v>6.1469490000000002</v>
      </c>
      <c r="H393" s="2">
        <f t="shared" si="5"/>
        <v>10.497407749999999</v>
      </c>
    </row>
    <row r="394" spans="1:20" x14ac:dyDescent="0.55000000000000004">
      <c r="A394" s="2" t="s">
        <v>20</v>
      </c>
      <c r="B394" s="2" t="s">
        <v>21</v>
      </c>
      <c r="C394" s="2" t="s">
        <v>22</v>
      </c>
      <c r="D394" s="2">
        <v>0.95768399999999998</v>
      </c>
      <c r="E394" s="2">
        <v>0.91948700000000005</v>
      </c>
      <c r="F394" s="2">
        <v>0.97628499999999996</v>
      </c>
      <c r="G394" s="2">
        <v>0.96946900000000003</v>
      </c>
      <c r="H394" s="2">
        <f t="shared" si="5"/>
        <v>0.95573125000000003</v>
      </c>
    </row>
    <row r="395" spans="1:20" x14ac:dyDescent="0.55000000000000004">
      <c r="A395" s="2">
        <v>2.1</v>
      </c>
      <c r="C395" s="2" t="s">
        <v>23</v>
      </c>
      <c r="D395" s="2">
        <v>1.9000000000000001E-4</v>
      </c>
      <c r="E395" s="2">
        <v>2.019E-3</v>
      </c>
      <c r="F395" s="2">
        <v>3.0600000000000001E-4</v>
      </c>
      <c r="G395" s="2">
        <v>3.88E-4</v>
      </c>
      <c r="H395" s="2">
        <f>(1/COUNT(D395:G395))*SQRT(SUMSQ(D395:G395))</f>
        <v>5.2181420304549015E-4</v>
      </c>
    </row>
    <row r="396" spans="1:20" x14ac:dyDescent="0.55000000000000004">
      <c r="C396" s="2" t="s">
        <v>24</v>
      </c>
      <c r="D396" s="2">
        <v>0.31803999999999999</v>
      </c>
      <c r="E396" s="2">
        <v>0.39304600000000001</v>
      </c>
      <c r="F396" s="2">
        <v>0.32078200000000001</v>
      </c>
      <c r="G396" s="2">
        <v>0.30782900000000002</v>
      </c>
      <c r="H396" s="2">
        <f>AVERAGE(D396:G396)</f>
        <v>0.33492425000000003</v>
      </c>
    </row>
    <row r="397" spans="1:20" x14ac:dyDescent="0.55000000000000004">
      <c r="C397" s="2" t="s">
        <v>25</v>
      </c>
      <c r="D397" s="2">
        <v>5.8100000000000003E-4</v>
      </c>
      <c r="E397" s="2">
        <v>3.8400000000000001E-3</v>
      </c>
      <c r="F397" s="2">
        <v>1.0139999999999999E-3</v>
      </c>
      <c r="G397" s="2">
        <v>1.557E-3</v>
      </c>
      <c r="H397" s="2">
        <f>(1/COUNT(D397:G397))*SQRT(SUMSQ(D397:G397))</f>
        <v>1.0763249393189772E-3</v>
      </c>
    </row>
    <row r="398" spans="1:20" x14ac:dyDescent="0.55000000000000004">
      <c r="C398" s="2" t="s">
        <v>26</v>
      </c>
      <c r="D398" s="2">
        <v>0.74482000000000004</v>
      </c>
      <c r="E398" s="2">
        <v>0.71079800000000004</v>
      </c>
      <c r="F398" s="2">
        <v>0.86051</v>
      </c>
      <c r="G398" s="2">
        <v>0.88822900000000005</v>
      </c>
      <c r="H398" s="2">
        <f>AVERAGE(D398:G398)</f>
        <v>0.80108924999999997</v>
      </c>
    </row>
    <row r="399" spans="1:20" x14ac:dyDescent="0.55000000000000004">
      <c r="C399" s="2" t="s">
        <v>27</v>
      </c>
      <c r="D399" s="2">
        <v>4.2400000000000001E-4</v>
      </c>
      <c r="E399" s="2">
        <v>3.5370000000000002E-3</v>
      </c>
      <c r="F399" s="2">
        <v>7.2999999999999996E-4</v>
      </c>
      <c r="G399" s="2">
        <v>7.2000000000000005E-4</v>
      </c>
      <c r="H399" s="2">
        <f>(1/COUNT(D399:G399))*SQRT(SUMSQ(D399:G399))</f>
        <v>9.2673637702423231E-4</v>
      </c>
    </row>
    <row r="400" spans="1:20" x14ac:dyDescent="0.55000000000000004">
      <c r="C400" s="2" t="s">
        <v>28</v>
      </c>
      <c r="D400" s="2">
        <v>2.3845830000000001</v>
      </c>
      <c r="E400" s="2">
        <v>2.7062349999999999</v>
      </c>
      <c r="F400" s="2">
        <v>1.6140099999999999</v>
      </c>
      <c r="G400" s="2">
        <v>1.195659</v>
      </c>
      <c r="H400" s="2">
        <f>AVERAGE(D400:G400)</f>
        <v>1.9751217500000002</v>
      </c>
    </row>
    <row r="401" spans="2:8" x14ac:dyDescent="0.55000000000000004">
      <c r="C401" s="2" t="s">
        <v>29</v>
      </c>
      <c r="D401" s="2">
        <v>1.3125E-2</v>
      </c>
      <c r="E401" s="2">
        <v>2.4795999999999999E-2</v>
      </c>
      <c r="F401" s="2">
        <v>1.3554999999999999E-2</v>
      </c>
      <c r="G401" s="2">
        <v>9.1529999999999997E-3</v>
      </c>
      <c r="H401" s="2">
        <f>(1/COUNT(D401:G401))*SQRT(SUMSQ(D401:G401))</f>
        <v>8.1187386451036844E-3</v>
      </c>
    </row>
    <row r="402" spans="2:8" x14ac:dyDescent="0.55000000000000004">
      <c r="C402" s="2" t="s">
        <v>30</v>
      </c>
      <c r="D402" s="2">
        <v>11.100951999999999</v>
      </c>
      <c r="E402" s="2">
        <v>13.337234</v>
      </c>
      <c r="F402" s="2">
        <v>9.8909280000000006</v>
      </c>
      <c r="G402" s="2">
        <v>5.8336430000000004</v>
      </c>
      <c r="H402" s="2">
        <f>AVERAGE(D402:G402)</f>
        <v>10.040689250000002</v>
      </c>
    </row>
    <row r="403" spans="2:8" x14ac:dyDescent="0.55000000000000004">
      <c r="C403" s="2" t="s">
        <v>31</v>
      </c>
      <c r="D403" s="2">
        <v>6.8394999999999997E-2</v>
      </c>
      <c r="E403" s="2">
        <v>0.22431499999999999</v>
      </c>
      <c r="F403" s="2">
        <v>6.4506999999999995E-2</v>
      </c>
      <c r="G403" s="2">
        <v>2.5047E-2</v>
      </c>
      <c r="H403" s="2">
        <f>(1/COUNT(D403:G403))*SQRT(SUMSQ(D403:G403))</f>
        <v>6.1126712914649675E-2</v>
      </c>
    </row>
    <row r="404" spans="2:8" x14ac:dyDescent="0.55000000000000004">
      <c r="B404" s="2" t="s">
        <v>32</v>
      </c>
      <c r="C404" s="2" t="s">
        <v>22</v>
      </c>
      <c r="D404" s="2">
        <v>0.95828800000000003</v>
      </c>
      <c r="E404" s="2">
        <v>0.92890300000000003</v>
      </c>
      <c r="F404" s="2">
        <v>0.97367999999999999</v>
      </c>
      <c r="G404" s="2">
        <v>0.96579599999999999</v>
      </c>
      <c r="H404" s="2">
        <f>AVERAGE(D404:G404)</f>
        <v>0.95666675000000001</v>
      </c>
    </row>
    <row r="405" spans="2:8" x14ac:dyDescent="0.55000000000000004">
      <c r="C405" s="2" t="s">
        <v>23</v>
      </c>
      <c r="D405" s="2">
        <v>9.1299999999999997E-4</v>
      </c>
      <c r="E405" s="2">
        <v>3.238E-3</v>
      </c>
      <c r="F405" s="2">
        <v>8.52E-4</v>
      </c>
      <c r="G405" s="2">
        <v>7.5600000000000005E-4</v>
      </c>
      <c r="H405" s="2">
        <f>(1/COUNT(D405:G405))*SQRT(SUMSQ(D405:G405))</f>
        <v>8.8796301302475431E-4</v>
      </c>
    </row>
    <row r="406" spans="2:8" x14ac:dyDescent="0.55000000000000004">
      <c r="C406" s="2" t="s">
        <v>24</v>
      </c>
      <c r="D406" s="2">
        <v>0.315718</v>
      </c>
      <c r="E406" s="2">
        <v>0.37233699999999997</v>
      </c>
      <c r="F406" s="2">
        <v>0.328768</v>
      </c>
      <c r="G406" s="2">
        <v>0.319438</v>
      </c>
      <c r="H406" s="2">
        <f>AVERAGE(D406:G406)</f>
        <v>0.33406524999999998</v>
      </c>
    </row>
    <row r="407" spans="2:8" x14ac:dyDescent="0.55000000000000004">
      <c r="C407" s="2" t="s">
        <v>25</v>
      </c>
      <c r="D407" s="2">
        <v>2.8540000000000002E-3</v>
      </c>
      <c r="E407" s="2">
        <v>7.5589999999999997E-3</v>
      </c>
      <c r="F407" s="2">
        <v>2.7079999999999999E-3</v>
      </c>
      <c r="G407" s="2">
        <v>1.9840000000000001E-3</v>
      </c>
      <c r="H407" s="2">
        <f>(1/COUNT(D407:G407))*SQRT(SUMSQ(D407:G407))</f>
        <v>2.1873688103518345E-3</v>
      </c>
    </row>
    <row r="408" spans="2:8" x14ac:dyDescent="0.55000000000000004">
      <c r="C408" s="2" t="s">
        <v>26</v>
      </c>
      <c r="D408" s="2">
        <v>0.74657300000000004</v>
      </c>
      <c r="E408" s="2">
        <v>0.72840899999999997</v>
      </c>
      <c r="F408" s="2">
        <v>0.85273200000000005</v>
      </c>
      <c r="G408" s="2">
        <v>0.88069600000000003</v>
      </c>
      <c r="H408" s="2">
        <f>AVERAGE(D408:G408)</f>
        <v>0.80210250000000005</v>
      </c>
    </row>
    <row r="409" spans="2:8" x14ac:dyDescent="0.55000000000000004">
      <c r="C409" s="2" t="s">
        <v>27</v>
      </c>
      <c r="D409" s="2">
        <v>2.1059999999999998E-3</v>
      </c>
      <c r="E409" s="2">
        <v>5.9719999999999999E-3</v>
      </c>
      <c r="F409" s="2">
        <v>2.418E-3</v>
      </c>
      <c r="G409" s="2">
        <v>1.2639999999999999E-3</v>
      </c>
      <c r="H409" s="2">
        <f>(1/COUNT(D409:G409))*SQRT(SUMSQ(D409:G409))</f>
        <v>1.7238119096931661E-3</v>
      </c>
    </row>
    <row r="410" spans="2:8" x14ac:dyDescent="0.55000000000000004">
      <c r="C410" s="2" t="s">
        <v>28</v>
      </c>
      <c r="D410" s="2">
        <v>2.4135960000000001</v>
      </c>
      <c r="E410" s="2">
        <v>2.6493340000000001</v>
      </c>
      <c r="F410" s="2">
        <v>1.706788</v>
      </c>
      <c r="G410" s="2">
        <v>1.257719</v>
      </c>
      <c r="H410" s="2">
        <f>AVERAGE(D410:G410)</f>
        <v>2.0068592499999998</v>
      </c>
    </row>
    <row r="411" spans="2:8" x14ac:dyDescent="0.55000000000000004">
      <c r="C411" s="2" t="s">
        <v>29</v>
      </c>
      <c r="D411" s="2">
        <v>3.1432000000000002E-2</v>
      </c>
      <c r="E411" s="2">
        <v>5.4156999999999997E-2</v>
      </c>
      <c r="F411" s="2">
        <v>3.2906999999999999E-2</v>
      </c>
      <c r="G411" s="2">
        <v>1.0727E-2</v>
      </c>
      <c r="H411" s="2">
        <f>(1/COUNT(D411:G411))*SQRT(SUMSQ(D411:G411))</f>
        <v>1.7886605412640488E-2</v>
      </c>
    </row>
    <row r="412" spans="2:8" x14ac:dyDescent="0.55000000000000004">
      <c r="C412" s="2" t="s">
        <v>30</v>
      </c>
      <c r="D412" s="2">
        <v>10.975097</v>
      </c>
      <c r="E412" s="2">
        <v>15.038029999999999</v>
      </c>
      <c r="F412" s="2">
        <v>10.183285</v>
      </c>
      <c r="G412" s="2">
        <v>5.9693059999999996</v>
      </c>
      <c r="H412" s="2">
        <f>AVERAGE(D412:G412)</f>
        <v>10.5414295</v>
      </c>
    </row>
    <row r="413" spans="2:8" x14ac:dyDescent="0.55000000000000004">
      <c r="C413" s="2" t="s">
        <v>31</v>
      </c>
      <c r="D413" s="2">
        <v>0.14542099999999999</v>
      </c>
      <c r="E413" s="2">
        <v>0.183944</v>
      </c>
      <c r="F413" s="2">
        <v>0.16194800000000001</v>
      </c>
      <c r="G413" s="2">
        <v>2.9974000000000001E-2</v>
      </c>
      <c r="H413" s="2">
        <f>(1/COUNT(D413:G413))*SQRT(SUMSQ(D413:G413))</f>
        <v>7.1636346290221281E-2</v>
      </c>
    </row>
    <row r="414" spans="2:8" x14ac:dyDescent="0.55000000000000004">
      <c r="B414" s="2" t="s">
        <v>33</v>
      </c>
      <c r="C414" s="2" t="s">
        <v>22</v>
      </c>
      <c r="D414" s="2">
        <v>0.95802900000000002</v>
      </c>
      <c r="E414" s="2">
        <v>0.91910199999999997</v>
      </c>
      <c r="F414" s="2">
        <v>0.97618000000000005</v>
      </c>
      <c r="G414" s="2">
        <v>0.969306</v>
      </c>
      <c r="H414" s="2">
        <f>AVERAGE(D414:G414)</f>
        <v>0.95565424999999993</v>
      </c>
    </row>
    <row r="415" spans="2:8" x14ac:dyDescent="0.55000000000000004">
      <c r="C415" s="2" t="s">
        <v>23</v>
      </c>
      <c r="D415" s="2">
        <v>7.2999999999999999E-5</v>
      </c>
      <c r="E415" s="2">
        <v>7.9600000000000005E-4</v>
      </c>
      <c r="F415" s="2">
        <v>8.7999999999999998E-5</v>
      </c>
      <c r="G415" s="2">
        <v>9.7E-5</v>
      </c>
      <c r="H415" s="2">
        <f>(1/COUNT(D415:G415))*SQRT(SUMSQ(D415:G415))</f>
        <v>2.0249969135778949E-4</v>
      </c>
    </row>
    <row r="416" spans="2:8" x14ac:dyDescent="0.55000000000000004">
      <c r="C416" s="2" t="s">
        <v>24</v>
      </c>
      <c r="D416" s="2">
        <v>0.318133</v>
      </c>
      <c r="E416" s="2">
        <v>0.39385399999999998</v>
      </c>
      <c r="F416" s="2">
        <v>0.32104199999999999</v>
      </c>
      <c r="G416" s="2">
        <v>0.30840699999999999</v>
      </c>
      <c r="H416" s="2">
        <f>AVERAGE(D416:G416)</f>
        <v>0.33535899999999996</v>
      </c>
    </row>
    <row r="417" spans="2:8" x14ac:dyDescent="0.55000000000000004">
      <c r="C417" s="2" t="s">
        <v>25</v>
      </c>
      <c r="D417" s="2">
        <v>2.4699999999999999E-4</v>
      </c>
      <c r="E417" s="2">
        <v>1.7619999999999999E-3</v>
      </c>
      <c r="F417" s="2">
        <v>3.2400000000000001E-4</v>
      </c>
      <c r="G417" s="2">
        <v>3.2400000000000001E-4</v>
      </c>
      <c r="H417" s="2">
        <f>(1/COUNT(D417:G417))*SQRT(SUMSQ(D417:G417))</f>
        <v>4.5932048996316286E-4</v>
      </c>
    </row>
    <row r="418" spans="2:8" x14ac:dyDescent="0.55000000000000004">
      <c r="C418" s="2" t="s">
        <v>26</v>
      </c>
      <c r="D418" s="2">
        <v>0.744676</v>
      </c>
      <c r="E418" s="2">
        <v>0.71038500000000004</v>
      </c>
      <c r="F418" s="2">
        <v>0.86056900000000003</v>
      </c>
      <c r="G418" s="2">
        <v>0.88790199999999997</v>
      </c>
      <c r="H418" s="2">
        <f>AVERAGE(D418:G418)</f>
        <v>0.80088300000000001</v>
      </c>
    </row>
    <row r="419" spans="2:8" x14ac:dyDescent="0.55000000000000004">
      <c r="C419" s="2" t="s">
        <v>27</v>
      </c>
      <c r="D419" s="2">
        <v>2.02E-4</v>
      </c>
      <c r="E419" s="2">
        <v>1.439E-3</v>
      </c>
      <c r="F419" s="2">
        <v>2.3900000000000001E-4</v>
      </c>
      <c r="G419" s="2">
        <v>1.66E-4</v>
      </c>
      <c r="H419" s="2">
        <f>(1/COUNT(D419:G419))*SQRT(SUMSQ(D419:G419))</f>
        <v>3.7048970970865035E-4</v>
      </c>
    </row>
    <row r="420" spans="2:8" x14ac:dyDescent="0.55000000000000004">
      <c r="C420" s="2" t="s">
        <v>28</v>
      </c>
      <c r="D420" s="2">
        <v>2.3848479999999999</v>
      </c>
      <c r="E420" s="2">
        <v>2.7092209999999999</v>
      </c>
      <c r="F420" s="2">
        <v>1.619097</v>
      </c>
      <c r="G420" s="2">
        <v>1.1999230000000001</v>
      </c>
      <c r="H420" s="2">
        <f>AVERAGE(D420:G420)</f>
        <v>1.9782722499999998</v>
      </c>
    </row>
    <row r="421" spans="2:8" x14ac:dyDescent="0.55000000000000004">
      <c r="C421" s="2" t="s">
        <v>29</v>
      </c>
      <c r="D421" s="2">
        <v>2.4719999999999998E-3</v>
      </c>
      <c r="E421" s="2">
        <v>1.6858999999999999E-2</v>
      </c>
      <c r="F421" s="2">
        <v>4.7699999999999999E-3</v>
      </c>
      <c r="G421" s="2">
        <v>1.8940000000000001E-3</v>
      </c>
      <c r="H421" s="2">
        <f>(1/COUNT(D421:G421))*SQRT(SUMSQ(D421:G421))</f>
        <v>4.4488537919895729E-3</v>
      </c>
    </row>
    <row r="422" spans="2:8" x14ac:dyDescent="0.55000000000000004">
      <c r="C422" s="2" t="s">
        <v>30</v>
      </c>
      <c r="D422" s="2">
        <v>10.923035</v>
      </c>
      <c r="E422" s="2">
        <v>13.450709</v>
      </c>
      <c r="F422" s="2">
        <v>9.9350860000000001</v>
      </c>
      <c r="G422" s="2">
        <v>5.846031</v>
      </c>
      <c r="H422" s="2">
        <f>AVERAGE(D422:G422)</f>
        <v>10.038715249999999</v>
      </c>
    </row>
    <row r="423" spans="2:8" x14ac:dyDescent="0.55000000000000004">
      <c r="C423" s="2" t="s">
        <v>31</v>
      </c>
      <c r="D423" s="2">
        <v>2.0067999999999999E-2</v>
      </c>
      <c r="E423" s="2">
        <v>6.6734000000000002E-2</v>
      </c>
      <c r="F423" s="2">
        <v>3.1786000000000002E-2</v>
      </c>
      <c r="G423" s="2">
        <v>6.2059999999999997E-3</v>
      </c>
      <c r="H423" s="2">
        <f>(1/COUNT(D423:G423))*SQRT(SUMSQ(D423:G423))</f>
        <v>1.9211024849028747E-2</v>
      </c>
    </row>
    <row r="424" spans="2:8" x14ac:dyDescent="0.55000000000000004">
      <c r="B424" s="2" t="s">
        <v>34</v>
      </c>
      <c r="C424" s="2" t="s">
        <v>22</v>
      </c>
      <c r="D424" s="2">
        <v>0.95660599999999996</v>
      </c>
      <c r="E424" s="2">
        <v>0.91242599999999996</v>
      </c>
      <c r="F424" s="2">
        <v>0.97578500000000001</v>
      </c>
      <c r="G424" s="2">
        <v>0.96626500000000004</v>
      </c>
      <c r="H424" s="2">
        <f>AVERAGE(D424:G424)</f>
        <v>0.95277049999999996</v>
      </c>
    </row>
    <row r="425" spans="2:8" x14ac:dyDescent="0.55000000000000004">
      <c r="C425" s="2" t="s">
        <v>23</v>
      </c>
      <c r="D425" s="2">
        <v>1.0629999999999999E-3</v>
      </c>
      <c r="E425" s="2">
        <v>7.5449999999999996E-3</v>
      </c>
      <c r="F425" s="2">
        <v>1.1529999999999999E-3</v>
      </c>
      <c r="G425" s="2">
        <v>2.3029999999999999E-3</v>
      </c>
      <c r="H425" s="2">
        <f>(1/COUNT(D425:G425))*SQRT(SUMSQ(D425:G425))</f>
        <v>2.0107556415437456E-3</v>
      </c>
    </row>
    <row r="426" spans="2:8" x14ac:dyDescent="0.55000000000000004">
      <c r="C426" s="2" t="s">
        <v>24</v>
      </c>
      <c r="D426" s="2">
        <v>0.32003999999999999</v>
      </c>
      <c r="E426" s="2">
        <v>0.40878300000000001</v>
      </c>
      <c r="F426" s="2">
        <v>0.32779799999999998</v>
      </c>
      <c r="G426" s="2">
        <v>0.32096999999999998</v>
      </c>
      <c r="H426" s="2">
        <f>AVERAGE(D426:G426)</f>
        <v>0.34439775</v>
      </c>
    </row>
    <row r="427" spans="2:8" x14ac:dyDescent="0.55000000000000004">
      <c r="C427" s="2" t="s">
        <v>25</v>
      </c>
      <c r="D427" s="2">
        <v>2.774E-3</v>
      </c>
      <c r="E427" s="2">
        <v>1.5431E-2</v>
      </c>
      <c r="F427" s="2">
        <v>3.5739999999999999E-3</v>
      </c>
      <c r="G427" s="2">
        <v>6.8450000000000004E-3</v>
      </c>
      <c r="H427" s="2">
        <f>(1/COUNT(D427:G427))*SQRT(SUMSQ(D427:G427))</f>
        <v>4.3691985678153836E-3</v>
      </c>
    </row>
    <row r="428" spans="2:8" x14ac:dyDescent="0.55000000000000004">
      <c r="C428" s="2" t="s">
        <v>26</v>
      </c>
      <c r="D428" s="2">
        <v>0.743031</v>
      </c>
      <c r="E428" s="2">
        <v>0.69942000000000004</v>
      </c>
      <c r="F428" s="2">
        <v>0.85697599999999996</v>
      </c>
      <c r="G428" s="2">
        <v>0.88111099999999998</v>
      </c>
      <c r="H428" s="2">
        <f>AVERAGE(D428:G428)</f>
        <v>0.79513450000000008</v>
      </c>
    </row>
    <row r="429" spans="2:8" x14ac:dyDescent="0.55000000000000004">
      <c r="C429" s="2" t="s">
        <v>27</v>
      </c>
      <c r="D429" s="2">
        <v>2.0799999999999998E-3</v>
      </c>
      <c r="E429" s="2">
        <v>1.1318E-2</v>
      </c>
      <c r="F429" s="2">
        <v>3.4489999999999998E-3</v>
      </c>
      <c r="G429" s="2">
        <v>4.0819999999999997E-3</v>
      </c>
      <c r="H429" s="2">
        <f>(1/COUNT(D429:G429))*SQRT(SUMSQ(D429:G429))</f>
        <v>3.171965567672512E-3</v>
      </c>
    </row>
    <row r="430" spans="2:8" x14ac:dyDescent="0.55000000000000004">
      <c r="C430" s="2" t="s">
        <v>28</v>
      </c>
      <c r="D430" s="2">
        <v>2.3940959999999998</v>
      </c>
      <c r="E430" s="2">
        <v>2.8606319999999998</v>
      </c>
      <c r="F430" s="2">
        <v>1.7182299999999999</v>
      </c>
      <c r="G430" s="2">
        <v>1.260178</v>
      </c>
      <c r="H430" s="2">
        <f>AVERAGE(D430:G430)</f>
        <v>2.058284</v>
      </c>
    </row>
    <row r="431" spans="2:8" x14ac:dyDescent="0.55000000000000004">
      <c r="C431" s="2" t="s">
        <v>29</v>
      </c>
      <c r="D431" s="2">
        <v>1.4500000000000001E-2</v>
      </c>
      <c r="E431" s="2">
        <v>0.112831</v>
      </c>
      <c r="F431" s="2">
        <v>4.0816999999999999E-2</v>
      </c>
      <c r="G431" s="2">
        <v>3.9524999999999998E-2</v>
      </c>
      <c r="H431" s="2">
        <f>(1/COUNT(D431:G431))*SQRT(SUMSQ(D431:G431))</f>
        <v>3.178967764365502E-2</v>
      </c>
    </row>
    <row r="432" spans="2:8" x14ac:dyDescent="0.55000000000000004">
      <c r="C432" s="2" t="s">
        <v>30</v>
      </c>
      <c r="D432" s="2">
        <v>10.9964</v>
      </c>
      <c r="E432" s="2">
        <v>14.822927</v>
      </c>
      <c r="F432" s="2">
        <v>10.520194999999999</v>
      </c>
      <c r="G432" s="2">
        <v>5.9541510000000004</v>
      </c>
      <c r="H432" s="2">
        <f>AVERAGE(D432:G432)</f>
        <v>10.573418250000001</v>
      </c>
    </row>
    <row r="433" spans="2:8" x14ac:dyDescent="0.55000000000000004">
      <c r="C433" s="2" t="s">
        <v>31</v>
      </c>
      <c r="D433" s="2">
        <v>0.14127799999999999</v>
      </c>
      <c r="E433" s="2">
        <v>0.39440199999999997</v>
      </c>
      <c r="F433" s="2">
        <v>0.126717</v>
      </c>
      <c r="G433" s="2">
        <v>9.4134999999999996E-2</v>
      </c>
      <c r="H433" s="2">
        <f>(1/COUNT(D433:G433))*SQRT(SUMSQ(D433:G433))</f>
        <v>0.1119238042157476</v>
      </c>
    </row>
    <row r="434" spans="2:8" x14ac:dyDescent="0.55000000000000004">
      <c r="B434" s="2" t="s">
        <v>35</v>
      </c>
      <c r="C434" s="2" t="s">
        <v>22</v>
      </c>
      <c r="D434" s="2">
        <v>0.93622399999999995</v>
      </c>
      <c r="E434" s="2">
        <v>0.84471399999999996</v>
      </c>
      <c r="F434" s="2">
        <v>0.97136100000000003</v>
      </c>
      <c r="G434" s="2">
        <v>0.96252400000000005</v>
      </c>
      <c r="H434" s="2">
        <f>AVERAGE(E434:G434)</f>
        <v>0.92619966666666675</v>
      </c>
    </row>
    <row r="435" spans="2:8" x14ac:dyDescent="0.55000000000000004">
      <c r="C435" s="2" t="s">
        <v>23</v>
      </c>
      <c r="D435" s="2">
        <v>9.5200000000000005E-4</v>
      </c>
      <c r="E435" s="2">
        <v>2.6679999999999998E-3</v>
      </c>
      <c r="F435" s="2">
        <v>6.3500000000000004E-4</v>
      </c>
      <c r="G435" s="2">
        <v>7.7099999999999998E-4</v>
      </c>
      <c r="H435" s="2">
        <f>(1/COUNT(E435:G435))*SQRT(SUMSQ(E435:G435))</f>
        <v>9.4961337161792077E-4</v>
      </c>
    </row>
    <row r="436" spans="2:8" x14ac:dyDescent="0.55000000000000004">
      <c r="C436" s="2" t="s">
        <v>24</v>
      </c>
      <c r="D436" s="2">
        <v>0.37109199999999998</v>
      </c>
      <c r="E436" s="2">
        <v>0.53891500000000003</v>
      </c>
      <c r="F436" s="2">
        <v>0.34022599999999997</v>
      </c>
      <c r="G436" s="2">
        <v>0.33606200000000003</v>
      </c>
      <c r="H436" s="2">
        <f>AVERAGE(E436:G436)</f>
        <v>0.40506766666666666</v>
      </c>
    </row>
    <row r="437" spans="2:8" x14ac:dyDescent="0.55000000000000004">
      <c r="C437" s="2" t="s">
        <v>25</v>
      </c>
      <c r="D437" s="2">
        <v>2.003E-3</v>
      </c>
      <c r="E437" s="2">
        <v>4.5069999999999997E-3</v>
      </c>
      <c r="F437" s="2">
        <v>1.727E-3</v>
      </c>
      <c r="G437" s="2">
        <v>2.0609999999999999E-3</v>
      </c>
      <c r="H437" s="2">
        <f>(1/COUNT(E437:G437))*SQRT(SUMSQ(E437:G437))</f>
        <v>1.7493903382480296E-3</v>
      </c>
    </row>
    <row r="438" spans="2:8" x14ac:dyDescent="0.55000000000000004">
      <c r="C438" s="2" t="s">
        <v>26</v>
      </c>
      <c r="D438" s="2">
        <v>0.70181800000000005</v>
      </c>
      <c r="E438" s="2">
        <v>0.60344299999999995</v>
      </c>
      <c r="F438" s="2">
        <v>0.84305399999999997</v>
      </c>
      <c r="G438" s="2">
        <v>0.87310500000000002</v>
      </c>
      <c r="H438" s="2">
        <f>AVERAGE(E438:G438)</f>
        <v>0.77320066666666654</v>
      </c>
    </row>
    <row r="439" spans="2:8" x14ac:dyDescent="0.55000000000000004">
      <c r="C439" s="2" t="s">
        <v>27</v>
      </c>
      <c r="D439" s="2">
        <v>1.7290000000000001E-3</v>
      </c>
      <c r="E439" s="2">
        <v>3.4970000000000001E-3</v>
      </c>
      <c r="F439" s="2">
        <v>1.781E-3</v>
      </c>
      <c r="G439" s="2">
        <v>1.279E-3</v>
      </c>
      <c r="H439" s="2">
        <f>(1/COUNT(E439:G439))*SQRT(SUMSQ(E439:G439))</f>
        <v>1.3758557337162933E-3</v>
      </c>
    </row>
    <row r="440" spans="2:8" x14ac:dyDescent="0.55000000000000004">
      <c r="C440" s="2" t="s">
        <v>28</v>
      </c>
      <c r="D440" s="2">
        <v>2.782483</v>
      </c>
      <c r="E440" s="2">
        <v>3.9347470000000002</v>
      </c>
      <c r="F440" s="2">
        <v>1.8589359999999999</v>
      </c>
      <c r="G440" s="2">
        <v>1.3433010000000001</v>
      </c>
      <c r="H440" s="2">
        <f>AVERAGE(E440:G440)</f>
        <v>2.3789946666666668</v>
      </c>
    </row>
    <row r="441" spans="2:8" x14ac:dyDescent="0.55000000000000004">
      <c r="C441" s="2" t="s">
        <v>29</v>
      </c>
      <c r="D441" s="2">
        <v>2.1683999999999998E-2</v>
      </c>
      <c r="E441" s="2">
        <v>4.8115999999999999E-2</v>
      </c>
      <c r="F441" s="2">
        <v>1.9318999999999999E-2</v>
      </c>
      <c r="G441" s="2">
        <v>1.1455999999999999E-2</v>
      </c>
      <c r="H441" s="2">
        <f>(1/COUNT(E441:G441))*SQRT(SUMSQ(E441:G441))</f>
        <v>1.7700009896419077E-2</v>
      </c>
    </row>
    <row r="442" spans="2:8" x14ac:dyDescent="0.55000000000000004">
      <c r="C442" s="2" t="s">
        <v>30</v>
      </c>
      <c r="D442" s="2">
        <v>13.003798</v>
      </c>
      <c r="E442" s="2">
        <v>20.081289999999999</v>
      </c>
      <c r="F442" s="2">
        <v>10.938945</v>
      </c>
      <c r="G442" s="2">
        <v>6.1761710000000001</v>
      </c>
      <c r="H442" s="2">
        <f>AVERAGE(E442:G442)</f>
        <v>12.398801999999998</v>
      </c>
    </row>
    <row r="443" spans="2:8" x14ac:dyDescent="0.55000000000000004">
      <c r="C443" s="2" t="s">
        <v>31</v>
      </c>
      <c r="D443" s="2">
        <v>0.112784</v>
      </c>
      <c r="E443" s="2">
        <v>0.285717</v>
      </c>
      <c r="F443" s="2">
        <v>6.1377000000000001E-2</v>
      </c>
      <c r="G443" s="2">
        <v>2.2946999999999999E-2</v>
      </c>
      <c r="H443" s="2">
        <f>(1/COUNT(E443:G443))*SQRT(SUMSQ(E443:G443))</f>
        <v>9.7711539763735172E-2</v>
      </c>
    </row>
    <row r="444" spans="2:8" x14ac:dyDescent="0.55000000000000004">
      <c r="B444" s="2" t="s">
        <v>36</v>
      </c>
      <c r="C444" s="2" t="s">
        <v>22</v>
      </c>
      <c r="D444" s="2">
        <v>0.94433400000000001</v>
      </c>
      <c r="E444" s="2">
        <v>0.88179799999999997</v>
      </c>
      <c r="F444" s="2">
        <v>0.97802199999999995</v>
      </c>
      <c r="G444" s="2">
        <v>0.97103200000000001</v>
      </c>
      <c r="H444" s="2">
        <f t="shared" ref="H444:H459" si="6">AVERAGE(D444:G444)</f>
        <v>0.94379649999999993</v>
      </c>
    </row>
    <row r="445" spans="2:8" x14ac:dyDescent="0.55000000000000004">
      <c r="C445" s="2" t="s">
        <v>24</v>
      </c>
      <c r="D445" s="2">
        <v>0.35611199999999998</v>
      </c>
      <c r="E445" s="2">
        <v>0.47539300000000001</v>
      </c>
      <c r="F445" s="2">
        <v>0.318496</v>
      </c>
      <c r="G445" s="2">
        <v>0.30460700000000002</v>
      </c>
      <c r="H445" s="2">
        <f t="shared" si="6"/>
        <v>0.36365200000000003</v>
      </c>
    </row>
    <row r="446" spans="2:8" x14ac:dyDescent="0.55000000000000004">
      <c r="C446" s="2" t="s">
        <v>26</v>
      </c>
      <c r="D446" s="2">
        <v>0.71697999999999995</v>
      </c>
      <c r="E446" s="2">
        <v>0.64603200000000005</v>
      </c>
      <c r="F446" s="2">
        <v>0.86377400000000004</v>
      </c>
      <c r="G446" s="2">
        <v>0.89071999999999996</v>
      </c>
      <c r="H446" s="2">
        <f t="shared" si="6"/>
        <v>0.77937649999999992</v>
      </c>
    </row>
    <row r="447" spans="2:8" x14ac:dyDescent="0.55000000000000004">
      <c r="C447" s="2" t="s">
        <v>28</v>
      </c>
      <c r="D447" s="2">
        <v>2.9230290000000001</v>
      </c>
      <c r="E447" s="2">
        <v>3.4208319999999999</v>
      </c>
      <c r="F447" s="2">
        <v>1.609747</v>
      </c>
      <c r="G447" s="2">
        <v>1.1676200000000001</v>
      </c>
      <c r="H447" s="2">
        <f t="shared" si="6"/>
        <v>2.2803070000000001</v>
      </c>
    </row>
    <row r="448" spans="2:8" x14ac:dyDescent="0.55000000000000004">
      <c r="C448" s="2" t="s">
        <v>30</v>
      </c>
      <c r="D448" s="2">
        <v>13.786072000000001</v>
      </c>
      <c r="E448" s="2">
        <v>19.020935000000001</v>
      </c>
      <c r="F448" s="2">
        <v>10.19088</v>
      </c>
      <c r="G448" s="2">
        <v>5.7462809999999998</v>
      </c>
      <c r="H448" s="2">
        <f t="shared" si="6"/>
        <v>12.186042</v>
      </c>
    </row>
    <row r="449" spans="1:8" x14ac:dyDescent="0.55000000000000004">
      <c r="B449" s="2" t="s">
        <v>37</v>
      </c>
      <c r="C449" s="2" t="s">
        <v>22</v>
      </c>
      <c r="D449" s="2">
        <v>0.92176999999999998</v>
      </c>
      <c r="E449" s="2">
        <v>0.68465200000000004</v>
      </c>
      <c r="F449" s="2">
        <v>0.972576</v>
      </c>
      <c r="G449" s="2">
        <v>0.96700799999999998</v>
      </c>
      <c r="H449" s="2">
        <f t="shared" si="6"/>
        <v>0.88650149999999994</v>
      </c>
    </row>
    <row r="450" spans="1:8" x14ac:dyDescent="0.55000000000000004">
      <c r="C450" s="2" t="s">
        <v>24</v>
      </c>
      <c r="D450" s="2">
        <v>0.40533200000000003</v>
      </c>
      <c r="E450" s="2">
        <v>0.79790899999999998</v>
      </c>
      <c r="F450" s="2">
        <v>0.33076100000000003</v>
      </c>
      <c r="G450" s="2">
        <v>0.314054</v>
      </c>
      <c r="H450" s="2">
        <f t="shared" si="6"/>
        <v>0.46201400000000004</v>
      </c>
    </row>
    <row r="451" spans="1:8" x14ac:dyDescent="0.55000000000000004">
      <c r="C451" s="2" t="s">
        <v>26</v>
      </c>
      <c r="D451" s="2">
        <v>0.67533100000000001</v>
      </c>
      <c r="E451" s="2">
        <v>0.45821000000000001</v>
      </c>
      <c r="F451" s="2">
        <v>0.84633100000000006</v>
      </c>
      <c r="G451" s="2">
        <v>0.88075000000000003</v>
      </c>
      <c r="H451" s="2">
        <f t="shared" si="6"/>
        <v>0.71515550000000006</v>
      </c>
    </row>
    <row r="452" spans="1:8" x14ac:dyDescent="0.55000000000000004">
      <c r="C452" s="2" t="s">
        <v>28</v>
      </c>
      <c r="D452" s="2">
        <v>3.2244380000000001</v>
      </c>
      <c r="E452" s="2">
        <v>7.6676679999999999</v>
      </c>
      <c r="F452" s="2">
        <v>1.7061249999999999</v>
      </c>
      <c r="G452" s="2">
        <v>1.214229</v>
      </c>
      <c r="H452" s="2">
        <f t="shared" si="6"/>
        <v>3.4531149999999999</v>
      </c>
    </row>
    <row r="453" spans="1:8" x14ac:dyDescent="0.55000000000000004">
      <c r="C453" s="2" t="s">
        <v>30</v>
      </c>
      <c r="D453" s="2">
        <v>14.369095</v>
      </c>
      <c r="E453" s="2">
        <v>27.700205</v>
      </c>
      <c r="F453" s="2">
        <v>10.367088000000001</v>
      </c>
      <c r="G453" s="2">
        <v>5.9940879999999996</v>
      </c>
      <c r="H453" s="2">
        <f t="shared" si="6"/>
        <v>14.607619</v>
      </c>
    </row>
    <row r="454" spans="1:8" x14ac:dyDescent="0.55000000000000004">
      <c r="B454" s="2" t="s">
        <v>39</v>
      </c>
      <c r="C454" s="2" t="s">
        <v>22</v>
      </c>
      <c r="D454" s="2">
        <v>0.96110399999999996</v>
      </c>
      <c r="E454" s="2">
        <v>0.92477299999999996</v>
      </c>
      <c r="F454" s="2">
        <v>0.97518300000000002</v>
      </c>
      <c r="G454" s="2">
        <v>0.96953100000000003</v>
      </c>
      <c r="H454" s="2">
        <f t="shared" si="6"/>
        <v>0.95764774999999991</v>
      </c>
    </row>
    <row r="455" spans="1:8" x14ac:dyDescent="0.55000000000000004">
      <c r="C455" s="2" t="s">
        <v>24</v>
      </c>
      <c r="D455" s="2">
        <v>0.31405</v>
      </c>
      <c r="E455" s="2">
        <v>0.38334000000000001</v>
      </c>
      <c r="F455" s="2">
        <v>0.32287399999999999</v>
      </c>
      <c r="G455" s="2">
        <v>0.31129099999999998</v>
      </c>
      <c r="H455" s="2">
        <f t="shared" si="6"/>
        <v>0.33288875000000001</v>
      </c>
    </row>
    <row r="456" spans="1:8" x14ac:dyDescent="0.55000000000000004">
      <c r="C456" s="2" t="s">
        <v>26</v>
      </c>
      <c r="D456" s="2">
        <v>0.75113700000000005</v>
      </c>
      <c r="E456" s="2">
        <v>0.71916100000000005</v>
      </c>
      <c r="F456" s="2">
        <v>0.85672300000000001</v>
      </c>
      <c r="G456" s="2">
        <v>0.88704700000000003</v>
      </c>
      <c r="H456" s="2">
        <f t="shared" si="6"/>
        <v>0.80351700000000004</v>
      </c>
    </row>
    <row r="457" spans="1:8" x14ac:dyDescent="0.55000000000000004">
      <c r="C457" s="2" t="s">
        <v>28</v>
      </c>
      <c r="D457" s="2">
        <v>2.5462530000000001</v>
      </c>
      <c r="E457" s="2">
        <v>2.8468010000000001</v>
      </c>
      <c r="F457" s="2">
        <v>1.640587</v>
      </c>
      <c r="G457" s="2">
        <v>1.2078340000000001</v>
      </c>
      <c r="H457" s="2">
        <f t="shared" si="6"/>
        <v>2.0603687500000003</v>
      </c>
    </row>
    <row r="458" spans="1:8" x14ac:dyDescent="0.55000000000000004">
      <c r="C458" s="2" t="s">
        <v>30</v>
      </c>
      <c r="D458" s="2">
        <v>11.424797999999999</v>
      </c>
      <c r="E458" s="2">
        <v>18.190598000000001</v>
      </c>
      <c r="F458" s="2">
        <v>9.8844180000000001</v>
      </c>
      <c r="G458" s="2">
        <v>6.2348359999999996</v>
      </c>
      <c r="H458" s="2">
        <f t="shared" si="6"/>
        <v>11.433662500000001</v>
      </c>
    </row>
    <row r="459" spans="1:8" x14ac:dyDescent="0.55000000000000004">
      <c r="A459" s="2" t="s">
        <v>40</v>
      </c>
      <c r="B459" s="2" t="s">
        <v>21</v>
      </c>
      <c r="C459" s="2" t="s">
        <v>22</v>
      </c>
      <c r="D459" s="2">
        <f xml:space="preserve"> AVERAGE(D4,D69,D134,D199,D264,D329,D394)</f>
        <v>0.95979514285714274</v>
      </c>
      <c r="E459" s="2">
        <f t="shared" ref="E459:G459" si="7" xml:space="preserve"> AVERAGE(E4,E69,E134,E199,E264,E329,E394)</f>
        <v>0.92576757142857147</v>
      </c>
      <c r="F459" s="2">
        <f t="shared" si="7"/>
        <v>0.97734599999999994</v>
      </c>
      <c r="G459" s="2">
        <f t="shared" si="7"/>
        <v>0.97106228571428588</v>
      </c>
      <c r="H459" s="2">
        <f t="shared" si="6"/>
        <v>0.95849275</v>
      </c>
    </row>
    <row r="460" spans="1:8" x14ac:dyDescent="0.55000000000000004">
      <c r="C460" s="2" t="s">
        <v>23</v>
      </c>
      <c r="D460" s="2">
        <f>(1/COUNT(D5,D70,D135,D200,D265,D330,D395))*SQRT(SUMSQ(D5,D70,D135,D200,D265,D330,D395))</f>
        <v>7.4491336299421201E-5</v>
      </c>
      <c r="E460" s="2">
        <f t="shared" ref="E460:G460" si="8">(1/COUNT(E5,E70,E135,E200,E265,E330,E395))*SQRT(SUMSQ(E5,E70,E135,E200,E265,E330,E395))</f>
        <v>6.2513317764770595E-4</v>
      </c>
      <c r="F460" s="2">
        <f t="shared" si="8"/>
        <v>1.0455317951616189E-4</v>
      </c>
      <c r="G460" s="2">
        <f t="shared" si="8"/>
        <v>1.3765870247589484E-4</v>
      </c>
      <c r="H460" s="2">
        <f>(1/COUNT(D460:G460))*SQRT(SUMSQ(D460:G460))</f>
        <v>1.6321414895274043E-4</v>
      </c>
    </row>
    <row r="461" spans="1:8" x14ac:dyDescent="0.55000000000000004">
      <c r="C461" s="2" t="s">
        <v>24</v>
      </c>
      <c r="D461" s="2">
        <f xml:space="preserve"> AVERAGE(D6,D71,D136,D201,D266,D331,D396)</f>
        <v>0.31116828571428573</v>
      </c>
      <c r="E461" s="2">
        <f t="shared" ref="E461:G461" si="9" xml:space="preserve"> AVERAGE(E6,E71,E136,E201,E266,E331,E396)</f>
        <v>0.37614528571428574</v>
      </c>
      <c r="F461" s="2">
        <f t="shared" si="9"/>
        <v>0.31887228571428572</v>
      </c>
      <c r="G461" s="2">
        <f t="shared" si="9"/>
        <v>0.30241514285714283</v>
      </c>
      <c r="H461" s="2">
        <f>AVERAGE(D461:G461)</f>
        <v>0.32715024999999998</v>
      </c>
    </row>
    <row r="462" spans="1:8" x14ac:dyDescent="0.55000000000000004">
      <c r="C462" s="2" t="s">
        <v>25</v>
      </c>
      <c r="D462" s="2">
        <f>(1/COUNT(D7,D72,D137,D202,D267,D332,D397))*SQRT(SUMSQ(D7,D72,D137,D202,D267,D332,D397))</f>
        <v>2.3995050510044601E-4</v>
      </c>
      <c r="E462" s="2">
        <f t="shared" ref="E462:G462" si="10">(1/COUNT(E7,E72,E137,E202,E267,E332,E397))*SQRT(SUMSQ(E7,E72,E137,E202,E267,E332,E397))</f>
        <v>1.425859325574066E-3</v>
      </c>
      <c r="F462" s="2">
        <f t="shared" si="10"/>
        <v>3.2111832646524038E-4</v>
      </c>
      <c r="G462" s="2">
        <f t="shared" si="10"/>
        <v>4.7891126526737702E-4</v>
      </c>
      <c r="H462" s="2">
        <f>(1/COUNT(D462:G462))*SQRT(SUMSQ(D462:G462))</f>
        <v>3.8915967487783258E-4</v>
      </c>
    </row>
    <row r="463" spans="1:8" x14ac:dyDescent="0.55000000000000004">
      <c r="C463" s="2" t="s">
        <v>26</v>
      </c>
      <c r="D463" s="2">
        <f xml:space="preserve"> AVERAGE(D8,D73,D138,D203,D268,D333,D398)</f>
        <v>0.75132699999999997</v>
      </c>
      <c r="E463" s="2">
        <f t="shared" ref="E463:G463" si="11" xml:space="preserve"> AVERAGE(E8,E73,E138,E203,E268,E333,E398)</f>
        <v>0.72460500000000017</v>
      </c>
      <c r="F463" s="2">
        <f t="shared" si="11"/>
        <v>0.86329857142857136</v>
      </c>
      <c r="G463" s="2">
        <f t="shared" si="11"/>
        <v>0.89056371428571435</v>
      </c>
      <c r="H463" s="2">
        <f>AVERAGE(D463:G463)</f>
        <v>0.80744857142857152</v>
      </c>
    </row>
    <row r="464" spans="1:8" x14ac:dyDescent="0.55000000000000004">
      <c r="C464" s="2" t="s">
        <v>27</v>
      </c>
      <c r="D464" s="2">
        <f>(1/COUNT(D9,D74,D139,D204,D269,D334,D399))*SQRT(SUMSQ(D9,D74,D139,D204,D269,D334,D399))</f>
        <v>1.7104403299878599E-4</v>
      </c>
      <c r="E464" s="2">
        <f t="shared" ref="E464:G464" si="12">(1/COUNT(E9,E74,E139,E204,E269,E334,E399))*SQRT(SUMSQ(E9,E74,E139,E204,E269,E334,E399))</f>
        <v>1.1328538281342247E-3</v>
      </c>
      <c r="F464" s="2">
        <f t="shared" si="12"/>
        <v>2.541076824610273E-4</v>
      </c>
      <c r="G464" s="2">
        <f t="shared" si="12"/>
        <v>2.2487089266365031E-4</v>
      </c>
      <c r="H464" s="2">
        <f>(1/COUNT(D464:G464))*SQRT(SUMSQ(D464:G464))</f>
        <v>2.9872138877597116E-4</v>
      </c>
    </row>
    <row r="465" spans="2:14" x14ac:dyDescent="0.55000000000000004">
      <c r="C465" s="2" t="s">
        <v>28</v>
      </c>
      <c r="D465" s="2">
        <f xml:space="preserve"> AVERAGE(D10,D75,D140,D205,D270,D335,D400)</f>
        <v>2.3134991428571428</v>
      </c>
      <c r="E465" s="2">
        <f t="shared" ref="E465:G465" si="13" xml:space="preserve"> AVERAGE(E10,E75,E140,E205,E270,E335,E400)</f>
        <v>2.5003341428571431</v>
      </c>
      <c r="F465" s="2">
        <f t="shared" si="13"/>
        <v>1.6013637142857144</v>
      </c>
      <c r="G465" s="2">
        <f t="shared" si="13"/>
        <v>1.1714118571428571</v>
      </c>
      <c r="H465" s="2">
        <f>AVERAGE(D465:G465)</f>
        <v>1.8966522142857143</v>
      </c>
    </row>
    <row r="466" spans="2:14" x14ac:dyDescent="0.55000000000000004">
      <c r="C466" s="2" t="s">
        <v>29</v>
      </c>
      <c r="D466" s="2">
        <f>(1/COUNT(D11,D76,D141,D206,D271,D336,D401))*SQRT(SUMSQ(D11,D76,D141,D206,D271,D336,D401))</f>
        <v>2.5793940278717419E-3</v>
      </c>
      <c r="E466" s="2">
        <f t="shared" ref="E466:G466" si="14">(1/COUNT(E11,E76,E141,E206,E271,E336,E401))*SQRT(SUMSQ(E11,E76,E141,E206,E271,E336,E401))</f>
        <v>9.817858967936223E-3</v>
      </c>
      <c r="F466" s="2">
        <f t="shared" si="14"/>
        <v>4.2968209819610132E-3</v>
      </c>
      <c r="G466" s="2">
        <f t="shared" si="14"/>
        <v>2.8513682859358622E-3</v>
      </c>
      <c r="H466" s="2">
        <f>(1/COUNT(D466:G466))*SQRT(SUMSQ(D466:G466))</f>
        <v>2.8464517376723532E-3</v>
      </c>
    </row>
    <row r="467" spans="2:14" x14ac:dyDescent="0.55000000000000004">
      <c r="C467" s="2" t="s">
        <v>30</v>
      </c>
      <c r="D467" s="2">
        <f xml:space="preserve"> AVERAGE(D12,D77,D142,D207,D272,D337,D402)</f>
        <v>10.483596000000002</v>
      </c>
      <c r="E467" s="2">
        <f t="shared" ref="E467:G467" si="15" xml:space="preserve"> AVERAGE(E12,E77,E142,E207,E272,E337,E402)</f>
        <v>13.109493142857144</v>
      </c>
      <c r="F467" s="2">
        <f t="shared" si="15"/>
        <v>9.9041988571428572</v>
      </c>
      <c r="G467" s="2">
        <f t="shared" si="15"/>
        <v>5.8011534285714292</v>
      </c>
      <c r="H467" s="2">
        <f>AVERAGE(D467:G467)</f>
        <v>9.8246103571428591</v>
      </c>
    </row>
    <row r="468" spans="2:14" x14ac:dyDescent="0.55000000000000004">
      <c r="C468" s="2" t="s">
        <v>31</v>
      </c>
      <c r="D468" s="2">
        <f>(1/COUNT(D13,D78,D143,D208,D273,D338,D403))*SQRT(SUMSQ(D13,D78,D143,D208,D273,D338,D403))</f>
        <v>1.5769397261785244E-2</v>
      </c>
      <c r="E468" s="2">
        <f t="shared" ref="E468:G468" si="16">(1/COUNT(E13,E78,E143,E208,E273,E338,E403))*SQRT(SUMSQ(E13,E78,E143,E208,E273,E338,E403))</f>
        <v>4.1479180805137718E-2</v>
      </c>
      <c r="F468" s="2">
        <f t="shared" si="16"/>
        <v>2.356849131959092E-2</v>
      </c>
      <c r="G468" s="2">
        <f t="shared" si="16"/>
        <v>7.8305759373244119E-3</v>
      </c>
      <c r="H468" s="2">
        <f>(1/COUNT(D468:G468))*SQRT(SUMSQ(D468:G468))</f>
        <v>1.2713152718880212E-2</v>
      </c>
    </row>
    <row r="469" spans="2:14" x14ac:dyDescent="0.55000000000000004">
      <c r="B469" s="2" t="s">
        <v>32</v>
      </c>
      <c r="C469" s="2" t="s">
        <v>22</v>
      </c>
      <c r="D469" s="2">
        <f xml:space="preserve"> AVERAGE(D14,D79,D144,D209,D274,D339,D404)</f>
        <v>0.95690742857142852</v>
      </c>
      <c r="E469" s="2">
        <f t="shared" ref="E469:G469" si="17" xml:space="preserve"> AVERAGE(E14,E79,E144,E209,E274,E339,E404)</f>
        <v>0.92212042857142862</v>
      </c>
      <c r="F469" s="2">
        <f t="shared" si="17"/>
        <v>0.97642328571428572</v>
      </c>
      <c r="G469" s="2">
        <f t="shared" si="17"/>
        <v>0.9687987142857144</v>
      </c>
      <c r="H469" s="2">
        <f>AVERAGE(D469:G469)</f>
        <v>0.95606246428571429</v>
      </c>
    </row>
    <row r="470" spans="2:14" x14ac:dyDescent="0.55000000000000004">
      <c r="C470" s="2" t="s">
        <v>23</v>
      </c>
      <c r="D470" s="2">
        <f>(1/COUNT(D15,D80,D145,D210,D275,D340,D405))*SQRT(SUMSQ(D15,D80,D145,D210,D275,D340,D405))</f>
        <v>3.5208110151045636E-4</v>
      </c>
      <c r="E470" s="2">
        <f t="shared" ref="E470:G470" si="18">(1/COUNT(E15,E80,E145,E210,E275,E340,E405))*SQRT(SUMSQ(E15,E80,E145,E210,E275,E340,E405))</f>
        <v>1.3706757755328767E-3</v>
      </c>
      <c r="F470" s="2">
        <f t="shared" si="18"/>
        <v>2.1474175282921404E-4</v>
      </c>
      <c r="G470" s="2">
        <f t="shared" si="18"/>
        <v>2.4283630162674422E-4</v>
      </c>
      <c r="H470" s="2">
        <f>(1/COUNT(D470:G470))*SQRT(SUMSQ(D470:G470))</f>
        <v>3.629563225676565E-4</v>
      </c>
      <c r="N470" s="2" t="s">
        <v>41</v>
      </c>
    </row>
    <row r="471" spans="2:14" x14ac:dyDescent="0.55000000000000004">
      <c r="C471" s="2" t="s">
        <v>24</v>
      </c>
      <c r="D471" s="2">
        <f xml:space="preserve"> AVERAGE(D16,D81,D146,D211,D276,D341,D406)</f>
        <v>0.31954214285714283</v>
      </c>
      <c r="E471" s="2">
        <f t="shared" ref="E471:G471" si="19" xml:space="preserve"> AVERAGE(E16,E81,E146,E211,E276,E341,E406)</f>
        <v>0.38599214285714284</v>
      </c>
      <c r="F471" s="2">
        <f t="shared" si="19"/>
        <v>0.3217422857142857</v>
      </c>
      <c r="G471" s="2">
        <f t="shared" si="19"/>
        <v>0.31037999999999999</v>
      </c>
      <c r="H471" s="2">
        <f>AVERAGE(D471:G471)</f>
        <v>0.33441414285714288</v>
      </c>
    </row>
    <row r="472" spans="2:14" x14ac:dyDescent="0.55000000000000004">
      <c r="C472" s="2" t="s">
        <v>25</v>
      </c>
      <c r="D472" s="2">
        <f>(1/COUNT(D17,D82,D147,D212,D277,D342,D407))*SQRT(SUMSQ(D17,D82,D147,D212,D277,D342,D407))</f>
        <v>1.0321823818433228E-3</v>
      </c>
      <c r="E472" s="2">
        <f t="shared" ref="E472:G472" si="20">(1/COUNT(E17,E82,E147,E212,E277,E342,E407))*SQRT(SUMSQ(E17,E82,E147,E212,E277,E342,E407))</f>
        <v>3.1423328263945455E-3</v>
      </c>
      <c r="F472" s="2">
        <f t="shared" si="20"/>
        <v>6.6856868131303694E-4</v>
      </c>
      <c r="G472" s="2">
        <f t="shared" si="20"/>
        <v>7.8079455867541931E-4</v>
      </c>
      <c r="H472" s="2">
        <f>(1/COUNT(D472:G472))*SQRT(SUMSQ(D472:G472))</f>
        <v>8.6589116975353364E-4</v>
      </c>
      <c r="N472" s="2">
        <v>0.314</v>
      </c>
    </row>
    <row r="473" spans="2:14" x14ac:dyDescent="0.55000000000000004">
      <c r="C473" s="2" t="s">
        <v>26</v>
      </c>
      <c r="D473" s="2">
        <f xml:space="preserve"> AVERAGE(D18,D83,D148,D213,D278,D343,D408)</f>
        <v>0.74412871428571425</v>
      </c>
      <c r="E473" s="2">
        <f t="shared" ref="E473:G473" si="21" xml:space="preserve"> AVERAGE(E18,E83,E148,E213,E278,E343,E408)</f>
        <v>0.71855642857142854</v>
      </c>
      <c r="F473" s="2">
        <f t="shared" si="21"/>
        <v>0.86004328571428579</v>
      </c>
      <c r="G473" s="2">
        <f t="shared" si="21"/>
        <v>0.8861891428571429</v>
      </c>
      <c r="H473" s="2">
        <f>AVERAGE(D473:G473)</f>
        <v>0.8022293928571429</v>
      </c>
      <c r="N473" s="2">
        <v>0.628</v>
      </c>
    </row>
    <row r="474" spans="2:14" x14ac:dyDescent="0.55000000000000004">
      <c r="C474" s="2" t="s">
        <v>27</v>
      </c>
      <c r="D474" s="2">
        <f>(1/COUNT(D19,D84,D149,D214,D279,D344,D409))*SQRT(SUMSQ(D19,D84,D149,D214,D279,D344,D409))</f>
        <v>7.9759408631873145E-4</v>
      </c>
      <c r="E474" s="2">
        <f t="shared" ref="E474:G474" si="22">(1/COUNT(E19,E84,E149,E214,E279,E344,E409))*SQRT(SUMSQ(E19,E84,E149,E214,E279,E344,E409))</f>
        <v>2.3888777016560277E-3</v>
      </c>
      <c r="F474" s="2">
        <f t="shared" si="22"/>
        <v>6.2273144209971595E-4</v>
      </c>
      <c r="G474" s="2">
        <f t="shared" si="22"/>
        <v>4.4048162416210931E-4</v>
      </c>
      <c r="H474" s="2">
        <f>(1/COUNT(D474:G474))*SQRT(SUMSQ(D474:G474))</f>
        <v>6.5787116473345678E-4</v>
      </c>
      <c r="N474" s="2">
        <v>0.94199999999999995</v>
      </c>
    </row>
    <row r="475" spans="2:14" ht="14.5" customHeight="1" x14ac:dyDescent="0.55000000000000004">
      <c r="C475" s="2" t="s">
        <v>28</v>
      </c>
      <c r="D475" s="2">
        <f xml:space="preserve"> AVERAGE(D20,D85,D150,D215,D280,D345,D410)</f>
        <v>2.416207285714286</v>
      </c>
      <c r="E475" s="2">
        <f t="shared" ref="E475:G475" si="23" xml:space="preserve"> AVERAGE(E20,E85,E150,E215,E280,E345,E410)</f>
        <v>2.6890392857142857</v>
      </c>
      <c r="F475" s="2">
        <f t="shared" si="23"/>
        <v>1.6306634285714285</v>
      </c>
      <c r="G475" s="2">
        <f t="shared" si="23"/>
        <v>1.2096501428571429</v>
      </c>
      <c r="H475" s="2">
        <f>AVERAGE(D475:G475)</f>
        <v>1.9863900357142856</v>
      </c>
      <c r="N475" s="2">
        <v>1.256</v>
      </c>
    </row>
    <row r="476" spans="2:14" x14ac:dyDescent="0.55000000000000004">
      <c r="C476" s="2" t="s">
        <v>29</v>
      </c>
      <c r="D476" s="2">
        <f>(1/COUNT(D21,D86,D151,D216,D281,D346,D411))*SQRT(SUMSQ(D21,D86,D151,D216,D281,D346,D411))</f>
        <v>9.2196087581340042E-3</v>
      </c>
      <c r="E476" s="2">
        <f t="shared" ref="E476:G476" si="24">(1/COUNT(E21,E86,E151,E216,E281,E346,E411))*SQRT(SUMSQ(E21,E86,E151,E216,E281,E346,E411))</f>
        <v>2.3282969555589995E-2</v>
      </c>
      <c r="F476" s="2">
        <f t="shared" si="24"/>
        <v>8.2473625728570494E-3</v>
      </c>
      <c r="G476" s="2">
        <f t="shared" si="24"/>
        <v>4.2348474926157944E-3</v>
      </c>
      <c r="H476" s="2">
        <f>(1/COUNT(D476:G476))*SQRT(SUMSQ(D476:G476))</f>
        <v>6.6757526713915804E-3</v>
      </c>
      <c r="N476" s="2">
        <v>1.57</v>
      </c>
    </row>
    <row r="477" spans="2:14" x14ac:dyDescent="0.55000000000000004">
      <c r="C477" s="2" t="s">
        <v>30</v>
      </c>
      <c r="D477" s="2">
        <f xml:space="preserve"> AVERAGE(D22,D87,D152,D217,D282,D347,D412)</f>
        <v>10.989841428571427</v>
      </c>
      <c r="E477" s="2">
        <f t="shared" ref="E477:G477" si="25" xml:space="preserve"> AVERAGE(E22,E87,E152,E217,E282,E347,E412)</f>
        <v>14.729037571428572</v>
      </c>
      <c r="F477" s="2">
        <f t="shared" si="25"/>
        <v>9.9718591428571433</v>
      </c>
      <c r="G477" s="2">
        <f t="shared" si="25"/>
        <v>5.873234000000001</v>
      </c>
      <c r="H477" s="2">
        <f>AVERAGE(D477:G477)</f>
        <v>10.390993035714287</v>
      </c>
      <c r="N477" s="2">
        <v>1.8839999999999999</v>
      </c>
    </row>
    <row r="478" spans="2:14" x14ac:dyDescent="0.55000000000000004">
      <c r="C478" s="2" t="s">
        <v>31</v>
      </c>
      <c r="D478" s="2">
        <f>(1/COUNT(D23,D88,D153,D218,D283,D348,D413))*SQRT(SUMSQ(D23,D88,D153,D218,D283,D348,D413))</f>
        <v>4.8574699097873777E-2</v>
      </c>
      <c r="E478" s="2">
        <f t="shared" ref="E478:G478" si="26">(1/COUNT(E23,E88,E153,E218,E283,E348,E413))*SQRT(SUMSQ(E23,E88,E153,E218,E283,E348,E413))</f>
        <v>9.0256287959705639E-2</v>
      </c>
      <c r="F478" s="2">
        <f t="shared" si="26"/>
        <v>4.2026186643762085E-2</v>
      </c>
      <c r="G478" s="2">
        <f t="shared" si="26"/>
        <v>1.1676997546196435E-2</v>
      </c>
      <c r="H478" s="2">
        <f>(1/COUNT(D478:G478))*SQRT(SUMSQ(D478:G478))</f>
        <v>2.7848082905543615E-2</v>
      </c>
      <c r="N478" s="2">
        <v>2.198</v>
      </c>
    </row>
    <row r="479" spans="2:14" x14ac:dyDescent="0.55000000000000004">
      <c r="B479" s="2" t="s">
        <v>33</v>
      </c>
      <c r="C479" s="2" t="s">
        <v>22</v>
      </c>
      <c r="D479" s="2">
        <f xml:space="preserve"> AVERAGE(D24,D89,D154,D219,D284,D349,D414)</f>
        <v>0.95995642857142849</v>
      </c>
      <c r="E479" s="2">
        <f t="shared" ref="E479:G479" si="27" xml:space="preserve"> AVERAGE(E24,E89,E154,E219,E284,E349,E414)</f>
        <v>0.92446785714285706</v>
      </c>
      <c r="F479" s="2">
        <f t="shared" si="27"/>
        <v>0.97741285714285719</v>
      </c>
      <c r="G479" s="2">
        <f t="shared" si="27"/>
        <v>0.97131371428571434</v>
      </c>
      <c r="H479" s="2">
        <f>AVERAGE(D479:G479)</f>
        <v>0.95828771428571435</v>
      </c>
    </row>
    <row r="480" spans="2:14" x14ac:dyDescent="0.55000000000000004">
      <c r="C480" s="2" t="s">
        <v>23</v>
      </c>
      <c r="D480" s="2">
        <f>(1/COUNT(D25,D90,D155,D220,D285,D350,D415))*SQRT(SUMSQ(D25,D90,D155,D220,D285,D350,D415))</f>
        <v>2.9711538334527239E-5</v>
      </c>
      <c r="E480" s="2">
        <f t="shared" ref="E480:G480" si="28">(1/COUNT(E25,E90,E155,E220,E285,E350,E415))*SQRT(SUMSQ(E25,E90,E155,E220,E285,E350,E415))</f>
        <v>3.0518826574922636E-4</v>
      </c>
      <c r="F480" s="2">
        <f t="shared" si="28"/>
        <v>4.6286155200721798E-5</v>
      </c>
      <c r="G480" s="2">
        <f t="shared" si="28"/>
        <v>4.8872386928424443E-5</v>
      </c>
      <c r="H480" s="2">
        <f>(1/COUNT(D480:G480))*SQRT(SUMSQ(D480:G480))</f>
        <v>7.8483107827644763E-5</v>
      </c>
    </row>
    <row r="481" spans="2:8" x14ac:dyDescent="0.55000000000000004">
      <c r="C481" s="2" t="s">
        <v>24</v>
      </c>
      <c r="D481" s="2">
        <f xml:space="preserve"> AVERAGE(D26,D91,D156,D221,D286,D351,D416)</f>
        <v>0.31088271428571435</v>
      </c>
      <c r="E481" s="2">
        <f t="shared" ref="E481:G481" si="29" xml:space="preserve"> AVERAGE(E26,E91,E156,E221,E286,E351,E416)</f>
        <v>0.37842528571428574</v>
      </c>
      <c r="F481" s="2">
        <f t="shared" si="29"/>
        <v>0.31896185714285713</v>
      </c>
      <c r="G481" s="2">
        <f t="shared" si="29"/>
        <v>0.30189757142857143</v>
      </c>
      <c r="H481" s="2">
        <f>AVERAGE(D481:G481)</f>
        <v>0.32754185714285716</v>
      </c>
    </row>
    <row r="482" spans="2:8" x14ac:dyDescent="0.55000000000000004">
      <c r="C482" s="2" t="s">
        <v>25</v>
      </c>
      <c r="D482" s="2">
        <f>(1/COUNT(D27,D92,D157,D222,D287,D352,D417))*SQRT(SUMSQ(D27,D92,D157,D222,D287,D352,D417))</f>
        <v>9.9117740746105804E-5</v>
      </c>
      <c r="E482" s="2">
        <f t="shared" ref="E482:G482" si="30">(1/COUNT(E27,E92,E157,E222,E287,E352,E417))*SQRT(SUMSQ(E27,E92,E157,E222,E287,E352,E417))</f>
        <v>7.3880445343010978E-4</v>
      </c>
      <c r="F482" s="2">
        <f t="shared" si="30"/>
        <v>1.4294468746151213E-4</v>
      </c>
      <c r="G482" s="2">
        <f t="shared" si="30"/>
        <v>1.5777328089149092E-4</v>
      </c>
      <c r="H482" s="2">
        <f>(1/COUNT(D482:G482))*SQRT(SUMSQ(D482:G482))</f>
        <v>1.9380756221951039E-4</v>
      </c>
    </row>
    <row r="483" spans="2:8" x14ac:dyDescent="0.55000000000000004">
      <c r="C483" s="2" t="s">
        <v>26</v>
      </c>
      <c r="D483" s="2">
        <f xml:space="preserve"> AVERAGE(D28,D93,D158,D223,D288,D353,D418)</f>
        <v>0.75160542857142854</v>
      </c>
      <c r="E483" s="2">
        <f t="shared" ref="E483:G483" si="31" xml:space="preserve"> AVERAGE(E28,E93,E158,E223,E288,E353,E418)</f>
        <v>0.72288028571428575</v>
      </c>
      <c r="F483" s="2">
        <f t="shared" si="31"/>
        <v>0.8637057142857143</v>
      </c>
      <c r="G483" s="2">
        <f t="shared" si="31"/>
        <v>0.89105900000000005</v>
      </c>
      <c r="H483" s="2">
        <f>AVERAGE(D483:G483)</f>
        <v>0.80731260714285713</v>
      </c>
    </row>
    <row r="484" spans="2:8" x14ac:dyDescent="0.55000000000000004">
      <c r="C484" s="2" t="s">
        <v>27</v>
      </c>
      <c r="D484" s="2">
        <f>(1/COUNT(D29,D94,D159,D224,D289,D354,D419))*SQRT(SUMSQ(D29,D94,D159,D224,D289,D354,D419))</f>
        <v>7.8193376200498286E-5</v>
      </c>
      <c r="E484" s="2">
        <f t="shared" ref="E484:G484" si="32">(1/COUNT(E29,E94,E159,E224,E289,E354,E419))*SQRT(SUMSQ(E29,E94,E159,E224,E289,E354,E419))</f>
        <v>5.9287426825523775E-4</v>
      </c>
      <c r="F484" s="2">
        <f t="shared" si="32"/>
        <v>1.2102335750269238E-4</v>
      </c>
      <c r="G484" s="2">
        <f t="shared" si="32"/>
        <v>8.0342125580900236E-5</v>
      </c>
      <c r="H484" s="2">
        <f>(1/COUNT(D484:G484))*SQRT(SUMSQ(D484:G484))</f>
        <v>1.5384968561978318E-4</v>
      </c>
    </row>
    <row r="485" spans="2:8" ht="14.5" customHeight="1" x14ac:dyDescent="0.55000000000000004">
      <c r="C485" s="2" t="s">
        <v>28</v>
      </c>
      <c r="D485" s="2">
        <f xml:space="preserve"> AVERAGE(D30,D95,D160,D225,D290,D355,D420)</f>
        <v>2.3097635714285718</v>
      </c>
      <c r="E485" s="2">
        <f t="shared" ref="E485:G485" si="33" xml:space="preserve"> AVERAGE(E30,E95,E160,E225,E290,E355,E420)</f>
        <v>2.5156820000000004</v>
      </c>
      <c r="F485" s="2">
        <f t="shared" si="33"/>
        <v>1.6042355714285714</v>
      </c>
      <c r="G485" s="2">
        <f t="shared" si="33"/>
        <v>1.1672647142857142</v>
      </c>
      <c r="H485" s="2">
        <f>AVERAGE(D485:G485)</f>
        <v>1.8992364642857145</v>
      </c>
    </row>
    <row r="486" spans="2:8" x14ac:dyDescent="0.55000000000000004">
      <c r="C486" s="2" t="s">
        <v>29</v>
      </c>
      <c r="D486" s="2">
        <f>(1/COUNT(D31,D96,D161,D226,D291,D356,D421))*SQRT(SUMSQ(D31,D96,D161,D226,D291,D356,D421))</f>
        <v>1.0914978474648532E-3</v>
      </c>
      <c r="E486" s="2">
        <f t="shared" ref="E486:G486" si="34">(1/COUNT(E31,E96,E161,E226,E291,E356,E421))*SQRT(SUMSQ(E31,E96,E161,E226,E291,E356,E421))</f>
        <v>6.4981609690428436E-3</v>
      </c>
      <c r="F486" s="2">
        <f t="shared" si="34"/>
        <v>1.9294514288591279E-3</v>
      </c>
      <c r="G486" s="2">
        <f t="shared" si="34"/>
        <v>9.7387388656785309E-4</v>
      </c>
      <c r="H486" s="2">
        <f>(1/COUNT(D486:G486))*SQRT(SUMSQ(D486:G486))</f>
        <v>1.7336499915978848E-3</v>
      </c>
    </row>
    <row r="487" spans="2:8" x14ac:dyDescent="0.55000000000000004">
      <c r="C487" s="2" t="s">
        <v>30</v>
      </c>
      <c r="D487" s="2">
        <f xml:space="preserve"> AVERAGE(D32,D97,D162,D227,D292,D357,D422)</f>
        <v>10.427376571428571</v>
      </c>
      <c r="E487" s="2">
        <f t="shared" ref="E487:G487" si="35" xml:space="preserve"> AVERAGE(E32,E97,E162,E227,E292,E357,E422)</f>
        <v>13.018356714285714</v>
      </c>
      <c r="F487" s="2">
        <f t="shared" si="35"/>
        <v>9.9617725714285701</v>
      </c>
      <c r="G487" s="2">
        <f t="shared" si="35"/>
        <v>5.7950919999999986</v>
      </c>
      <c r="H487" s="2">
        <f>AVERAGE(D487:G487)</f>
        <v>9.800649464285712</v>
      </c>
    </row>
    <row r="488" spans="2:8" x14ac:dyDescent="0.55000000000000004">
      <c r="C488" s="2" t="s">
        <v>31</v>
      </c>
      <c r="D488" s="2">
        <f>(1/COUNT(D33,D98,D163,D228,D293,D358,D423))*SQRT(SUMSQ(D33,D98,D163,D228,D293,D358,D423))</f>
        <v>6.3194856772121723E-3</v>
      </c>
      <c r="E488" s="2">
        <f t="shared" ref="E488:G488" si="36">(1/COUNT(E33,E98,E163,E228,E293,E358,E423))*SQRT(SUMSQ(E33,E98,E163,E228,E293,E358,E423))</f>
        <v>2.079205435855196E-2</v>
      </c>
      <c r="F488" s="2">
        <f t="shared" si="36"/>
        <v>1.10492996425944E-2</v>
      </c>
      <c r="G488" s="2">
        <f t="shared" si="36"/>
        <v>3.3671609430388875E-3</v>
      </c>
      <c r="H488" s="2">
        <f>(1/COUNT(D488:G488))*SQRT(SUMSQ(D488:G488))</f>
        <v>6.1525920304049122E-3</v>
      </c>
    </row>
    <row r="489" spans="2:8" x14ac:dyDescent="0.55000000000000004">
      <c r="B489" s="2" t="s">
        <v>34</v>
      </c>
      <c r="C489" s="2" t="s">
        <v>22</v>
      </c>
      <c r="D489" s="2">
        <f xml:space="preserve"> AVERAGE(D34,D99,D164,D229,D294,D359,D424)</f>
        <v>0.95917242857142859</v>
      </c>
      <c r="E489" s="2">
        <f t="shared" ref="E489:G489" si="37" xml:space="preserve"> AVERAGE(E34,E99,E164,E229,E294,E359,E424)</f>
        <v>0.91707785714285728</v>
      </c>
      <c r="F489" s="2">
        <f t="shared" si="37"/>
        <v>0.97635242857142857</v>
      </c>
      <c r="G489" s="2">
        <f t="shared" si="37"/>
        <v>0.968754</v>
      </c>
      <c r="H489" s="2">
        <f>AVERAGE(D489:G489)</f>
        <v>0.95533917857142858</v>
      </c>
    </row>
    <row r="490" spans="2:8" x14ac:dyDescent="0.55000000000000004">
      <c r="C490" s="2" t="s">
        <v>23</v>
      </c>
      <c r="D490" s="2">
        <f>(1/COUNT(D35,D100,D165,D230,D295,D360,D425))*SQRT(SUMSQ(D35,D100,D165,D230,D295,D360,D425))</f>
        <v>4.7074021172911865E-4</v>
      </c>
      <c r="E490" s="2">
        <f t="shared" ref="E490:G490" si="38">(1/COUNT(E35,E100,E165,E230,E295,E360,E425))*SQRT(SUMSQ(E35,E100,E165,E230,E295,E360,E425))</f>
        <v>2.6519335764452223E-3</v>
      </c>
      <c r="F490" s="2">
        <f t="shared" si="38"/>
        <v>5.4571299551081588E-4</v>
      </c>
      <c r="G490" s="2">
        <f t="shared" si="38"/>
        <v>7.321242924475575E-4</v>
      </c>
      <c r="H490" s="2">
        <f>(1/COUNT(D490:G490))*SQRT(SUMSQ(D490:G490))</f>
        <v>7.1099211906134848E-4</v>
      </c>
    </row>
    <row r="491" spans="2:8" x14ac:dyDescent="0.55000000000000004">
      <c r="C491" s="2" t="s">
        <v>24</v>
      </c>
      <c r="D491" s="2">
        <f xml:space="preserve"> AVERAGE(D36,D101,D166,D231,D296,D361,D426)</f>
        <v>0.31187799999999999</v>
      </c>
      <c r="E491" s="2">
        <f t="shared" ref="E491:G491" si="39" xml:space="preserve"> AVERAGE(E36,E101,E166,E231,E296,E361,E426)</f>
        <v>0.39663600000000004</v>
      </c>
      <c r="F491" s="2">
        <f t="shared" si="39"/>
        <v>0.32564928571428575</v>
      </c>
      <c r="G491" s="2">
        <f t="shared" si="39"/>
        <v>0.31278842857142858</v>
      </c>
      <c r="H491" s="2">
        <f>AVERAGE(D491:G491)</f>
        <v>0.33673792857142865</v>
      </c>
    </row>
    <row r="492" spans="2:8" x14ac:dyDescent="0.55000000000000004">
      <c r="C492" s="2" t="s">
        <v>25</v>
      </c>
      <c r="D492" s="2">
        <f>(1/COUNT(D37,D102,D167,D232,D297,D362,D427))*SQRT(SUMSQ(D37,D102,D167,D232,D297,D362,D427))</f>
        <v>1.2461874674709386E-3</v>
      </c>
      <c r="E492" s="2">
        <f t="shared" ref="E492:G492" si="40">(1/COUNT(E37,E102,E167,E232,E297,E362,E427))*SQRT(SUMSQ(E37,E102,E167,E232,E297,E362,E427))</f>
        <v>5.6616760498881908E-3</v>
      </c>
      <c r="F492" s="2">
        <f t="shared" si="40"/>
        <v>1.571539288307447E-3</v>
      </c>
      <c r="G492" s="2">
        <f t="shared" si="40"/>
        <v>2.2533165760355856E-3</v>
      </c>
      <c r="H492" s="2">
        <f>(1/COUNT(D492:G492))*SQRT(SUMSQ(D492:G492))</f>
        <v>1.6037988150109765E-3</v>
      </c>
    </row>
    <row r="493" spans="2:8" x14ac:dyDescent="0.55000000000000004">
      <c r="C493" s="2" t="s">
        <v>26</v>
      </c>
      <c r="D493" s="2">
        <f xml:space="preserve"> AVERAGE(D38,D103,D168,D233,D298,D363,D428)</f>
        <v>0.74955357142857149</v>
      </c>
      <c r="E493" s="2">
        <f t="shared" ref="E493:G493" si="41" xml:space="preserve"> AVERAGE(E38,E103,E168,E233,E298,E363,E428)</f>
        <v>0.70958699999999997</v>
      </c>
      <c r="F493" s="2">
        <f t="shared" si="41"/>
        <v>0.85900214285714271</v>
      </c>
      <c r="G493" s="2">
        <f t="shared" si="41"/>
        <v>0.88553285714285723</v>
      </c>
      <c r="H493" s="2">
        <f>AVERAGE(D493:G493)</f>
        <v>0.80091889285714279</v>
      </c>
    </row>
    <row r="494" spans="2:8" x14ac:dyDescent="0.55000000000000004">
      <c r="C494" s="2" t="s">
        <v>27</v>
      </c>
      <c r="D494" s="2">
        <f>(1/COUNT(D39,D104,D169,D234,D299,D364,D429))*SQRT(SUMSQ(D39,D104,D169,D234,D299,D364,D429))</f>
        <v>9.7129843666157755E-4</v>
      </c>
      <c r="E494" s="2">
        <f t="shared" ref="E494:G494" si="42">(1/COUNT(E39,E104,E169,E234,E299,E364,E429))*SQRT(SUMSQ(E39,E104,E169,E234,E299,E364,E429))</f>
        <v>4.1952382019890795E-3</v>
      </c>
      <c r="F494" s="2">
        <f t="shared" si="42"/>
        <v>1.5964474335734532E-3</v>
      </c>
      <c r="G494" s="2">
        <f t="shared" si="42"/>
        <v>1.3079612270356377E-3</v>
      </c>
      <c r="H494" s="2">
        <f>(1/COUNT(D494:G494))*SQRT(SUMSQ(D494:G494))</f>
        <v>1.1938082761713046E-3</v>
      </c>
    </row>
    <row r="495" spans="2:8" ht="14.5" customHeight="1" x14ac:dyDescent="0.55000000000000004">
      <c r="C495" s="2" t="s">
        <v>28</v>
      </c>
      <c r="D495" s="2">
        <f xml:space="preserve"> AVERAGE(D40,D105,D170,D235,D300,D365,D430)</f>
        <v>2.3496782857142864</v>
      </c>
      <c r="E495" s="2">
        <f t="shared" ref="E495:G495" si="43" xml:space="preserve"> AVERAGE(E40,E105,E170,E235,E300,E365,E430)</f>
        <v>2.7403939999999998</v>
      </c>
      <c r="F495" s="2">
        <f t="shared" si="43"/>
        <v>1.6955587142857145</v>
      </c>
      <c r="G495" s="2">
        <f t="shared" si="43"/>
        <v>1.2208278571428568</v>
      </c>
      <c r="H495" s="2">
        <f>AVERAGE(D495:G495)</f>
        <v>2.0016147142857141</v>
      </c>
    </row>
    <row r="496" spans="2:8" x14ac:dyDescent="0.55000000000000004">
      <c r="C496" s="2" t="s">
        <v>29</v>
      </c>
      <c r="D496" s="2">
        <f>(1/COUNT(D41,D106,D171,D236,D301,D366,D431))*SQRT(SUMSQ(D41,D106,D171,D236,D301,D366,D431))</f>
        <v>9.9934448086161538E-3</v>
      </c>
      <c r="E496" s="2">
        <f t="shared" ref="E496:G496" si="44">(1/COUNT(E41,E106,E171,E236,E301,E366,E431))*SQRT(SUMSQ(E41,E106,E171,E236,E301,E366,E431))</f>
        <v>4.2179354258369828E-2</v>
      </c>
      <c r="F496" s="2">
        <f t="shared" si="44"/>
        <v>1.7649549033956671E-2</v>
      </c>
      <c r="G496" s="2">
        <f t="shared" si="44"/>
        <v>1.254264392919985E-2</v>
      </c>
      <c r="H496" s="2">
        <f>(1/COUNT(D496:G496))*SQRT(SUMSQ(D496:G496))</f>
        <v>1.2113503216020576E-2</v>
      </c>
    </row>
    <row r="497" spans="2:8" x14ac:dyDescent="0.55000000000000004">
      <c r="C497" s="2" t="s">
        <v>30</v>
      </c>
      <c r="D497" s="2">
        <f xml:space="preserve"> AVERAGE(D42,D107,D172,D237,D302,D367,D432)</f>
        <v>10.822536142857142</v>
      </c>
      <c r="E497" s="2">
        <f t="shared" ref="E497:G497" si="45" xml:space="preserve"> AVERAGE(E42,E107,E172,E237,E302,E367,E432)</f>
        <v>14.291854428571428</v>
      </c>
      <c r="F497" s="2">
        <f t="shared" si="45"/>
        <v>10.426371571428572</v>
      </c>
      <c r="G497" s="2">
        <f t="shared" si="45"/>
        <v>5.8768104285714289</v>
      </c>
      <c r="H497" s="2">
        <f>AVERAGE(D497:G497)</f>
        <v>10.354393142857145</v>
      </c>
    </row>
    <row r="498" spans="2:8" x14ac:dyDescent="0.55000000000000004">
      <c r="C498" s="2" t="s">
        <v>31</v>
      </c>
      <c r="D498" s="2">
        <f>(1/COUNT(D43,D108,D173,D238,D303,D368,D433))*SQRT(SUMSQ(D43,D108,D173,D238,D303,D368,D433))</f>
        <v>5.8865660027814209E-2</v>
      </c>
      <c r="E498" s="2">
        <f t="shared" ref="E498:G498" si="46">(1/COUNT(E43,E108,E173,E238,E303,E368,E433))*SQRT(SUMSQ(E43,E108,E173,E238,E303,E368,E433))</f>
        <v>0.14323659908967229</v>
      </c>
      <c r="F498" s="2">
        <f t="shared" si="46"/>
        <v>5.8831683132857054E-2</v>
      </c>
      <c r="G498" s="2">
        <f t="shared" si="46"/>
        <v>2.9509619343114375E-2</v>
      </c>
      <c r="H498" s="2">
        <f>(1/COUNT(D498:G498))*SQRT(SUMSQ(D498:G498))</f>
        <v>4.2066817254893821E-2</v>
      </c>
    </row>
    <row r="499" spans="2:8" x14ac:dyDescent="0.55000000000000004">
      <c r="B499" s="2" t="s">
        <v>35</v>
      </c>
      <c r="C499" s="2" t="s">
        <v>22</v>
      </c>
      <c r="D499" s="2">
        <f xml:space="preserve"> AVERAGE(D44,D109,D174,D239,D304,D369,D434)</f>
        <v>0.93952142857142851</v>
      </c>
      <c r="E499" s="2">
        <f t="shared" ref="E499:G499" si="47" xml:space="preserve"> AVERAGE(E44,E109,E174,E239,E304,E369,E434)</f>
        <v>0.85596771428571417</v>
      </c>
      <c r="F499" s="2">
        <f t="shared" si="47"/>
        <v>0.97310928571428568</v>
      </c>
      <c r="G499" s="2">
        <f t="shared" si="47"/>
        <v>0.96561971428571436</v>
      </c>
      <c r="H499" s="2">
        <f>AVERAGE(D499:G499)</f>
        <v>0.9335545357142857</v>
      </c>
    </row>
    <row r="500" spans="2:8" x14ac:dyDescent="0.55000000000000004">
      <c r="C500" s="2" t="s">
        <v>23</v>
      </c>
      <c r="D500" s="2">
        <f>(1/COUNT(D45,D110,D175,D240,D305,D370,D435))*SQRT(SUMSQ(D45,D110,D175,D240,D305,D370,D435))</f>
        <v>3.5237242589426923E-4</v>
      </c>
      <c r="E500" s="2">
        <f t="shared" ref="E500:G500" si="48">(1/COUNT(E45,E110,E175,E240,E305,E370,E435))*SQRT(SUMSQ(E45,E110,E175,E240,E305,E370,E435))</f>
        <v>1.2244647393694862E-3</v>
      </c>
      <c r="F500" s="2">
        <f t="shared" si="48"/>
        <v>2.6143864149223641E-4</v>
      </c>
      <c r="G500" s="2">
        <f t="shared" si="48"/>
        <v>2.6772751148913191E-4</v>
      </c>
      <c r="H500" s="2">
        <f>(1/COUNT(D500:G500))*SQRT(SUMSQ(D500:G500))</f>
        <v>3.3199288472827862E-4</v>
      </c>
    </row>
    <row r="501" spans="2:8" x14ac:dyDescent="0.55000000000000004">
      <c r="C501" s="2" t="s">
        <v>24</v>
      </c>
      <c r="D501" s="2">
        <f xml:space="preserve"> AVERAGE(D46,D111,D176,D241,D306,D371,D436)</f>
        <v>0.36303299999999999</v>
      </c>
      <c r="E501" s="2">
        <f t="shared" ref="E501:G501" si="49" xml:space="preserve"> AVERAGE(E46,E111,E176,E241,E306,E371,E436)</f>
        <v>0.52218799999999999</v>
      </c>
      <c r="F501" s="2">
        <f t="shared" si="49"/>
        <v>0.33567985714285714</v>
      </c>
      <c r="G501" s="2">
        <f t="shared" si="49"/>
        <v>0.32649314285714287</v>
      </c>
      <c r="H501" s="2">
        <f>AVERAGE(D501:G501)</f>
        <v>0.38684850000000004</v>
      </c>
    </row>
    <row r="502" spans="2:8" x14ac:dyDescent="0.55000000000000004">
      <c r="C502" s="2" t="s">
        <v>25</v>
      </c>
      <c r="D502" s="2">
        <f>(1/COUNT(D47,D112,D177,D242,D307,D372,D437))*SQRT(SUMSQ(D47,D112,D177,D242,D307,D372,D437))</f>
        <v>8.029562851851696E-4</v>
      </c>
      <c r="E502" s="2">
        <f t="shared" ref="E502:G502" si="50">(1/COUNT(E47,E112,E177,E242,E307,E372,E437))*SQRT(SUMSQ(E47,E112,E177,E242,E307,E372,E437))</f>
        <v>2.2244222363828059E-3</v>
      </c>
      <c r="F502" s="2">
        <f t="shared" si="50"/>
        <v>7.3276731557535388E-4</v>
      </c>
      <c r="G502" s="2">
        <f t="shared" si="50"/>
        <v>8.3552513121866001E-4</v>
      </c>
      <c r="H502" s="2">
        <f>(1/COUNT(D502:G502))*SQRT(SUMSQ(D502:G502))</f>
        <v>6.5325355267432917E-4</v>
      </c>
    </row>
    <row r="503" spans="2:8" x14ac:dyDescent="0.55000000000000004">
      <c r="C503" s="2" t="s">
        <v>26</v>
      </c>
      <c r="D503" s="2">
        <f xml:space="preserve"> AVERAGE(D48,D113,D178,D243,D308,D373,D438)</f>
        <v>0.70932914285714299</v>
      </c>
      <c r="E503" s="2">
        <f t="shared" ref="E503:G503" si="51" xml:space="preserve"> AVERAGE(E48,E113,E178,E243,E308,E373,E438)</f>
        <v>0.61481328571428573</v>
      </c>
      <c r="F503" s="2">
        <f t="shared" si="51"/>
        <v>0.84803385714285717</v>
      </c>
      <c r="G503" s="2">
        <f t="shared" si="51"/>
        <v>0.87864728571428574</v>
      </c>
      <c r="H503" s="2">
        <f>AVERAGE(D503:G503)</f>
        <v>0.76270589285714285</v>
      </c>
    </row>
    <row r="504" spans="2:8" x14ac:dyDescent="0.55000000000000004">
      <c r="C504" s="2" t="s">
        <v>27</v>
      </c>
      <c r="D504" s="2">
        <f>(1/COUNT(D49,D114,D179,D244,D309,D374,D439))*SQRT(SUMSQ(D49,D114,D179,D244,D309,D374,D439))</f>
        <v>6.9072808377413297E-4</v>
      </c>
      <c r="E504" s="2">
        <f t="shared" ref="E504:G504" si="52">(1/COUNT(E49,E114,E179,E244,E309,E374,E439))*SQRT(SUMSQ(E49,E114,E179,E244,E309,E374,E439))</f>
        <v>1.6107351344865448E-3</v>
      </c>
      <c r="F504" s="2">
        <f t="shared" si="52"/>
        <v>7.2916988026502721E-4</v>
      </c>
      <c r="G504" s="2">
        <f t="shared" si="52"/>
        <v>4.7449836024748382E-4</v>
      </c>
      <c r="H504" s="2">
        <f>(1/COUNT(D504:G504))*SQRT(SUMSQ(D504:G504))</f>
        <v>4.8915810118936359E-4</v>
      </c>
    </row>
    <row r="505" spans="2:8" ht="14.5" customHeight="1" x14ac:dyDescent="0.55000000000000004">
      <c r="C505" s="2" t="s">
        <v>28</v>
      </c>
      <c r="D505" s="2">
        <f xml:space="preserve"> AVERAGE(D50,D115,D180,D245,D310,D375,D440)</f>
        <v>2.7061848571428571</v>
      </c>
      <c r="E505" s="2">
        <f t="shared" ref="E505:G505" si="53" xml:space="preserve"> AVERAGE(E50,E115,E180,E245,E310,E375,E440)</f>
        <v>3.7342727142857148</v>
      </c>
      <c r="F505" s="2">
        <f t="shared" si="53"/>
        <v>1.8086785714285714</v>
      </c>
      <c r="G505" s="2">
        <f t="shared" si="53"/>
        <v>1.2898978571428572</v>
      </c>
      <c r="H505" s="2">
        <f>AVERAGE(D505:G505)</f>
        <v>2.3847585000000002</v>
      </c>
    </row>
    <row r="506" spans="2:8" x14ac:dyDescent="0.55000000000000004">
      <c r="C506" s="2" t="s">
        <v>29</v>
      </c>
      <c r="D506" s="2">
        <f>(1/COUNT(D51,D116,D181,D246,D311,D376,D441))*SQRT(SUMSQ(D51,D116,D181,D246,D311,D376,D441))</f>
        <v>7.5492378896340065E-3</v>
      </c>
      <c r="E506" s="2">
        <f t="shared" ref="E506:G506" si="54">(1/COUNT(E51,E116,E181,E246,E311,E376,E441))*SQRT(SUMSQ(E51,E116,E181,E246,E311,E376,E441))</f>
        <v>2.1263401533995408E-2</v>
      </c>
      <c r="F506" s="2">
        <f t="shared" si="54"/>
        <v>8.2893340701488561E-3</v>
      </c>
      <c r="G506" s="2">
        <f t="shared" si="54"/>
        <v>4.6659484238338461E-3</v>
      </c>
      <c r="H506" s="2">
        <f>(1/COUNT(D506:G506))*SQRT(SUMSQ(D506:G506))</f>
        <v>6.1217204052997441E-3</v>
      </c>
    </row>
    <row r="507" spans="2:8" x14ac:dyDescent="0.55000000000000004">
      <c r="C507" s="2" t="s">
        <v>30</v>
      </c>
      <c r="D507" s="2">
        <f xml:space="preserve"> AVERAGE(D52,D117,D182,D247,D312,D377,D442)</f>
        <v>12.570267142857142</v>
      </c>
      <c r="E507" s="2">
        <f t="shared" ref="E507:G507" si="55" xml:space="preserve"> AVERAGE(E52,E117,E182,E247,E312,E377,E442)</f>
        <v>19.136715857142857</v>
      </c>
      <c r="F507" s="2">
        <f t="shared" si="55"/>
        <v>10.801599857142858</v>
      </c>
      <c r="G507" s="2">
        <f t="shared" si="55"/>
        <v>6.0577731428571422</v>
      </c>
      <c r="H507" s="2">
        <f>AVERAGE(D507:G507)</f>
        <v>12.141589</v>
      </c>
    </row>
    <row r="508" spans="2:8" x14ac:dyDescent="0.55000000000000004">
      <c r="C508" s="2" t="s">
        <v>31</v>
      </c>
      <c r="D508" s="2">
        <f>(1/COUNT(D53,D118,D183,D248,D313,D378,D443))*SQRT(SUMSQ(D53,D118,D183,D248,D313,D378,D443))</f>
        <v>4.0259327679484182E-2</v>
      </c>
      <c r="E508" s="2">
        <f t="shared" ref="E508:G508" si="56">(1/COUNT(E53,E118,E183,E248,E313,E378,E443))*SQRT(SUMSQ(E53,E118,E183,E248,E313,E378,E443))</f>
        <v>9.9438096935854967E-2</v>
      </c>
      <c r="F508" s="2">
        <f t="shared" si="56"/>
        <v>3.0098775318159729E-2</v>
      </c>
      <c r="G508" s="2">
        <f t="shared" si="56"/>
        <v>1.1759747185086201E-2</v>
      </c>
      <c r="H508" s="2">
        <f>(1/COUNT(D508:G508))*SQRT(SUMSQ(D508:G508))</f>
        <v>2.8010016642420501E-2</v>
      </c>
    </row>
    <row r="509" spans="2:8" x14ac:dyDescent="0.55000000000000004">
      <c r="B509" s="2" t="s">
        <v>36</v>
      </c>
      <c r="C509" s="2" t="s">
        <v>22</v>
      </c>
      <c r="D509" s="2">
        <f t="shared" ref="D509:G509" si="57" xml:space="preserve"> AVERAGE(D54,D119,D184,D249,D314,D379,D444)</f>
        <v>0.95354842857142863</v>
      </c>
      <c r="E509" s="2">
        <f t="shared" si="57"/>
        <v>0.90729128571428563</v>
      </c>
      <c r="F509" s="2">
        <f t="shared" si="57"/>
        <v>0.97749785714285709</v>
      </c>
      <c r="G509" s="2">
        <f t="shared" si="57"/>
        <v>0.97328228571428566</v>
      </c>
      <c r="H509" s="2">
        <f t="shared" ref="H509:H523" si="58">AVERAGE(D509:G509)</f>
        <v>0.95290496428571425</v>
      </c>
    </row>
    <row r="510" spans="2:8" x14ac:dyDescent="0.55000000000000004">
      <c r="C510" s="2" t="s">
        <v>24</v>
      </c>
      <c r="D510" s="2">
        <f t="shared" ref="D510:G510" si="59" xml:space="preserve"> AVERAGE(D55,D120,D185,D250,D315,D380,D445)</f>
        <v>0.32646385714285714</v>
      </c>
      <c r="E510" s="2">
        <f t="shared" si="59"/>
        <v>0.42023571428571432</v>
      </c>
      <c r="F510" s="2">
        <f t="shared" si="59"/>
        <v>0.32106399999999996</v>
      </c>
      <c r="G510" s="2">
        <f t="shared" si="59"/>
        <v>0.29690685714285714</v>
      </c>
      <c r="H510" s="2">
        <f t="shared" si="58"/>
        <v>0.3411676071428571</v>
      </c>
    </row>
    <row r="511" spans="2:8" x14ac:dyDescent="0.55000000000000004">
      <c r="C511" s="2" t="s">
        <v>26</v>
      </c>
      <c r="D511" s="2">
        <f t="shared" ref="D511:G511" si="60" xml:space="preserve"> AVERAGE(D56,D121,D186,D251,D316,D381,D446)</f>
        <v>0.73611071428571428</v>
      </c>
      <c r="E511" s="2">
        <f t="shared" si="60"/>
        <v>0.68652571428571441</v>
      </c>
      <c r="F511" s="2">
        <f t="shared" si="60"/>
        <v>0.86239299999999997</v>
      </c>
      <c r="G511" s="2">
        <f t="shared" si="60"/>
        <v>0.89395000000000002</v>
      </c>
      <c r="H511" s="2">
        <f t="shared" si="58"/>
        <v>0.79474485714285725</v>
      </c>
    </row>
    <row r="512" spans="2:8" x14ac:dyDescent="0.55000000000000004">
      <c r="C512" s="2" t="s">
        <v>28</v>
      </c>
      <c r="D512" s="2">
        <f t="shared" ref="D512:G512" si="61" xml:space="preserve"> AVERAGE(D57,D122,D187,D252,D317,D382,D447)</f>
        <v>2.5347538571428569</v>
      </c>
      <c r="E512" s="2">
        <f t="shared" si="61"/>
        <v>2.8813232857142856</v>
      </c>
      <c r="F512" s="2">
        <f t="shared" si="61"/>
        <v>1.6681298571428571</v>
      </c>
      <c r="G512" s="2">
        <f t="shared" si="61"/>
        <v>1.1303685714285714</v>
      </c>
      <c r="H512" s="2">
        <f t="shared" si="58"/>
        <v>2.0536438928571425</v>
      </c>
    </row>
    <row r="513" spans="2:8" x14ac:dyDescent="0.55000000000000004">
      <c r="C513" s="2" t="s">
        <v>30</v>
      </c>
      <c r="D513" s="2">
        <f t="shared" ref="D513:G513" si="62" xml:space="preserve"> AVERAGE(D58,D123,D188,D253,D318,D383,D448)</f>
        <v>11.992194142857143</v>
      </c>
      <c r="E513" s="2">
        <f t="shared" si="62"/>
        <v>15.560753000000002</v>
      </c>
      <c r="F513" s="2">
        <f t="shared" si="62"/>
        <v>10.497668714285714</v>
      </c>
      <c r="G513" s="2">
        <f t="shared" si="62"/>
        <v>5.6647554285714294</v>
      </c>
      <c r="H513" s="2">
        <f t="shared" si="58"/>
        <v>10.928842821428573</v>
      </c>
    </row>
    <row r="514" spans="2:8" x14ac:dyDescent="0.55000000000000004">
      <c r="B514" s="2" t="s">
        <v>37</v>
      </c>
      <c r="C514" s="2" t="s">
        <v>22</v>
      </c>
      <c r="D514" s="2">
        <f t="shared" ref="D514:G523" si="63" xml:space="preserve"> AVERAGE(D59,D124,D189,D254,D319,D384,D449)</f>
        <v>0.9294565714285713</v>
      </c>
      <c r="E514" s="2">
        <f t="shared" si="63"/>
        <v>0.78418971428571438</v>
      </c>
      <c r="F514" s="2">
        <f t="shared" si="63"/>
        <v>0.93966228571428567</v>
      </c>
      <c r="G514" s="2">
        <f t="shared" si="63"/>
        <v>0.92321985714285704</v>
      </c>
      <c r="H514" s="2">
        <f t="shared" si="58"/>
        <v>0.89413210714285718</v>
      </c>
    </row>
    <row r="515" spans="2:8" x14ac:dyDescent="0.55000000000000004">
      <c r="C515" s="2" t="s">
        <v>24</v>
      </c>
      <c r="D515" s="2">
        <f t="shared" si="63"/>
        <v>0.39094000000000001</v>
      </c>
      <c r="E515" s="2">
        <f t="shared" si="63"/>
        <v>0.63138142857142854</v>
      </c>
      <c r="F515" s="2">
        <f t="shared" si="63"/>
        <v>0.42175999999999997</v>
      </c>
      <c r="G515" s="2">
        <f t="shared" si="63"/>
        <v>0.43563042857142864</v>
      </c>
      <c r="H515" s="2">
        <f t="shared" si="58"/>
        <v>0.46992796428571426</v>
      </c>
    </row>
    <row r="516" spans="2:8" x14ac:dyDescent="0.55000000000000004">
      <c r="C516" s="2" t="s">
        <v>26</v>
      </c>
      <c r="D516" s="2">
        <f t="shared" si="63"/>
        <v>0.68478957142857144</v>
      </c>
      <c r="E516" s="2">
        <f t="shared" si="63"/>
        <v>0.55414128571428567</v>
      </c>
      <c r="F516" s="2">
        <f t="shared" si="63"/>
        <v>0.77056485714285716</v>
      </c>
      <c r="G516" s="2">
        <f t="shared" si="63"/>
        <v>0.81378057142857141</v>
      </c>
      <c r="H516" s="2">
        <f t="shared" si="58"/>
        <v>0.70581907142857148</v>
      </c>
    </row>
    <row r="517" spans="2:8" x14ac:dyDescent="0.55000000000000004">
      <c r="C517" s="2" t="s">
        <v>28</v>
      </c>
      <c r="D517" s="2">
        <f t="shared" si="63"/>
        <v>3.4368977142857142</v>
      </c>
      <c r="E517" s="2">
        <f t="shared" si="63"/>
        <v>5.4353174285714285</v>
      </c>
      <c r="F517" s="2">
        <f t="shared" si="63"/>
        <v>2.7852670000000002</v>
      </c>
      <c r="G517" s="2">
        <f t="shared" si="63"/>
        <v>1.9143664285714286</v>
      </c>
      <c r="H517" s="2">
        <f t="shared" si="58"/>
        <v>3.3929621428571433</v>
      </c>
    </row>
    <row r="518" spans="2:8" x14ac:dyDescent="0.55000000000000004">
      <c r="C518" s="2" t="s">
        <v>30</v>
      </c>
      <c r="D518" s="2">
        <f t="shared" si="63"/>
        <v>16.25043042857143</v>
      </c>
      <c r="E518" s="2">
        <f t="shared" si="63"/>
        <v>23.396897428571432</v>
      </c>
      <c r="F518" s="2">
        <f t="shared" si="63"/>
        <v>14.690019999999999</v>
      </c>
      <c r="G518" s="2">
        <f t="shared" si="63"/>
        <v>8.3067317142857124</v>
      </c>
      <c r="H518" s="2">
        <f t="shared" si="58"/>
        <v>15.661019892857142</v>
      </c>
    </row>
    <row r="519" spans="2:8" x14ac:dyDescent="0.55000000000000004">
      <c r="B519" s="2" t="s">
        <v>39</v>
      </c>
      <c r="C519" s="2" t="s">
        <v>22</v>
      </c>
      <c r="D519" s="2">
        <f t="shared" si="63"/>
        <v>0.96149942857142856</v>
      </c>
      <c r="E519" s="2">
        <f t="shared" si="63"/>
        <v>0.9323704285714286</v>
      </c>
      <c r="F519" s="2">
        <f t="shared" si="63"/>
        <v>0.97850214285714288</v>
      </c>
      <c r="G519" s="2">
        <f t="shared" si="63"/>
        <v>0.97242414285714296</v>
      </c>
      <c r="H519" s="2">
        <f t="shared" si="58"/>
        <v>0.96119903571428567</v>
      </c>
    </row>
    <row r="520" spans="2:8" x14ac:dyDescent="0.55000000000000004">
      <c r="C520" s="2" t="s">
        <v>24</v>
      </c>
      <c r="D520" s="2">
        <f t="shared" si="63"/>
        <v>0.30750299999999997</v>
      </c>
      <c r="E520" s="2">
        <f t="shared" si="63"/>
        <v>0.36301499999999998</v>
      </c>
      <c r="F520" s="2">
        <f t="shared" si="63"/>
        <v>0.32442557142857142</v>
      </c>
      <c r="G520" s="2">
        <f t="shared" si="63"/>
        <v>0.30767242857142857</v>
      </c>
      <c r="H520" s="2">
        <f t="shared" si="58"/>
        <v>0.325654</v>
      </c>
    </row>
    <row r="521" spans="2:8" x14ac:dyDescent="0.55000000000000004">
      <c r="C521" s="2" t="s">
        <v>26</v>
      </c>
      <c r="D521" s="2">
        <f t="shared" si="63"/>
        <v>0.75470314285714291</v>
      </c>
      <c r="E521" s="2">
        <f t="shared" si="63"/>
        <v>0.73443657142857144</v>
      </c>
      <c r="F521" s="2">
        <f t="shared" si="63"/>
        <v>0.86497871428571427</v>
      </c>
      <c r="G521" s="2">
        <f t="shared" si="63"/>
        <v>0.89094899999999999</v>
      </c>
      <c r="H521" s="2">
        <f t="shared" si="58"/>
        <v>0.81126685714285718</v>
      </c>
    </row>
    <row r="522" spans="2:8" x14ac:dyDescent="0.55000000000000004">
      <c r="C522" s="2" t="s">
        <v>28</v>
      </c>
      <c r="D522" s="2">
        <f t="shared" si="63"/>
        <v>2.3850578571428573</v>
      </c>
      <c r="E522" s="2">
        <f t="shared" si="63"/>
        <v>2.467171142857143</v>
      </c>
      <c r="F522" s="2">
        <f t="shared" si="63"/>
        <v>1.7160387142857143</v>
      </c>
      <c r="G522" s="2">
        <f t="shared" si="63"/>
        <v>1.2061708571428571</v>
      </c>
      <c r="H522" s="2">
        <f t="shared" si="58"/>
        <v>1.943609642857143</v>
      </c>
    </row>
    <row r="523" spans="2:8" x14ac:dyDescent="0.55000000000000004">
      <c r="C523" s="2" t="s">
        <v>30</v>
      </c>
      <c r="D523" s="2">
        <f xml:space="preserve"> AVERAGE(D68,D133,D198,D263,D328,D393,D458)</f>
        <v>11.073189857142859</v>
      </c>
      <c r="E523" s="2">
        <f t="shared" si="63"/>
        <v>14.647087571428569</v>
      </c>
      <c r="F523" s="2">
        <f t="shared" si="63"/>
        <v>10.806615714285714</v>
      </c>
      <c r="G523" s="2">
        <f t="shared" si="63"/>
        <v>6.1701675714285713</v>
      </c>
      <c r="H523" s="2">
        <f t="shared" si="58"/>
        <v>10.674265178571428</v>
      </c>
    </row>
    <row r="530" spans="1:1" x14ac:dyDescent="0.55000000000000004">
      <c r="A530" s="2" t="s">
        <v>42</v>
      </c>
    </row>
    <row r="579" spans="1:1" x14ac:dyDescent="0.55000000000000004">
      <c r="A579" s="2" t="s">
        <v>43</v>
      </c>
    </row>
    <row r="633" spans="1:1" x14ac:dyDescent="0.55000000000000004">
      <c r="A633" s="2" t="s">
        <v>44</v>
      </c>
    </row>
  </sheetData>
  <mergeCells count="4">
    <mergeCell ref="H1:H3"/>
    <mergeCell ref="I1:I2"/>
    <mergeCell ref="J1:J2"/>
    <mergeCell ref="K1:K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5337-D2A5-4252-B556-9396E02BC378}">
  <dimension ref="A1:T816"/>
  <sheetViews>
    <sheetView topLeftCell="A751" zoomScale="85" zoomScaleNormal="85" workbookViewId="0">
      <selection activeCell="L762" sqref="L762"/>
    </sheetView>
  </sheetViews>
  <sheetFormatPr defaultColWidth="9" defaultRowHeight="14.4" x14ac:dyDescent="0.55000000000000004"/>
  <cols>
    <col min="1" max="1" width="23.1015625" style="2" customWidth="1"/>
    <col min="2" max="2" width="27" style="2" customWidth="1"/>
    <col min="3" max="3" width="26.1015625" style="2" customWidth="1"/>
    <col min="4" max="4" width="14.26171875" style="2" customWidth="1"/>
    <col min="5" max="5" width="12.578125" style="2" customWidth="1"/>
    <col min="6" max="6" width="11.1015625" style="2" customWidth="1"/>
    <col min="7" max="7" width="11.578125" style="2" customWidth="1"/>
    <col min="8" max="8" width="16.26171875" style="2" customWidth="1"/>
    <col min="9" max="9" width="38.41796875" style="2" customWidth="1"/>
    <col min="10" max="10" width="40" style="2" customWidth="1"/>
    <col min="11" max="11" width="33.578125" style="2" customWidth="1"/>
    <col min="12" max="12" width="26.734375" style="2" customWidth="1"/>
    <col min="13" max="13" width="17.26171875" style="2" customWidth="1"/>
    <col min="14" max="14" width="18.26171875" style="2" customWidth="1"/>
    <col min="15" max="15" width="30.734375" style="2" customWidth="1"/>
    <col min="16" max="16" width="30" style="2" customWidth="1"/>
    <col min="17" max="16384" width="9" style="2"/>
  </cols>
  <sheetData>
    <row r="1" spans="1:10" ht="31.5" customHeight="1" x14ac:dyDescent="0.55000000000000004">
      <c r="A1" s="3" t="s">
        <v>7</v>
      </c>
      <c r="B1" s="3" t="s">
        <v>8</v>
      </c>
      <c r="C1" s="2" t="s">
        <v>9</v>
      </c>
      <c r="D1" s="2">
        <v>1</v>
      </c>
      <c r="E1" s="2">
        <v>2</v>
      </c>
      <c r="F1" s="2">
        <v>3</v>
      </c>
      <c r="G1" s="2">
        <v>4</v>
      </c>
      <c r="H1" s="13" t="s">
        <v>56</v>
      </c>
      <c r="I1" s="2" t="s">
        <v>57</v>
      </c>
      <c r="J1" s="2">
        <v>0.7</v>
      </c>
    </row>
    <row r="2" spans="1:10" ht="31.5" customHeight="1" x14ac:dyDescent="0.55000000000000004">
      <c r="A2" s="3" t="s">
        <v>10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14"/>
      <c r="I2" s="2" t="s">
        <v>58</v>
      </c>
      <c r="J2" s="2">
        <f>_xlfn.T.INV.2T(1-J1, COUNT(D4:G4) - 1)</f>
        <v>1.2497781050332251</v>
      </c>
    </row>
    <row r="3" spans="1:10" ht="31.5" customHeight="1" x14ac:dyDescent="0.55000000000000004">
      <c r="A3" s="3" t="s">
        <v>17</v>
      </c>
      <c r="B3" s="4" t="s">
        <v>11</v>
      </c>
      <c r="C3" s="2" t="s">
        <v>18</v>
      </c>
      <c r="D3" s="3" t="s">
        <v>19</v>
      </c>
      <c r="E3" s="3"/>
      <c r="F3" s="3" t="s">
        <v>19</v>
      </c>
      <c r="G3" s="3"/>
      <c r="H3" s="15"/>
      <c r="I3" s="2" t="s">
        <v>59</v>
      </c>
      <c r="J3" s="3" t="s">
        <v>60</v>
      </c>
    </row>
    <row r="4" spans="1:10" x14ac:dyDescent="0.55000000000000004">
      <c r="A4" s="2" t="s">
        <v>20</v>
      </c>
      <c r="B4" s="2" t="s">
        <v>21</v>
      </c>
      <c r="C4" s="2" t="s">
        <v>22</v>
      </c>
      <c r="D4" s="2">
        <v>0.98767000000000005</v>
      </c>
      <c r="E4" s="2">
        <v>0.98028599999999999</v>
      </c>
      <c r="F4" s="2">
        <v>0.99263900000000005</v>
      </c>
      <c r="G4" s="2">
        <v>0.99228099999999997</v>
      </c>
      <c r="H4" s="2">
        <f>AVERAGE(D4:G4)</f>
        <v>0.98821899999999996</v>
      </c>
      <c r="I4" s="2">
        <f xml:space="preserve"> _xlfn.STDEV.S(D4:G4) / SQRT(COUNT(D4:G4))</f>
        <v>2.8761973448751198E-3</v>
      </c>
      <c r="J4" s="2">
        <f>I4*$J$2</f>
        <v>3.5946084673796207E-3</v>
      </c>
    </row>
    <row r="5" spans="1:10" x14ac:dyDescent="0.55000000000000004">
      <c r="A5" s="2">
        <v>0.3</v>
      </c>
      <c r="C5" s="2" t="s">
        <v>23</v>
      </c>
      <c r="D5" s="2">
        <v>5.3000000000000001E-5</v>
      </c>
      <c r="E5" s="2">
        <v>8.0000000000000007E-5</v>
      </c>
      <c r="F5" s="2">
        <v>5.3999999999999998E-5</v>
      </c>
      <c r="G5" s="2">
        <v>6.9999999999999994E-5</v>
      </c>
      <c r="H5" s="2">
        <f>(1/COUNT(D5:G5))*SQRT(SUMSQ(D5:G5))</f>
        <v>3.2619970876749723E-5</v>
      </c>
    </row>
    <row r="6" spans="1:10" x14ac:dyDescent="0.55000000000000004">
      <c r="C6" s="2" t="s">
        <v>24</v>
      </c>
      <c r="D6" s="2">
        <v>0.167217</v>
      </c>
      <c r="E6" s="2">
        <v>0.20483899999999999</v>
      </c>
      <c r="F6" s="2">
        <v>0.22797400000000001</v>
      </c>
      <c r="G6" s="2">
        <v>0.219051</v>
      </c>
      <c r="H6" s="2">
        <f>AVERAGE(D6:G6)</f>
        <v>0.20477025000000001</v>
      </c>
      <c r="I6" s="2">
        <f xml:space="preserve"> _xlfn.STDEV.S(D6:G6) / SQRT(COUNT(D6:G6))</f>
        <v>1.3393422349390935E-2</v>
      </c>
      <c r="J6" s="2">
        <f>I6*$J$2</f>
        <v>1.6738806003731448E-2</v>
      </c>
    </row>
    <row r="7" spans="1:10" x14ac:dyDescent="0.55000000000000004">
      <c r="C7" s="2" t="s">
        <v>25</v>
      </c>
      <c r="D7" s="2">
        <v>3.3399999999999999E-4</v>
      </c>
      <c r="E7" s="2">
        <v>3.3100000000000002E-4</v>
      </c>
      <c r="F7" s="2">
        <v>4.2299999999999998E-4</v>
      </c>
      <c r="G7" s="2">
        <v>5.8799999999999998E-4</v>
      </c>
      <c r="H7" s="2">
        <f>(1/COUNT(D7:G7))*SQRT(SUMSQ(D7:G7))</f>
        <v>2.1589783463481053E-4</v>
      </c>
    </row>
    <row r="8" spans="1:10" x14ac:dyDescent="0.55000000000000004">
      <c r="C8" s="2" t="s">
        <v>26</v>
      </c>
      <c r="D8" s="2">
        <v>0.886965</v>
      </c>
      <c r="E8" s="2">
        <v>0.86917599999999995</v>
      </c>
      <c r="F8" s="2">
        <v>0.91597600000000001</v>
      </c>
      <c r="G8" s="2">
        <v>0.93693899999999997</v>
      </c>
      <c r="H8" s="2">
        <f>AVERAGE(D8:G8)</f>
        <v>0.90226399999999995</v>
      </c>
      <c r="I8" s="2">
        <f xml:space="preserve"> _xlfn.STDEV.S(D8:G8) / SQRT(COUNT(D8:G8))</f>
        <v>1.5053376459563264E-2</v>
      </c>
      <c r="J8" s="2">
        <f>I8*$J$2</f>
        <v>1.8813380305984735E-2</v>
      </c>
    </row>
    <row r="9" spans="1:10" x14ac:dyDescent="0.55000000000000004">
      <c r="C9" s="2" t="s">
        <v>27</v>
      </c>
      <c r="D9" s="2">
        <v>2.0699999999999999E-4</v>
      </c>
      <c r="E9" s="2">
        <v>2.2000000000000001E-4</v>
      </c>
      <c r="F9" s="2">
        <v>1.45E-4</v>
      </c>
      <c r="G9" s="2">
        <v>1.54E-4</v>
      </c>
      <c r="H9" s="2">
        <f>(1/COUNT(D9:G9))*SQRT(SUMSQ(D9:G9))</f>
        <v>9.2192054972215474E-5</v>
      </c>
    </row>
    <row r="10" spans="1:10" x14ac:dyDescent="0.55000000000000004">
      <c r="C10" s="2" t="s">
        <v>28</v>
      </c>
      <c r="D10" s="2">
        <v>1.0328900000000001</v>
      </c>
      <c r="E10" s="2">
        <v>1.231528</v>
      </c>
      <c r="F10" s="2">
        <v>1.575466</v>
      </c>
      <c r="G10" s="2">
        <v>1.551026</v>
      </c>
      <c r="H10" s="2">
        <f>AVERAGE(D10:G10)</f>
        <v>1.3477275</v>
      </c>
      <c r="I10" s="2">
        <f xml:space="preserve"> _xlfn.STDEV.S(D10:G10) / SQRT(COUNT(D10:G10))</f>
        <v>0.13096439709930094</v>
      </c>
      <c r="J10" s="2">
        <f>I10*$J$2</f>
        <v>0.16367643603358312</v>
      </c>
    </row>
    <row r="11" spans="1:10" x14ac:dyDescent="0.55000000000000004">
      <c r="C11" s="2" t="s">
        <v>29</v>
      </c>
      <c r="D11" s="2">
        <v>3.8909999999999999E-3</v>
      </c>
      <c r="E11" s="2">
        <v>3.369E-3</v>
      </c>
      <c r="F11" s="2">
        <v>1.0991000000000001E-2</v>
      </c>
      <c r="G11" s="2">
        <v>7.528E-3</v>
      </c>
      <c r="H11" s="2">
        <f>(1/COUNT(D11:G11))*SQRT(SUMSQ(D11:G11))</f>
        <v>3.570389570831172E-3</v>
      </c>
    </row>
    <row r="12" spans="1:10" x14ac:dyDescent="0.55000000000000004">
      <c r="C12" s="2" t="s">
        <v>30</v>
      </c>
      <c r="D12" s="2">
        <v>16.139026000000001</v>
      </c>
      <c r="E12" s="2">
        <v>22.143280000000001</v>
      </c>
      <c r="F12" s="2">
        <v>17.807953000000001</v>
      </c>
      <c r="G12" s="2">
        <v>28.057507999999999</v>
      </c>
      <c r="H12" s="2">
        <f>AVERAGE(D12:G12)</f>
        <v>21.03694175</v>
      </c>
      <c r="I12" s="2">
        <f xml:space="preserve"> _xlfn.STDEV.S(D12:G12) / SQRT(COUNT(D12:G12))</f>
        <v>2.6603302087613221</v>
      </c>
      <c r="J12" s="2">
        <f>I12*$J$2</f>
        <v>3.3248224470683692</v>
      </c>
    </row>
    <row r="13" spans="1:10" x14ac:dyDescent="0.55000000000000004">
      <c r="C13" s="2" t="s">
        <v>31</v>
      </c>
      <c r="D13" s="2">
        <v>4.9751999999999998E-2</v>
      </c>
      <c r="E13" s="2">
        <v>2.3709000000000001E-2</v>
      </c>
      <c r="F13" s="2">
        <v>2.4489E-2</v>
      </c>
      <c r="G13" s="2">
        <v>7.0153999999999994E-2</v>
      </c>
      <c r="H13" s="2">
        <f>(1/COUNT(D13:G13))*SQRT(SUMSQ(D13:G13))</f>
        <v>2.3128274122272936E-2</v>
      </c>
    </row>
    <row r="14" spans="1:10" x14ac:dyDescent="0.55000000000000004">
      <c r="B14" s="2" t="s">
        <v>32</v>
      </c>
      <c r="C14" s="2" t="s">
        <v>22</v>
      </c>
      <c r="D14" s="2">
        <v>0.98639399999999999</v>
      </c>
      <c r="E14" s="2">
        <v>0.97494000000000003</v>
      </c>
      <c r="F14" s="2">
        <v>0.99272000000000005</v>
      </c>
      <c r="G14" s="2">
        <v>0.99217</v>
      </c>
      <c r="H14" s="2">
        <f>AVERAGE(D14:G14)</f>
        <v>0.98655599999999999</v>
      </c>
      <c r="I14" s="2">
        <f xml:space="preserve"> _xlfn.STDEV.S(D14:G14) / SQRT(COUNT(D14:G14))</f>
        <v>4.1278484306799179E-3</v>
      </c>
      <c r="J14" s="2">
        <f>I14*$J$2</f>
        <v>5.1588945895595199E-3</v>
      </c>
    </row>
    <row r="15" spans="1:10" x14ac:dyDescent="0.55000000000000004">
      <c r="C15" s="2" t="s">
        <v>23</v>
      </c>
      <c r="D15" s="2">
        <v>1.73E-4</v>
      </c>
      <c r="E15" s="2">
        <v>7.1699999999999997E-4</v>
      </c>
      <c r="F15" s="2">
        <v>7.8999999999999996E-5</v>
      </c>
      <c r="G15" s="2">
        <v>9.7E-5</v>
      </c>
      <c r="H15" s="2">
        <f>(1/COUNT(D15:G15))*SQRT(SUMSQ(D15:G15))</f>
        <v>1.8702740440908652E-4</v>
      </c>
    </row>
    <row r="16" spans="1:10" x14ac:dyDescent="0.55000000000000004">
      <c r="C16" s="2" t="s">
        <v>24</v>
      </c>
      <c r="D16" s="2">
        <v>0.175147</v>
      </c>
      <c r="E16" s="2">
        <v>0.227877</v>
      </c>
      <c r="F16" s="2">
        <v>0.226022</v>
      </c>
      <c r="G16" s="2">
        <v>0.22069</v>
      </c>
      <c r="H16" s="2">
        <f>AVERAGE(D16:G16)</f>
        <v>0.21243400000000001</v>
      </c>
      <c r="I16" s="2">
        <f xml:space="preserve"> _xlfn.STDEV.S(D16:G16) / SQRT(COUNT(D16:G16))</f>
        <v>1.252198698955815E-2</v>
      </c>
      <c r="J16" s="2">
        <f>I16*$J$2</f>
        <v>1.5649705171060683E-2</v>
      </c>
    </row>
    <row r="17" spans="2:10" x14ac:dyDescent="0.55000000000000004">
      <c r="C17" s="2" t="s">
        <v>25</v>
      </c>
      <c r="D17" s="2">
        <v>9.68E-4</v>
      </c>
      <c r="E17" s="2">
        <v>2.7049999999999999E-3</v>
      </c>
      <c r="F17" s="2">
        <v>6.7299999999999999E-4</v>
      </c>
      <c r="G17" s="2">
        <v>7.3200000000000001E-4</v>
      </c>
      <c r="H17" s="2">
        <f>(1/COUNT(D17:G17))*SQRT(SUMSQ(D17:G17))</f>
        <v>7.6004942273512712E-4</v>
      </c>
    </row>
    <row r="18" spans="2:10" x14ac:dyDescent="0.55000000000000004">
      <c r="C18" s="2" t="s">
        <v>26</v>
      </c>
      <c r="D18" s="2">
        <v>0.88215600000000005</v>
      </c>
      <c r="E18" s="2">
        <v>0.85852899999999999</v>
      </c>
      <c r="F18" s="2">
        <v>0.916188</v>
      </c>
      <c r="G18" s="2">
        <v>0.93655299999999997</v>
      </c>
      <c r="H18" s="2">
        <f>AVERAGE(D18:G18)</f>
        <v>0.8983565</v>
      </c>
      <c r="I18" s="2">
        <f xml:space="preserve"> _xlfn.STDEV.S(D18:G18) / SQRT(COUNT(D18:G18))</f>
        <v>1.7382033255155541E-2</v>
      </c>
      <c r="J18" s="2">
        <f>I18*$J$2</f>
        <v>2.1723684583252793E-2</v>
      </c>
    </row>
    <row r="19" spans="2:10" x14ac:dyDescent="0.55000000000000004">
      <c r="C19" s="2" t="s">
        <v>27</v>
      </c>
      <c r="D19" s="2">
        <v>7.9600000000000005E-4</v>
      </c>
      <c r="E19" s="2">
        <v>1.4419999999999999E-3</v>
      </c>
      <c r="F19" s="2">
        <v>4.5300000000000001E-4</v>
      </c>
      <c r="G19" s="2">
        <v>3.4000000000000002E-4</v>
      </c>
      <c r="H19" s="2">
        <f>(1/COUNT(D19:G19))*SQRT(SUMSQ(D19:G19))</f>
        <v>4.3544438508264177E-4</v>
      </c>
    </row>
    <row r="20" spans="2:10" x14ac:dyDescent="0.55000000000000004">
      <c r="C20" s="2" t="s">
        <v>28</v>
      </c>
      <c r="D20" s="2">
        <v>1.119624</v>
      </c>
      <c r="E20" s="2">
        <v>1.4517009999999999</v>
      </c>
      <c r="F20" s="2">
        <v>1.5406200000000001</v>
      </c>
      <c r="G20" s="2">
        <v>1.5699380000000001</v>
      </c>
      <c r="H20" s="2">
        <f>AVERAGE(D20:G20)</f>
        <v>1.4204707500000002</v>
      </c>
      <c r="I20" s="2">
        <f xml:space="preserve"> _xlfn.STDEV.S(D20:G20) / SQRT(COUNT(D20:G20))</f>
        <v>0.10338455582546636</v>
      </c>
      <c r="J20" s="2">
        <f>I20*$J$2</f>
        <v>0.12920775426925302</v>
      </c>
    </row>
    <row r="21" spans="2:10" x14ac:dyDescent="0.55000000000000004">
      <c r="C21" s="2" t="s">
        <v>29</v>
      </c>
      <c r="D21" s="2">
        <v>1.0592000000000001E-2</v>
      </c>
      <c r="E21" s="2">
        <v>2.0414999999999999E-2</v>
      </c>
      <c r="F21" s="2">
        <v>1.5091E-2</v>
      </c>
      <c r="G21" s="2">
        <v>9.4769999999999993E-3</v>
      </c>
      <c r="H21" s="2">
        <f>(1/COUNT(D21:G21))*SQRT(SUMSQ(D21:G21))</f>
        <v>7.2737305550522003E-3</v>
      </c>
    </row>
    <row r="22" spans="2:10" x14ac:dyDescent="0.55000000000000004">
      <c r="C22" s="2" t="s">
        <v>30</v>
      </c>
      <c r="D22" s="2">
        <v>17.343288000000001</v>
      </c>
      <c r="E22" s="2">
        <v>22.760028999999999</v>
      </c>
      <c r="F22" s="2">
        <v>18.009668000000001</v>
      </c>
      <c r="G22" s="2">
        <v>28.391269000000001</v>
      </c>
      <c r="H22" s="2">
        <f>AVERAGE(D22:G22)</f>
        <v>21.626063500000001</v>
      </c>
      <c r="I22" s="2">
        <f xml:space="preserve"> _xlfn.STDEV.S(D22:G22) / SQRT(COUNT(D22:G22))</f>
        <v>2.5572505679642412</v>
      </c>
      <c r="J22" s="2">
        <f>I22*$J$2</f>
        <v>3.1959957689254881</v>
      </c>
    </row>
    <row r="23" spans="2:10" x14ac:dyDescent="0.55000000000000004">
      <c r="C23" s="2" t="s">
        <v>31</v>
      </c>
      <c r="D23" s="2">
        <v>0.26265699999999997</v>
      </c>
      <c r="E23" s="2">
        <v>0.135958</v>
      </c>
      <c r="F23" s="2">
        <v>0.100452</v>
      </c>
      <c r="G23" s="2">
        <v>9.3422000000000005E-2</v>
      </c>
      <c r="H23" s="2">
        <f>(1/COUNT(D23:G23))*SQRT(SUMSQ(D23:G23))</f>
        <v>8.1505962895744619E-2</v>
      </c>
    </row>
    <row r="24" spans="2:10" x14ac:dyDescent="0.55000000000000004">
      <c r="B24" s="2" t="s">
        <v>33</v>
      </c>
      <c r="C24" s="2" t="s">
        <v>22</v>
      </c>
      <c r="D24" s="2">
        <v>0.98767899999999997</v>
      </c>
      <c r="E24" s="2">
        <v>0.98033300000000001</v>
      </c>
      <c r="F24" s="2">
        <v>0.99272800000000005</v>
      </c>
      <c r="G24" s="2">
        <v>0.99289000000000005</v>
      </c>
      <c r="H24" s="2">
        <f>AVERAGE(D24:G24)</f>
        <v>0.98840749999999999</v>
      </c>
      <c r="I24" s="2">
        <f xml:space="preserve"> _xlfn.STDEV.S(D24:G24) / SQRT(COUNT(D24:G24))</f>
        <v>2.9508161159245531E-3</v>
      </c>
      <c r="J24" s="2">
        <f>I24*$J$2</f>
        <v>3.6878653736616895E-3</v>
      </c>
    </row>
    <row r="25" spans="2:10" x14ac:dyDescent="0.55000000000000004">
      <c r="C25" s="2" t="s">
        <v>23</v>
      </c>
      <c r="D25" s="2">
        <v>1.4E-5</v>
      </c>
      <c r="E25" s="2">
        <v>6.8999999999999997E-5</v>
      </c>
      <c r="F25" s="2">
        <v>3.1000000000000001E-5</v>
      </c>
      <c r="G25" s="2">
        <v>2.3E-5</v>
      </c>
      <c r="H25" s="2">
        <f>(1/COUNT(D25:G25))*SQRT(SUMSQ(D25:G25))</f>
        <v>2.0073303166145826E-5</v>
      </c>
    </row>
    <row r="26" spans="2:10" x14ac:dyDescent="0.55000000000000004">
      <c r="C26" s="2" t="s">
        <v>24</v>
      </c>
      <c r="D26" s="2">
        <v>0.16720599999999999</v>
      </c>
      <c r="E26" s="2">
        <v>0.204654</v>
      </c>
      <c r="F26" s="2">
        <v>0.22777700000000001</v>
      </c>
      <c r="G26" s="2">
        <v>0.21809999999999999</v>
      </c>
      <c r="H26" s="2">
        <f>AVERAGE(D26:G26)</f>
        <v>0.20443424999999998</v>
      </c>
      <c r="I26" s="2">
        <f xml:space="preserve"> _xlfn.STDEV.S(D26:G26) / SQRT(COUNT(D26:G26))</f>
        <v>1.3284162214049079E-2</v>
      </c>
      <c r="J26" s="2">
        <f>I26*$J$2</f>
        <v>1.6602255078828228E-2</v>
      </c>
    </row>
    <row r="27" spans="2:10" x14ac:dyDescent="0.55000000000000004">
      <c r="C27" s="2" t="s">
        <v>25</v>
      </c>
      <c r="D27" s="2">
        <v>1.02E-4</v>
      </c>
      <c r="E27" s="2">
        <v>3.01E-4</v>
      </c>
      <c r="F27" s="2">
        <v>1.8799999999999999E-4</v>
      </c>
      <c r="G27" s="2">
        <v>2.3900000000000001E-4</v>
      </c>
      <c r="H27" s="2">
        <f>(1/COUNT(D27:G27))*SQRT(SUMSQ(D27:G27))</f>
        <v>1.0996306197992124E-4</v>
      </c>
    </row>
    <row r="28" spans="2:10" x14ac:dyDescent="0.55000000000000004">
      <c r="C28" s="2" t="s">
        <v>26</v>
      </c>
      <c r="D28" s="2">
        <v>0.886934</v>
      </c>
      <c r="E28" s="2">
        <v>0.86917699999999998</v>
      </c>
      <c r="F28" s="2">
        <v>0.916377</v>
      </c>
      <c r="G28" s="2">
        <v>0.93837800000000005</v>
      </c>
      <c r="H28" s="2">
        <f>AVERAGE(D28:G28)</f>
        <v>0.90271650000000003</v>
      </c>
      <c r="I28" s="2">
        <f xml:space="preserve"> _xlfn.STDEV.S(D28:G28) / SQRT(COUNT(D28:G28))</f>
        <v>1.5363206070023287E-2</v>
      </c>
      <c r="J28" s="2">
        <f>I28*$J$2</f>
        <v>1.9200598569428642E-2</v>
      </c>
    </row>
    <row r="29" spans="2:10" x14ac:dyDescent="0.55000000000000004">
      <c r="C29" s="2" t="s">
        <v>27</v>
      </c>
      <c r="D29" s="2">
        <v>6.0000000000000002E-5</v>
      </c>
      <c r="E29" s="2">
        <v>1.8000000000000001E-4</v>
      </c>
      <c r="F29" s="2">
        <v>1.4899999999999999E-4</v>
      </c>
      <c r="G29" s="2">
        <v>7.4999999999999993E-5</v>
      </c>
      <c r="H29" s="2">
        <f>(1/COUNT(D29:G29))*SQRT(SUMSQ(D29:G29))</f>
        <v>6.3159520264169199E-5</v>
      </c>
    </row>
    <row r="30" spans="2:10" x14ac:dyDescent="0.55000000000000004">
      <c r="C30" s="2" t="s">
        <v>28</v>
      </c>
      <c r="D30" s="2">
        <v>1.0297940000000001</v>
      </c>
      <c r="E30" s="2">
        <v>1.2288790000000001</v>
      </c>
      <c r="F30" s="2">
        <v>1.574872</v>
      </c>
      <c r="G30" s="2">
        <v>1.5517000000000001</v>
      </c>
      <c r="H30" s="2">
        <f>AVERAGE(D30:G30)</f>
        <v>1.3463112500000001</v>
      </c>
      <c r="I30" s="2">
        <f xml:space="preserve"> _xlfn.STDEV.S(D30:G30) / SQRT(COUNT(D30:G30))</f>
        <v>0.13178203530664789</v>
      </c>
      <c r="J30" s="2">
        <f>I30*$J$2</f>
        <v>0.16469830236296396</v>
      </c>
    </row>
    <row r="31" spans="2:10" x14ac:dyDescent="0.55000000000000004">
      <c r="C31" s="2" t="s">
        <v>29</v>
      </c>
      <c r="D31" s="2">
        <v>1.4630000000000001E-3</v>
      </c>
      <c r="E31" s="2">
        <v>1.848E-3</v>
      </c>
      <c r="F31" s="2">
        <v>3.6610000000000002E-3</v>
      </c>
      <c r="G31" s="2">
        <v>3.8969999999999999E-3</v>
      </c>
      <c r="H31" s="2">
        <f>(1/COUNT(D31:G31))*SQRT(SUMSQ(D31:G31))</f>
        <v>1.4608431426748048E-3</v>
      </c>
    </row>
    <row r="32" spans="2:10" x14ac:dyDescent="0.55000000000000004">
      <c r="C32" s="2" t="s">
        <v>30</v>
      </c>
      <c r="D32" s="2">
        <v>16.064688</v>
      </c>
      <c r="E32" s="2">
        <v>22.092991999999999</v>
      </c>
      <c r="F32" s="2">
        <v>17.895883999999999</v>
      </c>
      <c r="G32" s="2">
        <v>28.102553</v>
      </c>
      <c r="H32" s="2">
        <f>AVERAGE(D32:G32)</f>
        <v>21.039029249999999</v>
      </c>
      <c r="I32" s="2">
        <f xml:space="preserve"> _xlfn.STDEV.S(D32:G32) / SQRT(COUNT(D32:G32))</f>
        <v>2.6712612217710112</v>
      </c>
      <c r="J32" s="2">
        <f>I32*$J$2</f>
        <v>3.3384837877937121</v>
      </c>
    </row>
    <row r="33" spans="2:10" x14ac:dyDescent="0.55000000000000004">
      <c r="C33" s="2" t="s">
        <v>31</v>
      </c>
      <c r="D33" s="2">
        <v>2.0500999999999998E-2</v>
      </c>
      <c r="E33" s="2">
        <v>1.2775999999999999E-2</v>
      </c>
      <c r="F33" s="2">
        <v>2.4767999999999998E-2</v>
      </c>
      <c r="G33" s="2">
        <v>3.6436999999999997E-2</v>
      </c>
      <c r="H33" s="2">
        <f>(1/COUNT(D33:G33))*SQRT(SUMSQ(D33:G33))</f>
        <v>1.2561414057541451E-2</v>
      </c>
    </row>
    <row r="34" spans="2:10" x14ac:dyDescent="0.55000000000000004">
      <c r="B34" s="2" t="s">
        <v>34</v>
      </c>
      <c r="C34" s="2" t="s">
        <v>22</v>
      </c>
      <c r="D34" s="2">
        <v>0.98747700000000005</v>
      </c>
      <c r="E34" s="2">
        <v>0.97452899999999998</v>
      </c>
      <c r="F34" s="2">
        <v>0.99261299999999997</v>
      </c>
      <c r="G34" s="2">
        <v>0.99260700000000002</v>
      </c>
      <c r="H34" s="2">
        <f>AVERAGE(D34:G34)</f>
        <v>0.98680650000000003</v>
      </c>
      <c r="I34" s="2">
        <f xml:space="preserve"> _xlfn.STDEV.S(D34:G34) / SQRT(COUNT(D34:G34))</f>
        <v>4.2675892785037353E-3</v>
      </c>
      <c r="J34" s="2">
        <f>I34*$J$2</f>
        <v>5.3335396415485061E-3</v>
      </c>
    </row>
    <row r="35" spans="2:10" x14ac:dyDescent="0.55000000000000004">
      <c r="C35" s="2" t="s">
        <v>23</v>
      </c>
      <c r="D35" s="2">
        <v>1.94E-4</v>
      </c>
      <c r="E35" s="2">
        <v>2.0760000000000002E-3</v>
      </c>
      <c r="F35" s="2">
        <v>1.73E-4</v>
      </c>
      <c r="G35" s="2">
        <v>5.8999999999999998E-5</v>
      </c>
      <c r="H35" s="2">
        <f>(1/COUNT(D35:G35))*SQRT(SUMSQ(D35:G35))</f>
        <v>5.2326033195723904E-4</v>
      </c>
    </row>
    <row r="36" spans="2:10" x14ac:dyDescent="0.55000000000000004">
      <c r="C36" s="2" t="s">
        <v>24</v>
      </c>
      <c r="D36" s="2">
        <v>0.16836499999999999</v>
      </c>
      <c r="E36" s="2">
        <v>0.228267</v>
      </c>
      <c r="F36" s="2">
        <v>0.22916300000000001</v>
      </c>
      <c r="G36" s="2">
        <v>0.21831400000000001</v>
      </c>
      <c r="H36" s="2">
        <f>AVERAGE(D36:G36)</f>
        <v>0.21102725</v>
      </c>
      <c r="I36" s="2">
        <f xml:space="preserve"> _xlfn.STDEV.S(D36:G36) / SQRT(COUNT(D36:G36))</f>
        <v>1.4431674391045774E-2</v>
      </c>
      <c r="J36" s="2">
        <f>I36*$J$2</f>
        <v>1.8036390672897709E-2</v>
      </c>
    </row>
    <row r="37" spans="2:10" x14ac:dyDescent="0.55000000000000004">
      <c r="C37" s="2" t="s">
        <v>25</v>
      </c>
      <c r="D37" s="2">
        <v>9.859999999999999E-4</v>
      </c>
      <c r="E37" s="2">
        <v>7.5119999999999996E-3</v>
      </c>
      <c r="F37" s="2">
        <v>9.9299999999999996E-4</v>
      </c>
      <c r="G37" s="2">
        <v>4.37E-4</v>
      </c>
      <c r="H37" s="2">
        <f>(1/COUNT(D37:G37))*SQRT(SUMSQ(D37:G37))</f>
        <v>1.9134288267401011E-3</v>
      </c>
    </row>
    <row r="38" spans="2:10" x14ac:dyDescent="0.55000000000000004">
      <c r="C38" s="2" t="s">
        <v>26</v>
      </c>
      <c r="D38" s="2">
        <v>0.886328</v>
      </c>
      <c r="E38" s="2">
        <v>0.85719100000000004</v>
      </c>
      <c r="F38" s="2">
        <v>0.91576900000000006</v>
      </c>
      <c r="G38" s="2">
        <v>0.93793400000000005</v>
      </c>
      <c r="H38" s="2">
        <f>AVERAGE(D38:G38)</f>
        <v>0.89930550000000009</v>
      </c>
      <c r="I38" s="2">
        <f xml:space="preserve"> _xlfn.STDEV.S(D38:G38) / SQRT(COUNT(D38:G38))</f>
        <v>1.7571886782111176E-2</v>
      </c>
      <c r="J38" s="2">
        <f>I38*$J$2</f>
        <v>2.1960959364405282E-2</v>
      </c>
    </row>
    <row r="39" spans="2:10" x14ac:dyDescent="0.55000000000000004">
      <c r="C39" s="2" t="s">
        <v>27</v>
      </c>
      <c r="D39" s="2">
        <v>8.2399999999999997E-4</v>
      </c>
      <c r="E39" s="2">
        <v>3.9890000000000004E-3</v>
      </c>
      <c r="F39" s="2">
        <v>9.4899999999999997E-4</v>
      </c>
      <c r="G39" s="2">
        <v>2.3499999999999999E-4</v>
      </c>
      <c r="H39" s="2">
        <f>(1/COUNT(D39:G39))*SQRT(SUMSQ(D39:G39))</f>
        <v>1.0472261873635514E-3</v>
      </c>
    </row>
    <row r="40" spans="2:10" x14ac:dyDescent="0.55000000000000004">
      <c r="C40" s="2" t="s">
        <v>28</v>
      </c>
      <c r="D40" s="2">
        <v>1.049545</v>
      </c>
      <c r="E40" s="2">
        <v>1.432129</v>
      </c>
      <c r="F40" s="2">
        <v>1.611656</v>
      </c>
      <c r="G40" s="2">
        <v>1.5514810000000001</v>
      </c>
      <c r="H40" s="2">
        <f>AVERAGE(D40:G40)</f>
        <v>1.41120275</v>
      </c>
      <c r="I40" s="2">
        <f xml:space="preserve"> _xlfn.STDEV.S(D40:G40) / SQRT(COUNT(D40:G40))</f>
        <v>0.12619222405149449</v>
      </c>
      <c r="J40" s="2">
        <f>I40*$J$2</f>
        <v>0.15771227864500495</v>
      </c>
    </row>
    <row r="41" spans="2:10" x14ac:dyDescent="0.55000000000000004">
      <c r="C41" s="2" t="s">
        <v>29</v>
      </c>
      <c r="D41" s="2">
        <v>1.1067E-2</v>
      </c>
      <c r="E41" s="2">
        <v>5.1693000000000003E-2</v>
      </c>
      <c r="F41" s="2">
        <v>1.694E-2</v>
      </c>
      <c r="G41" s="2">
        <v>6.5409999999999999E-3</v>
      </c>
      <c r="H41" s="2">
        <f>(1/COUNT(D41:G41))*SQRT(SUMSQ(D41:G41))</f>
        <v>1.3974067542684199E-2</v>
      </c>
    </row>
    <row r="42" spans="2:10" x14ac:dyDescent="0.55000000000000004">
      <c r="C42" s="2" t="s">
        <v>30</v>
      </c>
      <c r="D42" s="2">
        <v>16.152681000000001</v>
      </c>
      <c r="E42" s="2">
        <v>22.407025999999998</v>
      </c>
      <c r="F42" s="2">
        <v>18.113965</v>
      </c>
      <c r="G42" s="2">
        <v>28.215197</v>
      </c>
      <c r="H42" s="2">
        <f>AVERAGE(D42:G42)</f>
        <v>21.22221725</v>
      </c>
      <c r="I42" s="2">
        <f xml:space="preserve"> _xlfn.STDEV.S(D42:G42) / SQRT(COUNT(D42:G42))</f>
        <v>2.6718746134140972</v>
      </c>
      <c r="J42" s="2">
        <f>I42*$J$2</f>
        <v>3.3392503912390512</v>
      </c>
    </row>
    <row r="43" spans="2:10" x14ac:dyDescent="0.55000000000000004">
      <c r="C43" s="2" t="s">
        <v>31</v>
      </c>
      <c r="D43" s="2">
        <v>0.21992200000000001</v>
      </c>
      <c r="E43" s="2">
        <v>0.33478400000000003</v>
      </c>
      <c r="F43" s="2">
        <v>0.11686199999999999</v>
      </c>
      <c r="G43" s="2">
        <v>5.8569999999999997E-2</v>
      </c>
      <c r="H43" s="2">
        <f>(1/COUNT(D43:G43))*SQRT(SUMSQ(D43:G43))</f>
        <v>0.10533671744814341</v>
      </c>
    </row>
    <row r="44" spans="2:10" x14ac:dyDescent="0.55000000000000004">
      <c r="B44" s="2" t="s">
        <v>35</v>
      </c>
      <c r="C44" s="2" t="s">
        <v>22</v>
      </c>
      <c r="D44" s="2">
        <v>0.98452700000000004</v>
      </c>
      <c r="E44" s="2">
        <v>0.96637300000000004</v>
      </c>
      <c r="F44" s="2">
        <v>0.992865</v>
      </c>
      <c r="G44" s="2">
        <v>0.99210900000000002</v>
      </c>
      <c r="H44" s="2">
        <f>AVERAGE(D44:G44)</f>
        <v>0.98396850000000002</v>
      </c>
      <c r="I44" s="2">
        <f xml:space="preserve"> _xlfn.STDEV.S(D44:G44) / SQRT(COUNT(D44:G44))</f>
        <v>6.1598768588882183E-3</v>
      </c>
      <c r="J44" s="2">
        <f>I44*$J$2</f>
        <v>7.6984792279393317E-3</v>
      </c>
    </row>
    <row r="45" spans="2:10" x14ac:dyDescent="0.55000000000000004">
      <c r="C45" s="2" t="s">
        <v>23</v>
      </c>
      <c r="D45" s="2">
        <v>1.6200000000000001E-4</v>
      </c>
      <c r="E45" s="2">
        <v>7.0100000000000002E-4</v>
      </c>
      <c r="F45" s="2">
        <v>9.3999999999999994E-5</v>
      </c>
      <c r="G45" s="2">
        <v>9.3999999999999994E-5</v>
      </c>
      <c r="H45" s="2">
        <f>(1/COUNT(D45:G45))*SQRT(SUMSQ(D45:G45))</f>
        <v>1.8291340164132313E-4</v>
      </c>
    </row>
    <row r="46" spans="2:10" x14ac:dyDescent="0.55000000000000004">
      <c r="C46" s="2" t="s">
        <v>24</v>
      </c>
      <c r="D46" s="2">
        <v>0.18439</v>
      </c>
      <c r="E46" s="2">
        <v>0.26134099999999999</v>
      </c>
      <c r="F46" s="2">
        <v>0.23130100000000001</v>
      </c>
      <c r="G46" s="2">
        <v>0.22428300000000001</v>
      </c>
      <c r="H46" s="2">
        <f>AVERAGE(D46:G46)</f>
        <v>0.22532874999999999</v>
      </c>
      <c r="I46" s="2">
        <f xml:space="preserve"> _xlfn.STDEV.S(D46:G46) / SQRT(COUNT(D46:G46))</f>
        <v>1.5836731472408275E-2</v>
      </c>
      <c r="J46" s="2">
        <f>I46*$J$2</f>
        <v>1.9792400249506452E-2</v>
      </c>
    </row>
    <row r="47" spans="2:10" x14ac:dyDescent="0.55000000000000004">
      <c r="C47" s="2" t="s">
        <v>25</v>
      </c>
      <c r="D47" s="2">
        <v>7.5199999999999996E-4</v>
      </c>
      <c r="E47" s="2">
        <v>2.3609999999999998E-3</v>
      </c>
      <c r="F47" s="2">
        <v>7.0799999999999997E-4</v>
      </c>
      <c r="G47" s="2">
        <v>7.36E-4</v>
      </c>
      <c r="H47" s="2">
        <f>(1/COUNT(D47:G47))*SQRT(SUMSQ(D47:G47))</f>
        <v>6.7001795684891907E-4</v>
      </c>
    </row>
    <row r="48" spans="2:10" x14ac:dyDescent="0.55000000000000004">
      <c r="C48" s="2" t="s">
        <v>26</v>
      </c>
      <c r="D48" s="2">
        <v>0.87514700000000001</v>
      </c>
      <c r="E48" s="2">
        <v>0.83908199999999999</v>
      </c>
      <c r="F48" s="2">
        <v>0.91679299999999997</v>
      </c>
      <c r="G48" s="2">
        <v>0.93542499999999995</v>
      </c>
      <c r="H48" s="2">
        <f>AVERAGE(D48:G48)</f>
        <v>0.89161174999999993</v>
      </c>
      <c r="I48" s="2">
        <f xml:space="preserve"> _xlfn.STDEV.S(D48:G48) / SQRT(COUNT(D48:G48))</f>
        <v>2.1571893084037994E-2</v>
      </c>
      <c r="J48" s="2">
        <f>I48*$J$2</f>
        <v>2.6960079660548336E-2</v>
      </c>
    </row>
    <row r="49" spans="2:10" x14ac:dyDescent="0.55000000000000004">
      <c r="C49" s="2" t="s">
        <v>27</v>
      </c>
      <c r="D49" s="2">
        <v>5.8399999999999999E-4</v>
      </c>
      <c r="E49" s="2">
        <v>1.3699999999999999E-3</v>
      </c>
      <c r="F49" s="2">
        <v>4.7899999999999999E-4</v>
      </c>
      <c r="G49" s="2">
        <v>3.0800000000000001E-4</v>
      </c>
      <c r="H49" s="2">
        <f>(1/COUNT(D49:G49))*SQRT(SUMSQ(D49:G49))</f>
        <v>3.9861173151326088E-4</v>
      </c>
    </row>
    <row r="50" spans="2:10" x14ac:dyDescent="0.55000000000000004">
      <c r="C50" s="2" t="s">
        <v>28</v>
      </c>
      <c r="D50" s="2">
        <v>1.2012100000000001</v>
      </c>
      <c r="E50" s="2">
        <v>1.6503209999999999</v>
      </c>
      <c r="F50" s="2">
        <v>1.6544909999999999</v>
      </c>
      <c r="G50" s="2">
        <v>1.6192200000000001</v>
      </c>
      <c r="H50" s="2">
        <f>AVERAGE(D50:G50)</f>
        <v>1.5313105</v>
      </c>
      <c r="I50" s="2">
        <f xml:space="preserve"> _xlfn.STDEV.S(D50:G50) / SQRT(COUNT(D50:G50))</f>
        <v>0.11031445771860547</v>
      </c>
      <c r="J50" s="2">
        <f>I50*$J$2</f>
        <v>0.13786859392532658</v>
      </c>
    </row>
    <row r="51" spans="2:10" x14ac:dyDescent="0.55000000000000004">
      <c r="C51" s="2" t="s">
        <v>29</v>
      </c>
      <c r="D51" s="2">
        <v>8.4100000000000008E-3</v>
      </c>
      <c r="E51" s="2">
        <v>1.8430999999999999E-2</v>
      </c>
      <c r="F51" s="2">
        <v>1.3679E-2</v>
      </c>
      <c r="G51" s="2">
        <v>9.4669999999999997E-3</v>
      </c>
      <c r="H51" s="2">
        <f>(1/COUNT(D51:G51))*SQRT(SUMSQ(D51:G51))</f>
        <v>6.5534770875848806E-3</v>
      </c>
    </row>
    <row r="52" spans="2:10" x14ac:dyDescent="0.55000000000000004">
      <c r="C52" s="2" t="s">
        <v>30</v>
      </c>
      <c r="D52" s="2">
        <v>19.121721999999998</v>
      </c>
      <c r="E52" s="2">
        <v>24.153628000000001</v>
      </c>
      <c r="F52" s="2">
        <v>18.446473999999998</v>
      </c>
      <c r="G52" s="2">
        <v>28.633084</v>
      </c>
      <c r="H52" s="2">
        <f>AVERAGE(D52:G52)</f>
        <v>22.588726999999999</v>
      </c>
      <c r="I52" s="2">
        <f xml:space="preserve"> _xlfn.STDEV.S(D52:G52) / SQRT(COUNT(D52:G52))</f>
        <v>2.3833021606810605</v>
      </c>
      <c r="J52" s="2">
        <f>I52*$J$2</f>
        <v>2.9785988580975666</v>
      </c>
    </row>
    <row r="53" spans="2:10" x14ac:dyDescent="0.55000000000000004">
      <c r="C53" s="2" t="s">
        <v>31</v>
      </c>
      <c r="D53" s="2">
        <v>0.17382600000000001</v>
      </c>
      <c r="E53" s="2">
        <v>0.13353400000000001</v>
      </c>
      <c r="F53" s="2">
        <v>9.7223000000000004E-2</v>
      </c>
      <c r="G53" s="2">
        <v>8.7767999999999999E-2</v>
      </c>
      <c r="H53" s="2">
        <f>(1/COUNT(D53:G53))*SQRT(SUMSQ(D53:G53))</f>
        <v>6.383687266433484E-2</v>
      </c>
    </row>
    <row r="54" spans="2:10" x14ac:dyDescent="0.55000000000000004">
      <c r="B54" s="2" t="s">
        <v>45</v>
      </c>
      <c r="C54" s="2" t="s">
        <v>22</v>
      </c>
      <c r="D54" s="2">
        <v>0.98772000000000004</v>
      </c>
      <c r="E54" s="2">
        <v>0.98125399999999996</v>
      </c>
      <c r="F54" s="2">
        <v>0.99273299999999998</v>
      </c>
      <c r="G54" s="2">
        <v>0.99223899999999998</v>
      </c>
      <c r="H54" s="2">
        <f>AVERAGE(D54:G54)</f>
        <v>0.98848650000000005</v>
      </c>
      <c r="I54" s="2">
        <f xml:space="preserve"> _xlfn.STDEV.S(D54:G54) / SQRT(COUNT(D54:G54))</f>
        <v>2.6616191344117366E-3</v>
      </c>
      <c r="J54" s="2">
        <f>I54*$J$2</f>
        <v>3.3264333181252728E-3</v>
      </c>
    </row>
    <row r="55" spans="2:10" x14ac:dyDescent="0.55000000000000004">
      <c r="C55" s="2" t="s">
        <v>23</v>
      </c>
      <c r="D55" s="2">
        <v>1.0900000000000001E-4</v>
      </c>
      <c r="E55" s="2">
        <v>5.4500000000000002E-4</v>
      </c>
      <c r="F55" s="2">
        <v>2.3000000000000001E-4</v>
      </c>
      <c r="G55" s="2">
        <v>4.6000000000000001E-4</v>
      </c>
      <c r="H55" s="2">
        <f>(1/COUNT(D55:G55))*SQRT(SUMSQ(D55:G55))</f>
        <v>1.8930894062352155E-4</v>
      </c>
    </row>
    <row r="56" spans="2:10" x14ac:dyDescent="0.55000000000000004">
      <c r="C56" s="2" t="s">
        <v>24</v>
      </c>
      <c r="D56" s="2">
        <v>0.165128</v>
      </c>
      <c r="E56" s="2">
        <v>0.202879</v>
      </c>
      <c r="F56" s="2">
        <v>0.225963</v>
      </c>
      <c r="G56" s="2">
        <v>0.21598999999999999</v>
      </c>
      <c r="H56" s="2">
        <f>AVERAGE(D56:G56)</f>
        <v>0.20249</v>
      </c>
      <c r="I56" s="2">
        <f xml:space="preserve"> _xlfn.STDEV.S(D56:G56) / SQRT(COUNT(D56:G56))</f>
        <v>1.3320729753533194E-2</v>
      </c>
      <c r="J56" s="2">
        <f>I56*$J$2</f>
        <v>1.6647956389030414E-2</v>
      </c>
    </row>
    <row r="57" spans="2:10" x14ac:dyDescent="0.55000000000000004">
      <c r="C57" s="2" t="s">
        <v>25</v>
      </c>
      <c r="D57" s="2">
        <v>6.0599999999999998E-4</v>
      </c>
      <c r="E57" s="2">
        <v>3.14E-3</v>
      </c>
      <c r="F57" s="2">
        <v>1.3810000000000001E-3</v>
      </c>
      <c r="G57" s="2">
        <v>3.2239999999999999E-3</v>
      </c>
      <c r="H57" s="2">
        <f>(1/COUNT(D57:G57))*SQRT(SUMSQ(D57:G57))</f>
        <v>1.1865963140428172E-3</v>
      </c>
    </row>
    <row r="58" spans="2:10" x14ac:dyDescent="0.55000000000000004">
      <c r="C58" s="2" t="s">
        <v>26</v>
      </c>
      <c r="D58" s="2">
        <v>0.88647600000000004</v>
      </c>
      <c r="E58" s="2">
        <v>0.87002900000000005</v>
      </c>
      <c r="F58" s="2">
        <v>0.91697700000000004</v>
      </c>
      <c r="G58" s="2">
        <v>0.93723199999999995</v>
      </c>
      <c r="H58" s="2">
        <f>AVERAGE(D58:G58)</f>
        <v>0.90267850000000005</v>
      </c>
      <c r="I58" s="2">
        <f xml:space="preserve"> _xlfn.STDEV.S(D58:G58) / SQRT(COUNT(D58:G58))</f>
        <v>1.5074543445270001E-2</v>
      </c>
      <c r="J58" s="2">
        <f>I58*$J$2</f>
        <v>1.8839834341270564E-2</v>
      </c>
    </row>
    <row r="59" spans="2:10" x14ac:dyDescent="0.55000000000000004">
      <c r="C59" s="2" t="s">
        <v>27</v>
      </c>
      <c r="D59" s="2">
        <v>6.6500000000000001E-4</v>
      </c>
      <c r="E59" s="2">
        <v>1.707E-3</v>
      </c>
      <c r="F59" s="2">
        <v>1.1720000000000001E-3</v>
      </c>
      <c r="G59" s="2">
        <v>1.555E-3</v>
      </c>
      <c r="H59" s="2">
        <f>(1/COUNT(D59:G59))*SQRT(SUMSQ(D59:G59))</f>
        <v>6.6837877547091509E-4</v>
      </c>
    </row>
    <row r="60" spans="2:10" x14ac:dyDescent="0.55000000000000004">
      <c r="C60" s="2" t="s">
        <v>28</v>
      </c>
      <c r="D60" s="2">
        <v>0.98741199999999996</v>
      </c>
      <c r="E60" s="2">
        <v>1.2918620000000001</v>
      </c>
      <c r="F60" s="2">
        <v>1.5609500000000001</v>
      </c>
      <c r="G60" s="2">
        <v>1.460499</v>
      </c>
      <c r="H60" s="2">
        <f>AVERAGE(D60:G60)</f>
        <v>1.3251807499999999</v>
      </c>
      <c r="I60" s="2">
        <f xml:space="preserve"> _xlfn.STDEV.S(D60:G60) / SQRT(COUNT(D60:G60))</f>
        <v>0.12553088451544192</v>
      </c>
      <c r="J60" s="2">
        <f>I60*$J$2</f>
        <v>0.15688575097285362</v>
      </c>
    </row>
    <row r="61" spans="2:10" x14ac:dyDescent="0.55000000000000004">
      <c r="C61" s="2" t="s">
        <v>29</v>
      </c>
      <c r="D61" s="2">
        <v>7.2880000000000002E-3</v>
      </c>
      <c r="E61" s="2">
        <v>2.5728000000000001E-2</v>
      </c>
      <c r="F61" s="2">
        <v>3.3575000000000001E-2</v>
      </c>
      <c r="G61" s="2">
        <v>3.9248999999999999E-2</v>
      </c>
      <c r="H61" s="2">
        <f>(1/COUNT(D61:G61))*SQRT(SUMSQ(D61:G61))</f>
        <v>1.4540481323704522E-2</v>
      </c>
    </row>
    <row r="62" spans="2:10" x14ac:dyDescent="0.55000000000000004">
      <c r="C62" s="2" t="s">
        <v>30</v>
      </c>
      <c r="D62" s="2">
        <v>17.964987000000001</v>
      </c>
      <c r="E62" s="2">
        <v>22.602558999999999</v>
      </c>
      <c r="F62" s="2">
        <v>17.960868999999999</v>
      </c>
      <c r="G62" s="2">
        <v>26.835754000000001</v>
      </c>
      <c r="H62" s="2">
        <f>AVERAGE(D62:G62)</f>
        <v>21.341042250000001</v>
      </c>
      <c r="I62" s="2">
        <f xml:space="preserve"> _xlfn.STDEV.S(D62:G62) / SQRT(COUNT(D62:G62))</f>
        <v>2.1332018574822129</v>
      </c>
      <c r="J62" s="2">
        <f>I62*$J$2</f>
        <v>2.6660289750974759</v>
      </c>
    </row>
    <row r="63" spans="2:10" x14ac:dyDescent="0.55000000000000004">
      <c r="C63" s="2" t="s">
        <v>31</v>
      </c>
      <c r="D63" s="2">
        <v>0.18203900000000001</v>
      </c>
      <c r="E63" s="2">
        <v>0.20550199999999999</v>
      </c>
      <c r="F63" s="2">
        <v>0.18470300000000001</v>
      </c>
      <c r="G63" s="2">
        <v>0.72731000000000001</v>
      </c>
      <c r="H63" s="2">
        <f>(1/COUNT(D63:G63))*SQRT(SUMSQ(D63:G63))</f>
        <v>0.19975990335806884</v>
      </c>
    </row>
    <row r="64" spans="2:10" x14ac:dyDescent="0.55000000000000004">
      <c r="B64" s="2" t="s">
        <v>46</v>
      </c>
      <c r="C64" s="2" t="s">
        <v>22</v>
      </c>
      <c r="H64" s="2" t="e">
        <f>AVERAGE(D64:G64)</f>
        <v>#DIV/0!</v>
      </c>
      <c r="I64" s="2" t="e">
        <f xml:space="preserve"> _xlfn.STDEV.S(D64:G64) / SQRT(COUNT(D64:G64))</f>
        <v>#DIV/0!</v>
      </c>
      <c r="J64" s="2" t="e">
        <f>I64*$J$2</f>
        <v>#DIV/0!</v>
      </c>
    </row>
    <row r="65" spans="2:10" x14ac:dyDescent="0.55000000000000004">
      <c r="C65" s="2" t="s">
        <v>23</v>
      </c>
      <c r="H65" s="2" t="e">
        <f>(1/COUNT(D65:G65))*SQRT(SUMSQ(D65:G65))</f>
        <v>#DIV/0!</v>
      </c>
    </row>
    <row r="66" spans="2:10" x14ac:dyDescent="0.55000000000000004">
      <c r="C66" s="2" t="s">
        <v>24</v>
      </c>
      <c r="H66" s="2" t="e">
        <f>AVERAGE(D66:G66)</f>
        <v>#DIV/0!</v>
      </c>
      <c r="I66" s="2" t="e">
        <f xml:space="preserve"> _xlfn.STDEV.S(D66:G66) / SQRT(COUNT(D66:G66))</f>
        <v>#DIV/0!</v>
      </c>
      <c r="J66" s="2" t="e">
        <f>I66*$J$2</f>
        <v>#DIV/0!</v>
      </c>
    </row>
    <row r="67" spans="2:10" x14ac:dyDescent="0.55000000000000004">
      <c r="C67" s="2" t="s">
        <v>25</v>
      </c>
      <c r="H67" s="2" t="e">
        <f>(1/COUNT(D67:G67))*SQRT(SUMSQ(D67:G67))</f>
        <v>#DIV/0!</v>
      </c>
    </row>
    <row r="68" spans="2:10" x14ac:dyDescent="0.55000000000000004">
      <c r="C68" s="2" t="s">
        <v>26</v>
      </c>
      <c r="H68" s="2" t="e">
        <f>AVERAGE(D68:G68)</f>
        <v>#DIV/0!</v>
      </c>
      <c r="I68" s="2" t="e">
        <f xml:space="preserve"> _xlfn.STDEV.S(D68:G68) / SQRT(COUNT(D68:G68))</f>
        <v>#DIV/0!</v>
      </c>
      <c r="J68" s="2" t="e">
        <f>I68*$J$2</f>
        <v>#DIV/0!</v>
      </c>
    </row>
    <row r="69" spans="2:10" x14ac:dyDescent="0.55000000000000004">
      <c r="C69" s="2" t="s">
        <v>27</v>
      </c>
      <c r="H69" s="2" t="e">
        <f>(1/COUNT(D69:G69))*SQRT(SUMSQ(D69:G69))</f>
        <v>#DIV/0!</v>
      </c>
    </row>
    <row r="70" spans="2:10" x14ac:dyDescent="0.55000000000000004">
      <c r="C70" s="2" t="s">
        <v>28</v>
      </c>
      <c r="H70" s="2" t="e">
        <f>AVERAGE(D70:G70)</f>
        <v>#DIV/0!</v>
      </c>
      <c r="I70" s="2" t="e">
        <f xml:space="preserve"> _xlfn.STDEV.S(D70:G70) / SQRT(COUNT(D70:G70))</f>
        <v>#DIV/0!</v>
      </c>
      <c r="J70" s="2" t="e">
        <f>I70*$J$2</f>
        <v>#DIV/0!</v>
      </c>
    </row>
    <row r="71" spans="2:10" x14ac:dyDescent="0.55000000000000004">
      <c r="C71" s="2" t="s">
        <v>29</v>
      </c>
      <c r="H71" s="2" t="e">
        <f>(1/COUNT(D71:G71))*SQRT(SUMSQ(D71:G71))</f>
        <v>#DIV/0!</v>
      </c>
    </row>
    <row r="72" spans="2:10" x14ac:dyDescent="0.55000000000000004">
      <c r="C72" s="2" t="s">
        <v>30</v>
      </c>
      <c r="H72" s="2" t="e">
        <f>AVERAGE(D72:G72)</f>
        <v>#DIV/0!</v>
      </c>
      <c r="I72" s="2" t="e">
        <f xml:space="preserve"> _xlfn.STDEV.S(D72:G72) / SQRT(COUNT(D72:G72))</f>
        <v>#DIV/0!</v>
      </c>
      <c r="J72" s="2" t="e">
        <f>I72*$J$2</f>
        <v>#DIV/0!</v>
      </c>
    </row>
    <row r="73" spans="2:10" x14ac:dyDescent="0.55000000000000004">
      <c r="C73" s="2" t="s">
        <v>31</v>
      </c>
      <c r="H73" s="2" t="e">
        <f>(1/COUNT(D73:G73))*SQRT(SUMSQ(D73:G73))</f>
        <v>#DIV/0!</v>
      </c>
    </row>
    <row r="74" spans="2:10" x14ac:dyDescent="0.55000000000000004">
      <c r="B74" s="2" t="s">
        <v>36</v>
      </c>
      <c r="C74" s="2" t="s">
        <v>22</v>
      </c>
      <c r="D74" s="2">
        <v>0.98766100000000001</v>
      </c>
      <c r="E74" s="2">
        <v>0.98181499999999999</v>
      </c>
      <c r="F74" s="2">
        <v>0.99219100000000005</v>
      </c>
      <c r="G74" s="2">
        <v>0.99285299999999999</v>
      </c>
      <c r="H74" s="2">
        <f t="shared" ref="H74:H92" si="0">AVERAGE(D74:G74)</f>
        <v>0.98863000000000012</v>
      </c>
      <c r="I74" s="2">
        <f xml:space="preserve"> _xlfn.STDEV.S(D74:G74) / SQRT(COUNT(D74:G74))</f>
        <v>2.5478362715580234E-3</v>
      </c>
      <c r="J74" s="2">
        <f>I74*$J$2</f>
        <v>3.1842299874027041E-3</v>
      </c>
    </row>
    <row r="75" spans="2:10" x14ac:dyDescent="0.55000000000000004">
      <c r="C75" s="2" t="s">
        <v>24</v>
      </c>
      <c r="D75" s="2">
        <v>0.16350400000000001</v>
      </c>
      <c r="E75" s="2">
        <v>0.19664899999999999</v>
      </c>
      <c r="F75" s="2">
        <v>0.22853599999999999</v>
      </c>
      <c r="G75" s="2">
        <v>0.21245</v>
      </c>
      <c r="H75" s="2">
        <f t="shared" si="0"/>
        <v>0.20028475000000001</v>
      </c>
      <c r="I75" s="2">
        <f t="shared" ref="I75:I88" si="1" xml:space="preserve"> _xlfn.STDEV.S(D75:G75) / SQRT(COUNT(D75:G75))</f>
        <v>1.3880948222743919E-2</v>
      </c>
      <c r="J75" s="2">
        <f t="shared" ref="J75:J88" si="2">I75*$J$2</f>
        <v>1.7348105165885207E-2</v>
      </c>
    </row>
    <row r="76" spans="2:10" x14ac:dyDescent="0.55000000000000004">
      <c r="C76" s="2" t="s">
        <v>26</v>
      </c>
      <c r="D76" s="2">
        <v>0.88467899999999999</v>
      </c>
      <c r="E76" s="2">
        <v>0.871112</v>
      </c>
      <c r="F76" s="2">
        <v>0.91411200000000004</v>
      </c>
      <c r="G76" s="2">
        <v>0.94021500000000002</v>
      </c>
      <c r="H76" s="2">
        <f t="shared" si="0"/>
        <v>0.90252949999999998</v>
      </c>
      <c r="I76" s="2">
        <f t="shared" si="1"/>
        <v>1.5438185539434362E-2</v>
      </c>
      <c r="J76" s="2">
        <f t="shared" si="2"/>
        <v>1.9294306268625615E-2</v>
      </c>
    </row>
    <row r="77" spans="2:10" x14ac:dyDescent="0.55000000000000004">
      <c r="C77" s="2" t="s">
        <v>28</v>
      </c>
      <c r="D77" s="2">
        <v>1.016961</v>
      </c>
      <c r="E77" s="2">
        <v>1.111917</v>
      </c>
      <c r="F77" s="2">
        <v>1.627434</v>
      </c>
      <c r="G77" s="2">
        <v>1.4328320000000001</v>
      </c>
      <c r="H77" s="2">
        <f t="shared" si="0"/>
        <v>1.2972860000000002</v>
      </c>
      <c r="I77" s="2">
        <f t="shared" si="1"/>
        <v>0.14151389560922936</v>
      </c>
      <c r="J77" s="2">
        <f t="shared" si="2"/>
        <v>0.17686096829037229</v>
      </c>
    </row>
    <row r="78" spans="2:10" x14ac:dyDescent="0.55000000000000004">
      <c r="C78" s="2" t="s">
        <v>30</v>
      </c>
      <c r="D78" s="2">
        <v>16.152180000000001</v>
      </c>
      <c r="E78" s="2">
        <v>19.956520999999999</v>
      </c>
      <c r="F78" s="2">
        <v>18.824638</v>
      </c>
      <c r="G78" s="2">
        <v>26.023053000000001</v>
      </c>
      <c r="H78" s="2">
        <f t="shared" si="0"/>
        <v>20.239097999999998</v>
      </c>
      <c r="I78" s="2">
        <f t="shared" si="1"/>
        <v>2.0864160066422972</v>
      </c>
      <c r="J78" s="2">
        <f t="shared" si="2"/>
        <v>2.6075570430923989</v>
      </c>
    </row>
    <row r="79" spans="2:10" x14ac:dyDescent="0.55000000000000004">
      <c r="B79" s="2" t="s">
        <v>37</v>
      </c>
      <c r="C79" s="2" t="s">
        <v>22</v>
      </c>
      <c r="D79" s="2">
        <v>0.98546100000000003</v>
      </c>
      <c r="E79" s="2">
        <v>0.97555700000000001</v>
      </c>
      <c r="F79" s="2">
        <v>0.98677999999999999</v>
      </c>
      <c r="G79" s="2">
        <v>0.984205</v>
      </c>
      <c r="H79" s="2">
        <f t="shared" si="0"/>
        <v>0.98300074999999998</v>
      </c>
      <c r="I79" s="2">
        <f t="shared" si="1"/>
        <v>2.5363226784395282E-3</v>
      </c>
      <c r="J79" s="2">
        <f t="shared" si="2"/>
        <v>3.1698405508129475E-3</v>
      </c>
    </row>
    <row r="80" spans="2:10" x14ac:dyDescent="0.55000000000000004">
      <c r="C80" s="2" t="s">
        <v>24</v>
      </c>
      <c r="D80" s="2">
        <v>0.18052799999999999</v>
      </c>
      <c r="E80" s="2">
        <v>0.228239</v>
      </c>
      <c r="F80" s="2">
        <v>0.27998899999999999</v>
      </c>
      <c r="G80" s="2">
        <v>0.28348699999999999</v>
      </c>
      <c r="H80" s="2">
        <f t="shared" si="0"/>
        <v>0.24306074999999999</v>
      </c>
      <c r="I80" s="2">
        <f t="shared" si="1"/>
        <v>2.4372126211360787E-2</v>
      </c>
      <c r="J80" s="2">
        <f t="shared" si="2"/>
        <v>3.0459749712065078E-2</v>
      </c>
    </row>
    <row r="81" spans="1:20" x14ac:dyDescent="0.55000000000000004">
      <c r="C81" s="2" t="s">
        <v>26</v>
      </c>
      <c r="D81" s="2">
        <v>0.87474399999999997</v>
      </c>
      <c r="E81" s="2">
        <v>0.854904</v>
      </c>
      <c r="F81" s="2">
        <v>0.88459200000000004</v>
      </c>
      <c r="G81" s="2">
        <v>0.90778700000000001</v>
      </c>
      <c r="H81" s="2">
        <f t="shared" si="0"/>
        <v>0.88050675</v>
      </c>
      <c r="I81" s="2">
        <f t="shared" si="1"/>
        <v>1.0990948559117489E-2</v>
      </c>
      <c r="J81" s="2">
        <f t="shared" si="2"/>
        <v>1.373624686273151E-2</v>
      </c>
    </row>
    <row r="82" spans="1:20" x14ac:dyDescent="0.55000000000000004">
      <c r="C82" s="2" t="s">
        <v>28</v>
      </c>
      <c r="D82" s="2">
        <v>1.2888459999999999</v>
      </c>
      <c r="E82" s="2">
        <v>1.4961770000000001</v>
      </c>
      <c r="F82" s="2">
        <v>2.290438</v>
      </c>
      <c r="G82" s="2">
        <v>2.1774230000000001</v>
      </c>
      <c r="H82" s="2">
        <f t="shared" si="0"/>
        <v>1.813221</v>
      </c>
      <c r="I82" s="2">
        <f t="shared" si="1"/>
        <v>0.24763299464698432</v>
      </c>
      <c r="J82" s="2">
        <f t="shared" si="2"/>
        <v>0.30948629479361084</v>
      </c>
    </row>
    <row r="83" spans="1:20" x14ac:dyDescent="0.55000000000000004">
      <c r="C83" s="2" t="s">
        <v>30</v>
      </c>
      <c r="D83" s="2">
        <v>20.203855999999998</v>
      </c>
      <c r="E83" s="2">
        <v>23.490107999999999</v>
      </c>
      <c r="F83" s="2">
        <v>25.505210000000002</v>
      </c>
      <c r="G83" s="2">
        <v>34.411082</v>
      </c>
      <c r="H83" s="2">
        <f t="shared" si="0"/>
        <v>25.902563999999998</v>
      </c>
      <c r="I83" s="2">
        <f t="shared" si="1"/>
        <v>3.0392979668946647</v>
      </c>
      <c r="J83" s="2">
        <f t="shared" si="2"/>
        <v>3.7984480536969478</v>
      </c>
      <c r="P83" s="2" t="s">
        <v>38</v>
      </c>
      <c r="Q83" s="2" cm="1">
        <f t="array" ref="Q83:T83">D80:G80/D83:G83</f>
        <v>8.9353240292348157E-3</v>
      </c>
      <c r="R83" s="2">
        <v>9.7163878514309084E-3</v>
      </c>
      <c r="S83" s="2">
        <v>1.0977717885875081E-2</v>
      </c>
      <c r="T83" s="2">
        <v>8.2382472018752567E-3</v>
      </c>
    </row>
    <row r="84" spans="1:20" x14ac:dyDescent="0.55000000000000004">
      <c r="B84" s="2" t="s">
        <v>39</v>
      </c>
      <c r="C84" s="2" t="s">
        <v>22</v>
      </c>
      <c r="D84" s="2">
        <v>0.98759799999999998</v>
      </c>
      <c r="E84" s="2">
        <v>0.98122600000000004</v>
      </c>
      <c r="F84" s="2">
        <v>0.99333000000000005</v>
      </c>
      <c r="G84" s="2">
        <v>0.99296399999999996</v>
      </c>
      <c r="H84" s="2">
        <f t="shared" si="0"/>
        <v>0.98877949999999992</v>
      </c>
      <c r="I84" s="2">
        <f t="shared" si="1"/>
        <v>2.8382564336812996E-3</v>
      </c>
      <c r="J84" s="2">
        <f t="shared" si="2"/>
        <v>3.547190747284574E-3</v>
      </c>
    </row>
    <row r="85" spans="1:20" x14ac:dyDescent="0.55000000000000004">
      <c r="C85" s="2" t="s">
        <v>24</v>
      </c>
      <c r="D85" s="2">
        <v>0.16567499999999999</v>
      </c>
      <c r="E85" s="2">
        <v>0.200436</v>
      </c>
      <c r="F85" s="2">
        <v>0.232211</v>
      </c>
      <c r="G85" s="2">
        <v>0.22441900000000001</v>
      </c>
      <c r="H85" s="2">
        <f t="shared" si="0"/>
        <v>0.20568525000000001</v>
      </c>
      <c r="I85" s="2">
        <f t="shared" si="1"/>
        <v>1.4952545861128879E-2</v>
      </c>
      <c r="J85" s="2">
        <f t="shared" si="2"/>
        <v>1.8687364431744045E-2</v>
      </c>
    </row>
    <row r="86" spans="1:20" x14ac:dyDescent="0.55000000000000004">
      <c r="C86" s="2" t="s">
        <v>26</v>
      </c>
      <c r="D86" s="2">
        <v>0.88618600000000003</v>
      </c>
      <c r="E86" s="2">
        <v>0.87048599999999998</v>
      </c>
      <c r="F86" s="2">
        <v>0.919601</v>
      </c>
      <c r="G86" s="2">
        <v>0.93854000000000004</v>
      </c>
      <c r="H86" s="2">
        <f t="shared" si="0"/>
        <v>0.90370325000000007</v>
      </c>
      <c r="I86" s="2">
        <f t="shared" si="1"/>
        <v>1.548272518741991E-2</v>
      </c>
      <c r="J86" s="2">
        <f t="shared" si="2"/>
        <v>1.9349970945483842E-2</v>
      </c>
    </row>
    <row r="87" spans="1:20" x14ac:dyDescent="0.55000000000000004">
      <c r="C87" s="2" t="s">
        <v>28</v>
      </c>
      <c r="D87" s="2">
        <v>1.0242560000000001</v>
      </c>
      <c r="E87" s="2">
        <v>1.197908</v>
      </c>
      <c r="F87" s="2">
        <v>1.703924</v>
      </c>
      <c r="G87" s="2">
        <v>1.6517109999999999</v>
      </c>
      <c r="H87" s="2">
        <f t="shared" si="0"/>
        <v>1.3944497499999999</v>
      </c>
      <c r="I87" s="2">
        <f t="shared" si="1"/>
        <v>0.16773732793586082</v>
      </c>
      <c r="J87" s="2">
        <f t="shared" si="2"/>
        <v>0.20963443985101679</v>
      </c>
    </row>
    <row r="88" spans="1:20" x14ac:dyDescent="0.55000000000000004">
      <c r="C88" s="2" t="s">
        <v>30</v>
      </c>
      <c r="D88" s="2">
        <v>16.461475</v>
      </c>
      <c r="E88" s="2">
        <v>22.030999000000001</v>
      </c>
      <c r="F88" s="2">
        <v>18.828025</v>
      </c>
      <c r="G88" s="2">
        <v>28.753413999999999</v>
      </c>
      <c r="H88" s="2">
        <f t="shared" si="0"/>
        <v>21.518478250000001</v>
      </c>
      <c r="I88" s="2">
        <f t="shared" si="1"/>
        <v>2.6680016458446087</v>
      </c>
      <c r="J88" s="2">
        <f t="shared" si="2"/>
        <v>3.3344100411692006</v>
      </c>
    </row>
    <row r="89" spans="1:20" x14ac:dyDescent="0.55000000000000004">
      <c r="B89" s="2" t="s">
        <v>61</v>
      </c>
      <c r="C89" s="2" t="s">
        <v>22</v>
      </c>
      <c r="D89" s="2">
        <v>0.98697000000000001</v>
      </c>
      <c r="E89" s="2">
        <v>0.97972700000000001</v>
      </c>
      <c r="F89" s="2">
        <v>0.98854900000000001</v>
      </c>
      <c r="G89" s="2">
        <v>0.98737900000000001</v>
      </c>
      <c r="H89" s="2">
        <f t="shared" si="0"/>
        <v>0.9856562499999999</v>
      </c>
      <c r="I89" s="2">
        <f xml:space="preserve"> _xlfn.STDEV.S(D89:G89) / SQRT(COUNT(D89:G89))</f>
        <v>2.0045326710150333E-3</v>
      </c>
      <c r="J89" s="2">
        <f>I89*$J$2</f>
        <v>2.5052210430583574E-3</v>
      </c>
    </row>
    <row r="90" spans="1:20" x14ac:dyDescent="0.55000000000000004">
      <c r="C90" s="2" t="s">
        <v>24</v>
      </c>
      <c r="D90" s="2">
        <v>0.16943800000000001</v>
      </c>
      <c r="E90" s="2">
        <v>0.20058699999999999</v>
      </c>
      <c r="F90" s="2">
        <v>0.31695800000000002</v>
      </c>
      <c r="G90" s="2">
        <v>0.31212800000000002</v>
      </c>
      <c r="H90" s="2">
        <f t="shared" si="0"/>
        <v>0.24977775000000002</v>
      </c>
      <c r="I90" s="2">
        <f t="shared" ref="I90:I91" si="3" xml:space="preserve"> _xlfn.STDEV.S(D90:G90) / SQRT(COUNT(D90:G90))</f>
        <v>3.7941781038794593E-2</v>
      </c>
      <c r="J90" s="2">
        <f t="shared" ref="J90:J91" si="4">I90*$J$2</f>
        <v>4.7418807208250258E-2</v>
      </c>
    </row>
    <row r="91" spans="1:20" x14ac:dyDescent="0.55000000000000004">
      <c r="C91" s="2" t="s">
        <v>26</v>
      </c>
      <c r="D91" s="2">
        <v>0.89959299999999998</v>
      </c>
      <c r="E91" s="2">
        <v>0.89030799999999999</v>
      </c>
      <c r="F91" s="2">
        <v>0.88840699999999995</v>
      </c>
      <c r="G91" s="2">
        <v>0.91134400000000004</v>
      </c>
      <c r="H91" s="2">
        <f t="shared" si="0"/>
        <v>0.89741300000000002</v>
      </c>
      <c r="I91" s="2">
        <f t="shared" si="3"/>
        <v>5.2473344185405401E-3</v>
      </c>
      <c r="J91" s="2">
        <f t="shared" si="4"/>
        <v>6.5580036660792158E-3</v>
      </c>
    </row>
    <row r="92" spans="1:20" x14ac:dyDescent="0.55000000000000004">
      <c r="A92" s="2" t="s">
        <v>20</v>
      </c>
      <c r="B92" s="2" t="s">
        <v>21</v>
      </c>
      <c r="C92" s="2" t="s">
        <v>22</v>
      </c>
      <c r="D92" s="2">
        <v>0.98722399999999999</v>
      </c>
      <c r="E92" s="2">
        <v>0.97739500000000001</v>
      </c>
      <c r="F92" s="2">
        <v>0.992587</v>
      </c>
      <c r="G92" s="2">
        <v>0.99232100000000001</v>
      </c>
      <c r="H92" s="2">
        <f t="shared" si="0"/>
        <v>0.98738174999999995</v>
      </c>
      <c r="I92" s="2">
        <f xml:space="preserve"> _xlfn.STDEV.S(D92:G92) / SQRT(COUNT(D92:G92))</f>
        <v>3.5502450472936816E-3</v>
      </c>
      <c r="J92" s="2">
        <f>I92*$J$2</f>
        <v>4.4370185276102897E-3</v>
      </c>
    </row>
    <row r="93" spans="1:20" x14ac:dyDescent="0.55000000000000004">
      <c r="A93" s="2">
        <v>0.6</v>
      </c>
      <c r="C93" s="2" t="s">
        <v>23</v>
      </c>
      <c r="D93" s="2">
        <v>3.6000000000000001E-5</v>
      </c>
      <c r="E93" s="2">
        <v>8.7999999999999998E-5</v>
      </c>
      <c r="F93" s="2">
        <v>6.9999999999999994E-5</v>
      </c>
      <c r="G93" s="2">
        <v>7.7999999999999999E-5</v>
      </c>
      <c r="H93" s="2">
        <f>(1/COUNT(D93:G93))*SQRT(SUMSQ(D93:G93))</f>
        <v>3.5376545902617457E-5</v>
      </c>
    </row>
    <row r="94" spans="1:20" x14ac:dyDescent="0.55000000000000004">
      <c r="C94" s="2" t="s">
        <v>24</v>
      </c>
      <c r="D94" s="2">
        <v>0.17031199999999999</v>
      </c>
      <c r="E94" s="2">
        <v>0.217497</v>
      </c>
      <c r="F94" s="2">
        <v>0.22789699999999999</v>
      </c>
      <c r="G94" s="2">
        <v>0.218557</v>
      </c>
      <c r="H94" s="2">
        <f>AVERAGE(D94:G94)</f>
        <v>0.20856574999999999</v>
      </c>
      <c r="I94" s="2">
        <f xml:space="preserve"> _xlfn.STDEV.S(D94:G94) / SQRT(COUNT(D94:G94))</f>
        <v>1.2963535136264618E-2</v>
      </c>
      <c r="J94" s="2">
        <f>I94*$J$2</f>
        <v>1.6201542377132425E-2</v>
      </c>
    </row>
    <row r="95" spans="1:20" x14ac:dyDescent="0.55000000000000004">
      <c r="C95" s="2" t="s">
        <v>25</v>
      </c>
      <c r="D95" s="2">
        <v>2.0699999999999999E-4</v>
      </c>
      <c r="E95" s="2">
        <v>3.3399999999999999E-4</v>
      </c>
      <c r="F95" s="2">
        <v>2.14E-4</v>
      </c>
      <c r="G95" s="2">
        <v>3.4499999999999998E-4</v>
      </c>
      <c r="H95" s="2">
        <f>(1/COUNT(D95:G95))*SQRT(SUMSQ(D95:G95))</f>
        <v>1.4125022123876479E-4</v>
      </c>
    </row>
    <row r="96" spans="1:20" x14ac:dyDescent="0.55000000000000004">
      <c r="C96" s="2" t="s">
        <v>26</v>
      </c>
      <c r="D96" s="2">
        <v>0.88531199999999999</v>
      </c>
      <c r="E96" s="2">
        <v>0.86286499999999999</v>
      </c>
      <c r="F96" s="2">
        <v>0.91554400000000002</v>
      </c>
      <c r="G96" s="2">
        <v>0.93700300000000003</v>
      </c>
      <c r="H96" s="2">
        <f>AVERAGE(D96:G96)</f>
        <v>0.90018100000000012</v>
      </c>
      <c r="I96" s="2">
        <f xml:space="preserve"> _xlfn.STDEV.S(D96:G96) / SQRT(COUNT(D96:G96))</f>
        <v>1.6343837957060972E-2</v>
      </c>
      <c r="J96" s="2">
        <f>I96*$J$2</f>
        <v>2.0426170830945757E-2</v>
      </c>
    </row>
    <row r="97" spans="2:10" x14ac:dyDescent="0.55000000000000004">
      <c r="C97" s="2" t="s">
        <v>27</v>
      </c>
      <c r="D97" s="2">
        <v>1.6100000000000001E-4</v>
      </c>
      <c r="E97" s="2">
        <v>1.94E-4</v>
      </c>
      <c r="F97" s="2">
        <v>3.2400000000000001E-4</v>
      </c>
      <c r="G97" s="2">
        <v>2.0000000000000001E-4</v>
      </c>
      <c r="H97" s="2">
        <f>(1/COUNT(D97:G97))*SQRT(SUMSQ(D97:G97))</f>
        <v>1.1416353402028163E-4</v>
      </c>
    </row>
    <row r="98" spans="2:10" x14ac:dyDescent="0.55000000000000004">
      <c r="C98" s="2" t="s">
        <v>28</v>
      </c>
      <c r="D98" s="2">
        <v>1.0594410000000001</v>
      </c>
      <c r="E98" s="2">
        <v>1.329548</v>
      </c>
      <c r="F98" s="2">
        <v>1.5719559999999999</v>
      </c>
      <c r="G98" s="2">
        <v>1.5425819999999999</v>
      </c>
      <c r="H98" s="2">
        <f>AVERAGE(D98:G98)</f>
        <v>1.37588175</v>
      </c>
      <c r="I98" s="2">
        <f xml:space="preserve"> _xlfn.STDEV.S(D98:G98) / SQRT(COUNT(D98:G98))</f>
        <v>0.11850304128050493</v>
      </c>
      <c r="J98" s="2">
        <f>I98*$J$2</f>
        <v>0.1481025063722235</v>
      </c>
    </row>
    <row r="99" spans="2:10" x14ac:dyDescent="0.55000000000000004">
      <c r="C99" s="2" t="s">
        <v>29</v>
      </c>
      <c r="D99" s="2">
        <v>1.56E-3</v>
      </c>
      <c r="E99" s="2">
        <v>3.0249999999999999E-3</v>
      </c>
      <c r="F99" s="2">
        <v>4.5880000000000001E-3</v>
      </c>
      <c r="G99" s="2">
        <v>5.9969999999999997E-3</v>
      </c>
      <c r="H99" s="2">
        <f>(1/COUNT(D99:G99))*SQRT(SUMSQ(D99:G99))</f>
        <v>2.0705974077545831E-3</v>
      </c>
    </row>
    <row r="100" spans="2:10" x14ac:dyDescent="0.55000000000000004">
      <c r="C100" s="2" t="s">
        <v>30</v>
      </c>
      <c r="D100" s="2">
        <v>16.299049</v>
      </c>
      <c r="E100" s="2">
        <v>22.381126999999999</v>
      </c>
      <c r="F100" s="2">
        <v>17.769917</v>
      </c>
      <c r="G100" s="2">
        <v>28.110163</v>
      </c>
      <c r="H100" s="2">
        <f>AVERAGE(D100:G100)</f>
        <v>21.140064000000002</v>
      </c>
      <c r="I100" s="2">
        <f xml:space="preserve"> _xlfn.STDEV.S(D100:G100) / SQRT(COUNT(D100:G100))</f>
        <v>2.6601352483098113</v>
      </c>
      <c r="J100" s="2">
        <f>I100*$J$2</f>
        <v>3.3245787897647237</v>
      </c>
    </row>
    <row r="101" spans="2:10" x14ac:dyDescent="0.55000000000000004">
      <c r="C101" s="2" t="s">
        <v>31</v>
      </c>
      <c r="D101" s="2">
        <v>3.2667000000000002E-2</v>
      </c>
      <c r="E101" s="2">
        <v>2.5260999999999999E-2</v>
      </c>
      <c r="F101" s="2">
        <v>3.4348999999999998E-2</v>
      </c>
      <c r="G101" s="2">
        <v>8.4007999999999999E-2</v>
      </c>
      <c r="H101" s="2">
        <f>(1/COUNT(D101:G101))*SQRT(SUMSQ(D101:G101))</f>
        <v>2.4927957290710765E-2</v>
      </c>
    </row>
    <row r="102" spans="2:10" x14ac:dyDescent="0.55000000000000004">
      <c r="B102" s="2" t="s">
        <v>32</v>
      </c>
      <c r="C102" s="2" t="s">
        <v>22</v>
      </c>
      <c r="D102" s="2">
        <v>0.98609899999999995</v>
      </c>
      <c r="E102" s="2">
        <v>0.974132</v>
      </c>
      <c r="F102" s="2">
        <v>0.99272499999999997</v>
      </c>
      <c r="G102" s="2">
        <v>0.99194000000000004</v>
      </c>
      <c r="H102" s="2">
        <f>AVERAGE(D102:G102)</f>
        <v>0.98622399999999999</v>
      </c>
      <c r="I102" s="2">
        <f xml:space="preserve"> _xlfn.STDEV.S(D102:G102) / SQRT(COUNT(D102:G102))</f>
        <v>4.2930927662933188E-3</v>
      </c>
      <c r="J102" s="2">
        <f>I102*$J$2</f>
        <v>5.3654133421899104E-3</v>
      </c>
    </row>
    <row r="103" spans="2:10" x14ac:dyDescent="0.55000000000000004">
      <c r="C103" s="2" t="s">
        <v>23</v>
      </c>
      <c r="D103" s="2">
        <v>1.66E-4</v>
      </c>
      <c r="E103" s="2">
        <v>8.7799999999999998E-4</v>
      </c>
      <c r="F103" s="2">
        <v>8.2000000000000001E-5</v>
      </c>
      <c r="G103" s="2">
        <v>1.05E-4</v>
      </c>
      <c r="H103" s="2">
        <f>(1/COUNT(D103:G103))*SQRT(SUMSQ(D103:G103))</f>
        <v>2.2585794761309597E-4</v>
      </c>
    </row>
    <row r="104" spans="2:10" x14ac:dyDescent="0.55000000000000004">
      <c r="C104" s="2" t="s">
        <v>24</v>
      </c>
      <c r="D104" s="2">
        <v>0.176703</v>
      </c>
      <c r="E104" s="2">
        <v>0.231241</v>
      </c>
      <c r="F104" s="2">
        <v>0.227023</v>
      </c>
      <c r="G104" s="2">
        <v>0.22193399999999999</v>
      </c>
      <c r="H104" s="2">
        <f>AVERAGE(D104:G104)</f>
        <v>0.21422524999999998</v>
      </c>
      <c r="I104" s="2">
        <f xml:space="preserve"> _xlfn.STDEV.S(D104:G104) / SQRT(COUNT(D104:G104))</f>
        <v>1.2651291846915744E-2</v>
      </c>
      <c r="J104" s="2">
        <f>I104*$J$2</f>
        <v>1.5811307550660649E-2</v>
      </c>
    </row>
    <row r="105" spans="2:10" x14ac:dyDescent="0.55000000000000004">
      <c r="C105" s="2" t="s">
        <v>25</v>
      </c>
      <c r="D105" s="2">
        <v>9.1200000000000005E-4</v>
      </c>
      <c r="E105" s="2">
        <v>3.4949999999999998E-3</v>
      </c>
      <c r="F105" s="2">
        <v>5.31E-4</v>
      </c>
      <c r="G105" s="2">
        <v>6.8099999999999996E-4</v>
      </c>
      <c r="H105" s="2">
        <f>(1/COUNT(D105:G105))*SQRT(SUMSQ(D105:G105))</f>
        <v>9.2845607731329967E-4</v>
      </c>
    </row>
    <row r="106" spans="2:10" x14ac:dyDescent="0.55000000000000004">
      <c r="C106" s="2" t="s">
        <v>26</v>
      </c>
      <c r="D106" s="2">
        <v>0.881324</v>
      </c>
      <c r="E106" s="2">
        <v>0.85646900000000004</v>
      </c>
      <c r="F106" s="2">
        <v>0.91619399999999995</v>
      </c>
      <c r="G106" s="2">
        <v>0.93589500000000003</v>
      </c>
      <c r="H106" s="2">
        <f>AVERAGE(D106:G106)</f>
        <v>0.89747049999999995</v>
      </c>
      <c r="I106" s="2">
        <f xml:space="preserve"> _xlfn.STDEV.S(D106:G106) / SQRT(COUNT(D106:G106))</f>
        <v>1.7722029880443524E-2</v>
      </c>
      <c r="J106" s="2">
        <f>I106*$J$2</f>
        <v>2.2148604921322899E-2</v>
      </c>
    </row>
    <row r="107" spans="2:10" x14ac:dyDescent="0.55000000000000004">
      <c r="C107" s="2" t="s">
        <v>27</v>
      </c>
      <c r="D107" s="2">
        <v>6.4700000000000001E-4</v>
      </c>
      <c r="E107" s="2">
        <v>1.98E-3</v>
      </c>
      <c r="F107" s="2">
        <v>4.44E-4</v>
      </c>
      <c r="G107" s="2">
        <v>3.3100000000000002E-4</v>
      </c>
      <c r="H107" s="2">
        <f>(1/COUNT(D107:G107))*SQRT(SUMSQ(D107:G107))</f>
        <v>5.3884749697850507E-4</v>
      </c>
    </row>
    <row r="108" spans="2:10" x14ac:dyDescent="0.55000000000000004">
      <c r="C108" s="2" t="s">
        <v>28</v>
      </c>
      <c r="D108" s="2">
        <v>1.1337820000000001</v>
      </c>
      <c r="E108" s="2">
        <v>1.4807889999999999</v>
      </c>
      <c r="F108" s="2">
        <v>1.561366</v>
      </c>
      <c r="G108" s="2">
        <v>1.582846</v>
      </c>
      <c r="H108" s="2">
        <f>AVERAGE(D108:G108)</f>
        <v>1.4396957499999998</v>
      </c>
      <c r="I108" s="2">
        <f xml:space="preserve"> _xlfn.STDEV.S(D108:G108) / SQRT(COUNT(D108:G108))</f>
        <v>0.10431024296330045</v>
      </c>
      <c r="J108" s="2">
        <f>I108*$J$2</f>
        <v>0.13036465778622894</v>
      </c>
    </row>
    <row r="109" spans="2:10" x14ac:dyDescent="0.55000000000000004">
      <c r="C109" s="2" t="s">
        <v>29</v>
      </c>
      <c r="D109" s="2">
        <v>8.5869999999999991E-3</v>
      </c>
      <c r="E109" s="2">
        <v>2.3449999999999999E-2</v>
      </c>
      <c r="F109" s="2">
        <v>9.5259999999999997E-3</v>
      </c>
      <c r="G109" s="2">
        <v>8.8529999999999998E-3</v>
      </c>
      <c r="H109" s="2">
        <f>(1/COUNT(D109:G109))*SQRT(SUMSQ(D109:G109))</f>
        <v>7.0389956403594965E-3</v>
      </c>
    </row>
    <row r="110" spans="2:10" x14ac:dyDescent="0.55000000000000004">
      <c r="C110" s="2" t="s">
        <v>30</v>
      </c>
      <c r="D110" s="2">
        <v>17.547246999999999</v>
      </c>
      <c r="E110" s="2">
        <v>22.703621999999999</v>
      </c>
      <c r="F110" s="2">
        <v>18.140387</v>
      </c>
      <c r="G110" s="2">
        <v>28.503425</v>
      </c>
      <c r="H110" s="2">
        <f>AVERAGE(D110:G110)</f>
        <v>21.723670249999998</v>
      </c>
      <c r="I110" s="2">
        <f xml:space="preserve"> _xlfn.STDEV.S(D110:G110) / SQRT(COUNT(D110:G110))</f>
        <v>2.536529944552647</v>
      </c>
      <c r="J110" s="2">
        <f>I110*$J$2</f>
        <v>3.1700995874630387</v>
      </c>
    </row>
    <row r="111" spans="2:10" x14ac:dyDescent="0.55000000000000004">
      <c r="C111" s="2" t="s">
        <v>31</v>
      </c>
      <c r="D111" s="2">
        <v>0.21432499999999999</v>
      </c>
      <c r="E111" s="2">
        <v>0.107476</v>
      </c>
      <c r="F111" s="2">
        <v>8.3975999999999995E-2</v>
      </c>
      <c r="G111" s="2">
        <v>7.3403999999999997E-2</v>
      </c>
      <c r="H111" s="2">
        <f>(1/COUNT(D111:G111))*SQRT(SUMSQ(D111:G111))</f>
        <v>6.6109006569169529E-2</v>
      </c>
    </row>
    <row r="112" spans="2:10" x14ac:dyDescent="0.55000000000000004">
      <c r="B112" s="2" t="s">
        <v>33</v>
      </c>
      <c r="C112" s="2" t="s">
        <v>22</v>
      </c>
      <c r="D112" s="2">
        <v>0.98726700000000001</v>
      </c>
      <c r="E112" s="2">
        <v>0.97614500000000004</v>
      </c>
      <c r="F112" s="2">
        <v>0.99266799999999999</v>
      </c>
      <c r="G112" s="2">
        <v>0.99227100000000001</v>
      </c>
      <c r="H112" s="2">
        <f>AVERAGE(D112:G112)</f>
        <v>0.98708775000000004</v>
      </c>
      <c r="I112" s="2">
        <f xml:space="preserve"> _xlfn.STDEV.S(D112:G112) / SQRT(COUNT(D112:G112))</f>
        <v>3.8490386110256935E-3</v>
      </c>
      <c r="J112" s="2">
        <f>I112*$J$2</f>
        <v>4.8104441814874081E-3</v>
      </c>
    </row>
    <row r="113" spans="2:10" x14ac:dyDescent="0.55000000000000004">
      <c r="C113" s="2" t="s">
        <v>23</v>
      </c>
      <c r="D113" s="2">
        <v>1.7E-5</v>
      </c>
      <c r="E113" s="2">
        <v>1.17E-4</v>
      </c>
      <c r="F113" s="2">
        <v>2.5999999999999998E-5</v>
      </c>
      <c r="G113" s="2">
        <v>2.5999999999999998E-5</v>
      </c>
      <c r="H113" s="2">
        <f>(1/COUNT(D113:G113))*SQRT(SUMSQ(D113:G113))</f>
        <v>3.0953594298562483E-5</v>
      </c>
    </row>
    <row r="114" spans="2:10" x14ac:dyDescent="0.55000000000000004">
      <c r="C114" s="2" t="s">
        <v>24</v>
      </c>
      <c r="D114" s="2">
        <v>0.170067</v>
      </c>
      <c r="E114" s="2">
        <v>0.222862</v>
      </c>
      <c r="F114" s="2">
        <v>0.22756899999999999</v>
      </c>
      <c r="G114" s="2">
        <v>0.218413</v>
      </c>
      <c r="H114" s="2">
        <f>AVERAGE(D114:G114)</f>
        <v>0.20972774999999999</v>
      </c>
      <c r="I114" s="2">
        <f xml:space="preserve"> _xlfn.STDEV.S(D114:G114) / SQRT(COUNT(D114:G114))</f>
        <v>1.3351739533203216E-2</v>
      </c>
      <c r="J114" s="2">
        <f>I114*$J$2</f>
        <v>1.6686711732703911E-2</v>
      </c>
    </row>
    <row r="115" spans="2:10" x14ac:dyDescent="0.55000000000000004">
      <c r="C115" s="2" t="s">
        <v>25</v>
      </c>
      <c r="D115" s="2">
        <v>1.1E-4</v>
      </c>
      <c r="E115" s="2">
        <v>4.8099999999999998E-4</v>
      </c>
      <c r="F115" s="2">
        <v>1.7100000000000001E-4</v>
      </c>
      <c r="G115" s="2">
        <v>2.1000000000000001E-4</v>
      </c>
      <c r="H115" s="2">
        <f>(1/COUNT(D115:G115))*SQRT(SUMSQ(D115:G115))</f>
        <v>1.4071291696216094E-4</v>
      </c>
    </row>
    <row r="116" spans="2:10" x14ac:dyDescent="0.55000000000000004">
      <c r="C116" s="2" t="s">
        <v>26</v>
      </c>
      <c r="D116" s="2">
        <v>0.88548700000000002</v>
      </c>
      <c r="E116" s="2">
        <v>0.86119400000000002</v>
      </c>
      <c r="F116" s="2">
        <v>0.91601500000000002</v>
      </c>
      <c r="G116" s="2">
        <v>0.93691899999999995</v>
      </c>
      <c r="H116" s="2">
        <f>AVERAGE(D116:G116)</f>
        <v>0.89990375000000011</v>
      </c>
      <c r="I116" s="2">
        <f xml:space="preserve"> _xlfn.STDEV.S(D116:G116) / SQRT(COUNT(D116:G116))</f>
        <v>1.6673303348841814E-2</v>
      </c>
      <c r="J116" s="2">
        <f>I116*$J$2</f>
        <v>2.0837929463959647E-2</v>
      </c>
    </row>
    <row r="117" spans="2:10" x14ac:dyDescent="0.55000000000000004">
      <c r="C117" s="2" t="s">
        <v>27</v>
      </c>
      <c r="D117" s="2">
        <v>6.9999999999999994E-5</v>
      </c>
      <c r="E117" s="2">
        <v>2.6899999999999998E-4</v>
      </c>
      <c r="F117" s="2">
        <v>1.4300000000000001E-4</v>
      </c>
      <c r="G117" s="2">
        <v>8.7000000000000001E-5</v>
      </c>
      <c r="H117" s="2">
        <f>(1/COUNT(D117:G117))*SQRT(SUMSQ(D117:G117))</f>
        <v>8.1116813916721361E-5</v>
      </c>
    </row>
    <row r="118" spans="2:10" x14ac:dyDescent="0.55000000000000004">
      <c r="C118" s="2" t="s">
        <v>28</v>
      </c>
      <c r="D118" s="2">
        <v>1.056036</v>
      </c>
      <c r="E118" s="2">
        <v>1.3383849999999999</v>
      </c>
      <c r="F118" s="2">
        <v>1.566975</v>
      </c>
      <c r="G118" s="2">
        <v>1.536141</v>
      </c>
      <c r="H118" s="2">
        <f>AVERAGE(D118:G118)</f>
        <v>1.3743842499999999</v>
      </c>
      <c r="I118" s="2">
        <f xml:space="preserve"> _xlfn.STDEV.S(D118:G118) / SQRT(COUNT(D118:G118))</f>
        <v>0.11757905051310227</v>
      </c>
      <c r="J118" s="2">
        <f>I118*$J$2</f>
        <v>0.14694772294187081</v>
      </c>
    </row>
    <row r="119" spans="2:10" x14ac:dyDescent="0.55000000000000004">
      <c r="C119" s="2" t="s">
        <v>29</v>
      </c>
      <c r="D119" s="2">
        <v>9.8200000000000002E-4</v>
      </c>
      <c r="E119" s="2">
        <v>3.65E-3</v>
      </c>
      <c r="F119" s="2">
        <v>3.7659999999999998E-3</v>
      </c>
      <c r="G119" s="2">
        <v>4.0330000000000001E-3</v>
      </c>
      <c r="H119" s="2">
        <f>(1/COUNT(D119:G119))*SQRT(SUMSQ(D119:G119))</f>
        <v>1.6720995223072101E-3</v>
      </c>
    </row>
    <row r="120" spans="2:10" x14ac:dyDescent="0.55000000000000004">
      <c r="C120" s="2" t="s">
        <v>30</v>
      </c>
      <c r="D120" s="2">
        <v>16.175899000000001</v>
      </c>
      <c r="E120" s="2">
        <v>22.602378000000002</v>
      </c>
      <c r="F120" s="2">
        <v>17.783911</v>
      </c>
      <c r="G120" s="2">
        <v>28.064492999999999</v>
      </c>
      <c r="H120" s="2">
        <f>AVERAGE(D120:G120)</f>
        <v>21.156670250000001</v>
      </c>
      <c r="I120" s="2">
        <f xml:space="preserve"> _xlfn.STDEV.S(D120:G120) / SQRT(COUNT(D120:G120))</f>
        <v>2.6769334639831586</v>
      </c>
      <c r="J120" s="2">
        <f>I120*$J$2</f>
        <v>3.3455728319168991</v>
      </c>
    </row>
    <row r="121" spans="2:10" x14ac:dyDescent="0.55000000000000004">
      <c r="C121" s="2" t="s">
        <v>31</v>
      </c>
      <c r="D121" s="2">
        <v>2.0412E-2</v>
      </c>
      <c r="E121" s="2">
        <v>2.018E-2</v>
      </c>
      <c r="F121" s="2">
        <v>2.5194000000000001E-2</v>
      </c>
      <c r="G121" s="2">
        <v>4.4674999999999999E-2</v>
      </c>
      <c r="H121" s="2">
        <f>(1/COUNT(D121:G121))*SQRT(SUMSQ(D121:G121))</f>
        <v>1.4693696363151786E-2</v>
      </c>
    </row>
    <row r="122" spans="2:10" x14ac:dyDescent="0.55000000000000004">
      <c r="B122" s="2" t="s">
        <v>34</v>
      </c>
      <c r="C122" s="2" t="s">
        <v>22</v>
      </c>
      <c r="D122" s="2">
        <v>0.98720200000000002</v>
      </c>
      <c r="E122" s="2">
        <v>0.97400100000000001</v>
      </c>
      <c r="F122" s="2">
        <v>0.99282700000000002</v>
      </c>
      <c r="G122" s="2">
        <v>0.99214400000000003</v>
      </c>
      <c r="H122" s="2">
        <f>AVERAGE(D122:G122)</f>
        <v>0.98654350000000002</v>
      </c>
      <c r="I122" s="2">
        <f xml:space="preserve"> _xlfn.STDEV.S(D122:G122) / SQRT(COUNT(D122:G122))</f>
        <v>4.3645914375422014E-3</v>
      </c>
      <c r="J122" s="2">
        <f>I122*$J$2</f>
        <v>5.4547708160557319E-3</v>
      </c>
    </row>
    <row r="123" spans="2:10" x14ac:dyDescent="0.55000000000000004">
      <c r="C123" s="2" t="s">
        <v>23</v>
      </c>
      <c r="D123" s="2">
        <v>2.1100000000000001E-4</v>
      </c>
      <c r="E123" s="2">
        <v>9.2599999999999996E-4</v>
      </c>
      <c r="F123" s="2">
        <v>2.6800000000000001E-4</v>
      </c>
      <c r="G123" s="2">
        <v>2.6400000000000002E-4</v>
      </c>
      <c r="H123" s="2">
        <f>(1/COUNT(D123:G123))*SQRT(SUMSQ(D123:G123))</f>
        <v>2.5538169961843388E-4</v>
      </c>
    </row>
    <row r="124" spans="2:10" x14ac:dyDescent="0.55000000000000004">
      <c r="C124" s="2" t="s">
        <v>24</v>
      </c>
      <c r="D124" s="2">
        <v>0.17041999999999999</v>
      </c>
      <c r="E124" s="2">
        <v>0.23144100000000001</v>
      </c>
      <c r="F124" s="2">
        <v>0.230713</v>
      </c>
      <c r="G124" s="2">
        <v>0.22234000000000001</v>
      </c>
      <c r="H124" s="2">
        <f>AVERAGE(D124:G124)</f>
        <v>0.21372849999999999</v>
      </c>
      <c r="I124" s="2">
        <f xml:space="preserve"> _xlfn.STDEV.S(D124:G124) / SQRT(COUNT(D124:G124))</f>
        <v>1.4583066667085828E-2</v>
      </c>
      <c r="J124" s="2">
        <f>I124*$J$2</f>
        <v>1.8225597424763717E-2</v>
      </c>
    </row>
    <row r="125" spans="2:10" x14ac:dyDescent="0.55000000000000004">
      <c r="C125" s="2" t="s">
        <v>25</v>
      </c>
      <c r="D125" s="2">
        <v>1.181E-3</v>
      </c>
      <c r="E125" s="2">
        <v>3.6099999999999999E-3</v>
      </c>
      <c r="F125" s="2">
        <v>1.5499999999999999E-3</v>
      </c>
      <c r="G125" s="2">
        <v>1.853E-3</v>
      </c>
      <c r="H125" s="2">
        <f>(1/COUNT(D125:G125))*SQRT(SUMSQ(D125:G125))</f>
        <v>1.1253602201073221E-3</v>
      </c>
    </row>
    <row r="126" spans="2:10" x14ac:dyDescent="0.55000000000000004">
      <c r="C126" s="2" t="s">
        <v>26</v>
      </c>
      <c r="D126" s="2">
        <v>0.88490899999999995</v>
      </c>
      <c r="E126" s="2">
        <v>0.85642799999999997</v>
      </c>
      <c r="F126" s="2">
        <v>0.91691800000000001</v>
      </c>
      <c r="G126" s="2">
        <v>0.93622899999999998</v>
      </c>
      <c r="H126" s="2">
        <f>AVERAGE(D126:G126)</f>
        <v>0.898621</v>
      </c>
      <c r="I126" s="2">
        <f xml:space="preserve"> _xlfn.STDEV.S(D126:G126) / SQRT(COUNT(D126:G126))</f>
        <v>1.7600686695883969E-2</v>
      </c>
      <c r="J126" s="2">
        <f>I126*$J$2</f>
        <v>2.1996952866065362E-2</v>
      </c>
    </row>
    <row r="127" spans="2:10" x14ac:dyDescent="0.55000000000000004">
      <c r="C127" s="2" t="s">
        <v>27</v>
      </c>
      <c r="D127" s="2">
        <v>8.2600000000000002E-4</v>
      </c>
      <c r="E127" s="2">
        <v>2.1099999999999999E-3</v>
      </c>
      <c r="F127" s="2">
        <v>1.519E-3</v>
      </c>
      <c r="G127" s="2">
        <v>8.8599999999999996E-4</v>
      </c>
      <c r="H127" s="2">
        <f>(1/COUNT(D127:G127))*SQRT(SUMSQ(D127:G127))</f>
        <v>7.1705704968293832E-4</v>
      </c>
    </row>
    <row r="128" spans="2:10" x14ac:dyDescent="0.55000000000000004">
      <c r="C128" s="2" t="s">
        <v>28</v>
      </c>
      <c r="D128" s="2">
        <v>1.072298</v>
      </c>
      <c r="E128" s="2">
        <v>1.4651989999999999</v>
      </c>
      <c r="F128" s="2">
        <v>1.63354</v>
      </c>
      <c r="G128" s="2">
        <v>1.5921289999999999</v>
      </c>
      <c r="H128" s="2">
        <f>AVERAGE(D128:G128)</f>
        <v>1.4407915</v>
      </c>
      <c r="I128" s="2">
        <f xml:space="preserve"> _xlfn.STDEV.S(D128:G128) / SQRT(COUNT(D128:G128))</f>
        <v>0.12794471747496977</v>
      </c>
      <c r="J128" s="2">
        <f>I128*$J$2</f>
        <v>0.15990250655487909</v>
      </c>
    </row>
    <row r="129" spans="2:10" x14ac:dyDescent="0.55000000000000004">
      <c r="C129" s="2" t="s">
        <v>29</v>
      </c>
      <c r="D129" s="2">
        <v>1.4342000000000001E-2</v>
      </c>
      <c r="E129" s="2">
        <v>2.7512999999999999E-2</v>
      </c>
      <c r="F129" s="2">
        <v>2.7987999999999999E-2</v>
      </c>
      <c r="G129" s="2">
        <v>2.2364999999999999E-2</v>
      </c>
      <c r="H129" s="2">
        <f>(1/COUNT(D129:G129))*SQRT(SUMSQ(D129:G129))</f>
        <v>1.1848469051949286E-2</v>
      </c>
    </row>
    <row r="130" spans="2:10" x14ac:dyDescent="0.55000000000000004">
      <c r="C130" s="2" t="s">
        <v>30</v>
      </c>
      <c r="D130" s="2">
        <v>16.361661999999999</v>
      </c>
      <c r="E130" s="2">
        <v>22.621998999999999</v>
      </c>
      <c r="F130" s="2">
        <v>18.480467999999998</v>
      </c>
      <c r="G130" s="2">
        <v>28.382698999999999</v>
      </c>
      <c r="H130" s="2">
        <f>AVERAGE(D130:G130)</f>
        <v>21.461707000000001</v>
      </c>
      <c r="I130" s="2">
        <f xml:space="preserve"> _xlfn.STDEV.S(D130:G130) / SQRT(COUNT(D130:G130))</f>
        <v>2.6480283981117192</v>
      </c>
      <c r="J130" s="2">
        <f>I130*$J$2</f>
        <v>3.3094479134662307</v>
      </c>
    </row>
    <row r="131" spans="2:10" x14ac:dyDescent="0.55000000000000004">
      <c r="C131" s="2" t="s">
        <v>31</v>
      </c>
      <c r="D131" s="2">
        <v>0.330511</v>
      </c>
      <c r="E131" s="2">
        <v>0.17904300000000001</v>
      </c>
      <c r="F131" s="2">
        <v>0.148592</v>
      </c>
      <c r="G131" s="2">
        <v>0.197273</v>
      </c>
      <c r="H131" s="2">
        <f>(1/COUNT(D131:G131))*SQRT(SUMSQ(D131:G131))</f>
        <v>0.11244168932245505</v>
      </c>
    </row>
    <row r="132" spans="2:10" x14ac:dyDescent="0.55000000000000004">
      <c r="B132" s="2" t="s">
        <v>35</v>
      </c>
      <c r="C132" s="2" t="s">
        <v>22</v>
      </c>
      <c r="D132" s="2">
        <v>0.98354600000000003</v>
      </c>
      <c r="E132" s="2">
        <v>0.96028899999999995</v>
      </c>
      <c r="F132" s="2">
        <v>0.99275000000000002</v>
      </c>
      <c r="G132" s="2">
        <v>0.99210799999999999</v>
      </c>
      <c r="H132" s="2">
        <f>AVERAGE(D132:G132)</f>
        <v>0.98217325</v>
      </c>
      <c r="I132" s="2">
        <f xml:space="preserve"> _xlfn.STDEV.S(D132:G132) / SQRT(COUNT(D132:G132))</f>
        <v>7.5904091828109116E-3</v>
      </c>
      <c r="J132" s="2">
        <f>I132*$J$2</f>
        <v>9.486327204920212E-3</v>
      </c>
    </row>
    <row r="133" spans="2:10" x14ac:dyDescent="0.55000000000000004">
      <c r="C133" s="2" t="s">
        <v>23</v>
      </c>
      <c r="D133" s="2">
        <v>1.8900000000000001E-4</v>
      </c>
      <c r="E133" s="2">
        <v>7.4700000000000005E-4</v>
      </c>
      <c r="F133" s="2">
        <v>9.1000000000000003E-5</v>
      </c>
      <c r="G133" s="2">
        <v>7.8999999999999996E-5</v>
      </c>
      <c r="H133" s="2">
        <f>(1/COUNT(D133:G133))*SQRT(SUMSQ(D133:G133))</f>
        <v>1.9497628060869353E-4</v>
      </c>
    </row>
    <row r="134" spans="2:10" x14ac:dyDescent="0.55000000000000004">
      <c r="C134" s="2" t="s">
        <v>24</v>
      </c>
      <c r="D134" s="2">
        <v>0.189195</v>
      </c>
      <c r="E134" s="2">
        <v>0.28081699999999998</v>
      </c>
      <c r="F134" s="2">
        <v>0.23219699999999999</v>
      </c>
      <c r="G134" s="2">
        <v>0.22556499999999999</v>
      </c>
      <c r="H134" s="2">
        <f>AVERAGE(D134:G134)</f>
        <v>0.2319435</v>
      </c>
      <c r="I134" s="2">
        <f xml:space="preserve"> _xlfn.STDEV.S(D134:G134) / SQRT(COUNT(D134:G134))</f>
        <v>1.8834371901304936E-2</v>
      </c>
      <c r="J134" s="2">
        <f>I134*$J$2</f>
        <v>2.3538785624303903E-2</v>
      </c>
    </row>
    <row r="135" spans="2:10" x14ac:dyDescent="0.55000000000000004">
      <c r="C135" s="2" t="s">
        <v>25</v>
      </c>
      <c r="D135" s="2">
        <v>8.1099999999999998E-4</v>
      </c>
      <c r="E135" s="2">
        <v>2.2759999999999998E-3</v>
      </c>
      <c r="F135" s="2">
        <v>7.3200000000000001E-4</v>
      </c>
      <c r="G135" s="2">
        <v>7.1000000000000002E-4</v>
      </c>
      <c r="H135" s="2">
        <f>(1/COUNT(D135:G135))*SQRT(SUMSQ(D135:G135))</f>
        <v>6.5564000221157942E-4</v>
      </c>
    </row>
    <row r="136" spans="2:10" x14ac:dyDescent="0.55000000000000004">
      <c r="C136" s="2" t="s">
        <v>26</v>
      </c>
      <c r="D136" s="2">
        <v>0.87145399999999995</v>
      </c>
      <c r="E136" s="2">
        <v>0.82855299999999998</v>
      </c>
      <c r="F136" s="2">
        <v>0.91616900000000001</v>
      </c>
      <c r="G136" s="2">
        <v>0.93539499999999998</v>
      </c>
      <c r="H136" s="2">
        <f>AVERAGE(D136:G136)</f>
        <v>0.88789275000000001</v>
      </c>
      <c r="I136" s="2">
        <f xml:space="preserve"> _xlfn.STDEV.S(D136:G136) / SQRT(COUNT(D136:G136))</f>
        <v>2.3887668542489315E-2</v>
      </c>
      <c r="J136" s="2">
        <f>I136*$J$2</f>
        <v>2.9854285124694076E-2</v>
      </c>
    </row>
    <row r="137" spans="2:10" x14ac:dyDescent="0.55000000000000004">
      <c r="C137" s="2" t="s">
        <v>27</v>
      </c>
      <c r="D137" s="2">
        <v>6.5899999999999997E-4</v>
      </c>
      <c r="E137" s="2">
        <v>1.3090000000000001E-3</v>
      </c>
      <c r="F137" s="2">
        <v>3.9500000000000001E-4</v>
      </c>
      <c r="G137" s="2">
        <v>2.9100000000000003E-4</v>
      </c>
      <c r="H137" s="2">
        <f>(1/COUNT(D137:G137))*SQRT(SUMSQ(D137:G137))</f>
        <v>3.8636672993413914E-4</v>
      </c>
    </row>
    <row r="138" spans="2:10" x14ac:dyDescent="0.55000000000000004">
      <c r="C138" s="2" t="s">
        <v>28</v>
      </c>
      <c r="D138" s="2">
        <v>1.2378130000000001</v>
      </c>
      <c r="E138" s="2">
        <v>1.8052630000000001</v>
      </c>
      <c r="F138" s="2">
        <v>1.672026</v>
      </c>
      <c r="G138" s="2">
        <v>1.6423829999999999</v>
      </c>
      <c r="H138" s="2">
        <f>AVERAGE(D138:G138)</f>
        <v>1.5893712499999999</v>
      </c>
      <c r="I138" s="2">
        <f xml:space="preserve"> _xlfn.STDEV.S(D138:G138) / SQRT(COUNT(D138:G138))</f>
        <v>0.12242157496289585</v>
      </c>
      <c r="J138" s="2">
        <f>I138*$J$2</f>
        <v>0.15299980397231089</v>
      </c>
    </row>
    <row r="139" spans="2:10" x14ac:dyDescent="0.55000000000000004">
      <c r="C139" s="2" t="s">
        <v>29</v>
      </c>
      <c r="D139" s="2">
        <v>8.1659999999999996E-3</v>
      </c>
      <c r="E139" s="2">
        <v>1.634E-2</v>
      </c>
      <c r="F139" s="2">
        <v>1.3887999999999999E-2</v>
      </c>
      <c r="G139" s="2">
        <v>9.1420000000000008E-3</v>
      </c>
      <c r="H139" s="2">
        <f>(1/COUNT(D139:G139))*SQRT(SUMSQ(D139:G139))</f>
        <v>6.1752118587138369E-3</v>
      </c>
    </row>
    <row r="140" spans="2:10" x14ac:dyDescent="0.55000000000000004">
      <c r="C140" s="2" t="s">
        <v>30</v>
      </c>
      <c r="D140" s="2">
        <v>19.860168999999999</v>
      </c>
      <c r="E140" s="2">
        <v>25.118257</v>
      </c>
      <c r="F140" s="2">
        <v>18.524559</v>
      </c>
      <c r="G140" s="2">
        <v>28.916820999999999</v>
      </c>
      <c r="H140" s="2">
        <f>AVERAGE(D140:G140)</f>
        <v>23.104951499999999</v>
      </c>
      <c r="I140" s="2">
        <f xml:space="preserve"> _xlfn.STDEV.S(D140:G140) / SQRT(COUNT(D140:G140))</f>
        <v>2.4038135508625107</v>
      </c>
      <c r="J140" s="2">
        <f>I140*$J$2</f>
        <v>3.0042335444501367</v>
      </c>
    </row>
    <row r="141" spans="2:10" x14ac:dyDescent="0.55000000000000004">
      <c r="C141" s="2" t="s">
        <v>31</v>
      </c>
      <c r="D141" s="2">
        <v>0.17072200000000001</v>
      </c>
      <c r="E141" s="2">
        <v>0.17197499999999999</v>
      </c>
      <c r="F141" s="2">
        <v>7.6724000000000001E-2</v>
      </c>
      <c r="G141" s="2">
        <v>8.6457999999999993E-2</v>
      </c>
      <c r="H141" s="2">
        <f>(1/COUNT(D141:G141))*SQRT(SUMSQ(D141:G141))</f>
        <v>6.7120674836912211E-2</v>
      </c>
    </row>
    <row r="142" spans="2:10" x14ac:dyDescent="0.55000000000000004">
      <c r="B142" s="2" t="s">
        <v>45</v>
      </c>
      <c r="C142" s="2" t="s">
        <v>22</v>
      </c>
      <c r="D142" s="2">
        <v>0.98702800000000002</v>
      </c>
      <c r="E142" s="2">
        <v>0.97695399999999999</v>
      </c>
      <c r="F142" s="2">
        <v>0.99321599999999999</v>
      </c>
      <c r="G142" s="2">
        <v>0.99229999999999996</v>
      </c>
      <c r="H142" s="2">
        <f>AVERAGE(D142:G142)</f>
        <v>0.98737450000000004</v>
      </c>
      <c r="I142" s="2">
        <f xml:space="preserve"> _xlfn.STDEV.S(D142:G142) / SQRT(COUNT(D142:G142))</f>
        <v>3.7315161686192169E-3</v>
      </c>
      <c r="J142" s="2">
        <f>I142*$J$2</f>
        <v>4.6635672061177656E-3</v>
      </c>
    </row>
    <row r="143" spans="2:10" x14ac:dyDescent="0.55000000000000004">
      <c r="C143" s="2" t="s">
        <v>23</v>
      </c>
      <c r="D143" s="2">
        <v>1.25E-4</v>
      </c>
      <c r="E143" s="2">
        <v>7.3999999999999999E-4</v>
      </c>
      <c r="F143" s="2">
        <v>2.42E-4</v>
      </c>
      <c r="G143" s="2">
        <v>2.3000000000000001E-4</v>
      </c>
      <c r="H143" s="2">
        <f>(1/COUNT(D143:G143))*SQRT(SUMSQ(D143:G143))</f>
        <v>2.0534863646978521E-4</v>
      </c>
    </row>
    <row r="144" spans="2:10" x14ac:dyDescent="0.55000000000000004">
      <c r="C144" s="2" t="s">
        <v>24</v>
      </c>
      <c r="D144" s="2">
        <v>0.17074400000000001</v>
      </c>
      <c r="E144" s="2">
        <v>0.22140000000000001</v>
      </c>
      <c r="F144" s="2">
        <v>0.22414300000000001</v>
      </c>
      <c r="G144" s="2">
        <v>0.214751</v>
      </c>
      <c r="H144" s="2">
        <f>AVERAGE(D144:G144)</f>
        <v>0.20775950000000001</v>
      </c>
      <c r="I144" s="2">
        <f xml:space="preserve"> _xlfn.STDEV.S(D144:G144) / SQRT(COUNT(D144:G144))</f>
        <v>1.2495034430391376E-2</v>
      </c>
      <c r="J144" s="2">
        <f>I144*$J$2</f>
        <v>1.5616020452739436E-2</v>
      </c>
    </row>
    <row r="145" spans="2:10" x14ac:dyDescent="0.55000000000000004">
      <c r="C145" s="2" t="s">
        <v>25</v>
      </c>
      <c r="D145" s="2">
        <v>9.9700000000000006E-4</v>
      </c>
      <c r="E145" s="2">
        <v>3.1689999999999999E-3</v>
      </c>
      <c r="F145" s="2">
        <v>1.5349999999999999E-3</v>
      </c>
      <c r="G145" s="2">
        <v>2.0530000000000001E-3</v>
      </c>
      <c r="H145" s="2">
        <f>(1/COUNT(D145:G145))*SQRT(SUMSQ(D145:G145))</f>
        <v>1.0490353902514443E-3</v>
      </c>
    </row>
    <row r="146" spans="2:10" x14ac:dyDescent="0.55000000000000004">
      <c r="C146" s="2" t="s">
        <v>26</v>
      </c>
      <c r="D146" s="2">
        <v>0.88384099999999999</v>
      </c>
      <c r="E146" s="2">
        <v>0.85951100000000002</v>
      </c>
      <c r="F146" s="2">
        <v>0.91913299999999998</v>
      </c>
      <c r="G146" s="2">
        <v>0.93782100000000002</v>
      </c>
      <c r="H146" s="2">
        <f>AVERAGE(D146:G146)</f>
        <v>0.90007650000000006</v>
      </c>
      <c r="I146" s="2">
        <f xml:space="preserve"> _xlfn.STDEV.S(D146:G146) / SQRT(COUNT(D146:G146))</f>
        <v>1.7552181068174973E-2</v>
      </c>
      <c r="J146" s="2">
        <f>I146*$J$2</f>
        <v>2.1936331594583764E-2</v>
      </c>
    </row>
    <row r="147" spans="2:10" x14ac:dyDescent="0.55000000000000004">
      <c r="C147" s="2" t="s">
        <v>27</v>
      </c>
      <c r="D147" s="2">
        <v>6.2699999999999995E-4</v>
      </c>
      <c r="E147" s="2">
        <v>1.7420000000000001E-3</v>
      </c>
      <c r="F147" s="2">
        <v>1.1349999999999999E-3</v>
      </c>
      <c r="G147" s="2">
        <v>7.85E-4</v>
      </c>
      <c r="H147" s="2">
        <f>(1/COUNT(D147:G147))*SQRT(SUMSQ(D147:G147))</f>
        <v>5.7728583691270307E-4</v>
      </c>
    </row>
    <row r="148" spans="2:10" x14ac:dyDescent="0.55000000000000004">
      <c r="C148" s="2" t="s">
        <v>28</v>
      </c>
      <c r="D148" s="2">
        <v>1.0606869999999999</v>
      </c>
      <c r="E148" s="2">
        <v>1.448974</v>
      </c>
      <c r="F148" s="2">
        <v>1.517301</v>
      </c>
      <c r="G148" s="2">
        <v>1.460199</v>
      </c>
      <c r="H148" s="2">
        <f>AVERAGE(D148:G148)</f>
        <v>1.3717902500000001</v>
      </c>
      <c r="I148" s="2">
        <f xml:space="preserve"> _xlfn.STDEV.S(D148:G148) / SQRT(COUNT(D148:G148))</f>
        <v>0.10477438016469412</v>
      </c>
      <c r="J148" s="2">
        <f>I148*$J$2</f>
        <v>0.13094472629826215</v>
      </c>
    </row>
    <row r="149" spans="2:10" x14ac:dyDescent="0.55000000000000004">
      <c r="C149" s="2" t="s">
        <v>29</v>
      </c>
      <c r="D149" s="2">
        <v>1.2319E-2</v>
      </c>
      <c r="E149" s="2">
        <v>1.6740999999999999E-2</v>
      </c>
      <c r="F149" s="2">
        <v>3.2704999999999998E-2</v>
      </c>
      <c r="G149" s="2">
        <v>3.2717999999999997E-2</v>
      </c>
      <c r="H149" s="2">
        <f>(1/COUNT(D149:G149))*SQRT(SUMSQ(D149:G149))</f>
        <v>1.2678977164483733E-2</v>
      </c>
    </row>
    <row r="150" spans="2:10" x14ac:dyDescent="0.55000000000000004">
      <c r="C150" s="2" t="s">
        <v>30</v>
      </c>
      <c r="D150" s="2">
        <v>18.413671000000001</v>
      </c>
      <c r="E150" s="2">
        <v>23.300924999999999</v>
      </c>
      <c r="F150" s="2">
        <v>18.680907000000001</v>
      </c>
      <c r="G150" s="2">
        <v>27.048556000000001</v>
      </c>
      <c r="H150" s="2">
        <f>AVERAGE(D150:G150)</f>
        <v>21.861014750000002</v>
      </c>
      <c r="I150" s="2">
        <f xml:space="preserve"> _xlfn.STDEV.S(D150:G150) / SQRT(COUNT(D150:G150))</f>
        <v>2.0611726027672641</v>
      </c>
      <c r="J150" s="2">
        <f>I150*$J$2</f>
        <v>2.5760083896328716</v>
      </c>
    </row>
    <row r="151" spans="2:10" x14ac:dyDescent="0.55000000000000004">
      <c r="C151" s="2" t="s">
        <v>31</v>
      </c>
      <c r="D151" s="2">
        <v>0.28750799999999999</v>
      </c>
      <c r="E151" s="2">
        <v>0.100332</v>
      </c>
      <c r="F151" s="2">
        <v>0.27682200000000001</v>
      </c>
      <c r="G151" s="2">
        <v>0.445162</v>
      </c>
      <c r="H151" s="2">
        <f>(1/COUNT(D151:G151))*SQRT(SUMSQ(D151:G151))</f>
        <v>0.15156001002408254</v>
      </c>
    </row>
    <row r="152" spans="2:10" x14ac:dyDescent="0.55000000000000004">
      <c r="B152" s="2" t="s">
        <v>46</v>
      </c>
      <c r="C152" s="2" t="s">
        <v>22</v>
      </c>
      <c r="H152" s="2" t="e">
        <f>AVERAGE(D152:G152)</f>
        <v>#DIV/0!</v>
      </c>
      <c r="I152" s="2" t="e">
        <f xml:space="preserve"> _xlfn.STDEV.S(D152:G152) / SQRT(COUNT(D152:G152))</f>
        <v>#DIV/0!</v>
      </c>
      <c r="J152" s="2" t="e">
        <f>I152*$J$2</f>
        <v>#DIV/0!</v>
      </c>
    </row>
    <row r="153" spans="2:10" x14ac:dyDescent="0.55000000000000004">
      <c r="C153" s="2" t="s">
        <v>23</v>
      </c>
      <c r="H153" s="2" t="e">
        <f>(1/COUNT(D153:G153))*SQRT(SUMSQ(D153:G153))</f>
        <v>#DIV/0!</v>
      </c>
    </row>
    <row r="154" spans="2:10" x14ac:dyDescent="0.55000000000000004">
      <c r="C154" s="2" t="s">
        <v>24</v>
      </c>
      <c r="H154" s="2" t="e">
        <f>AVERAGE(D154:G154)</f>
        <v>#DIV/0!</v>
      </c>
      <c r="I154" s="2" t="e">
        <f xml:space="preserve"> _xlfn.STDEV.S(D154:G154) / SQRT(COUNT(D154:G154))</f>
        <v>#DIV/0!</v>
      </c>
      <c r="J154" s="2" t="e">
        <f>I154*$J$2</f>
        <v>#DIV/0!</v>
      </c>
    </row>
    <row r="155" spans="2:10" x14ac:dyDescent="0.55000000000000004">
      <c r="C155" s="2" t="s">
        <v>25</v>
      </c>
      <c r="H155" s="2" t="e">
        <f>(1/COUNT(D155:G155))*SQRT(SUMSQ(D155:G155))</f>
        <v>#DIV/0!</v>
      </c>
    </row>
    <row r="156" spans="2:10" x14ac:dyDescent="0.55000000000000004">
      <c r="C156" s="2" t="s">
        <v>26</v>
      </c>
      <c r="H156" s="2" t="e">
        <f>AVERAGE(D156:G156)</f>
        <v>#DIV/0!</v>
      </c>
      <c r="I156" s="2" t="e">
        <f xml:space="preserve"> _xlfn.STDEV.S(D156:G156) / SQRT(COUNT(D156:G156))</f>
        <v>#DIV/0!</v>
      </c>
      <c r="J156" s="2" t="e">
        <f>I156*$J$2</f>
        <v>#DIV/0!</v>
      </c>
    </row>
    <row r="157" spans="2:10" x14ac:dyDescent="0.55000000000000004">
      <c r="C157" s="2" t="s">
        <v>27</v>
      </c>
      <c r="H157" s="2" t="e">
        <f>(1/COUNT(D157:G157))*SQRT(SUMSQ(D157:G157))</f>
        <v>#DIV/0!</v>
      </c>
    </row>
    <row r="158" spans="2:10" x14ac:dyDescent="0.55000000000000004">
      <c r="C158" s="2" t="s">
        <v>28</v>
      </c>
      <c r="H158" s="2" t="e">
        <f>AVERAGE(D158:G158)</f>
        <v>#DIV/0!</v>
      </c>
      <c r="I158" s="2" t="e">
        <f xml:space="preserve"> _xlfn.STDEV.S(D158:G158) / SQRT(COUNT(D158:G158))</f>
        <v>#DIV/0!</v>
      </c>
      <c r="J158" s="2" t="e">
        <f>I158*$J$2</f>
        <v>#DIV/0!</v>
      </c>
    </row>
    <row r="159" spans="2:10" x14ac:dyDescent="0.55000000000000004">
      <c r="C159" s="2" t="s">
        <v>29</v>
      </c>
      <c r="H159" s="2" t="e">
        <f>(1/COUNT(D159:G159))*SQRT(SUMSQ(D159:G159))</f>
        <v>#DIV/0!</v>
      </c>
    </row>
    <row r="160" spans="2:10" x14ac:dyDescent="0.55000000000000004">
      <c r="C160" s="2" t="s">
        <v>30</v>
      </c>
      <c r="H160" s="2" t="e">
        <f>AVERAGE(D160:G160)</f>
        <v>#DIV/0!</v>
      </c>
      <c r="I160" s="2" t="e">
        <f xml:space="preserve"> _xlfn.STDEV.S(D160:G160) / SQRT(COUNT(D160:G160))</f>
        <v>#DIV/0!</v>
      </c>
      <c r="J160" s="2" t="e">
        <f>I160*$J$2</f>
        <v>#DIV/0!</v>
      </c>
    </row>
    <row r="161" spans="2:20" x14ac:dyDescent="0.55000000000000004">
      <c r="C161" s="2" t="s">
        <v>31</v>
      </c>
      <c r="H161" s="2" t="e">
        <f>(1/COUNT(D161:G161))*SQRT(SUMSQ(D161:G161))</f>
        <v>#DIV/0!</v>
      </c>
    </row>
    <row r="162" spans="2:20" x14ac:dyDescent="0.55000000000000004">
      <c r="B162" s="2" t="s">
        <v>36</v>
      </c>
      <c r="C162" s="2" t="s">
        <v>22</v>
      </c>
      <c r="D162" s="2">
        <v>0.986541</v>
      </c>
      <c r="E162" s="2">
        <v>0.97753599999999996</v>
      </c>
      <c r="F162" s="2">
        <v>0.99150400000000005</v>
      </c>
      <c r="G162" s="2">
        <v>0.99256299999999997</v>
      </c>
      <c r="H162" s="2">
        <f t="shared" ref="H162:H180" si="5">AVERAGE(D162:G162)</f>
        <v>0.98703600000000002</v>
      </c>
      <c r="I162" s="2">
        <f xml:space="preserve"> _xlfn.STDEV.S(D162:G162) / SQRT(COUNT(D162:G162))</f>
        <v>3.4278975334744292E-3</v>
      </c>
      <c r="J162" s="2">
        <f>I162*$J$2</f>
        <v>4.2841112836337382E-3</v>
      </c>
    </row>
    <row r="163" spans="2:20" x14ac:dyDescent="0.55000000000000004">
      <c r="C163" s="2" t="s">
        <v>24</v>
      </c>
      <c r="D163" s="2">
        <v>0.172793</v>
      </c>
      <c r="E163" s="2">
        <v>0.218724</v>
      </c>
      <c r="F163" s="2">
        <v>0.23370299999999999</v>
      </c>
      <c r="G163" s="2">
        <v>0.21695900000000001</v>
      </c>
      <c r="H163" s="2">
        <f t="shared" si="5"/>
        <v>0.21054475</v>
      </c>
      <c r="I163" s="2">
        <f t="shared" ref="I163:I176" si="6" xml:space="preserve"> _xlfn.STDEV.S(D163:G163) / SQRT(COUNT(D163:G163))</f>
        <v>1.3132472173807709E-2</v>
      </c>
      <c r="J163" s="2">
        <f t="shared" ref="J163:J176" si="7">I163*$J$2</f>
        <v>1.6412676187782957E-2</v>
      </c>
    </row>
    <row r="164" spans="2:20" x14ac:dyDescent="0.55000000000000004">
      <c r="C164" s="2" t="s">
        <v>26</v>
      </c>
      <c r="D164" s="2">
        <v>0.87999300000000003</v>
      </c>
      <c r="E164" s="2">
        <v>0.86099999999999999</v>
      </c>
      <c r="F164" s="2">
        <v>0.90920000000000001</v>
      </c>
      <c r="G164" s="2">
        <v>0.93748399999999998</v>
      </c>
      <c r="H164" s="2">
        <f t="shared" si="5"/>
        <v>0.89691924999999995</v>
      </c>
      <c r="I164" s="2">
        <f t="shared" si="6"/>
        <v>1.6765555520048634E-2</v>
      </c>
      <c r="J164" s="2">
        <f t="shared" si="7"/>
        <v>2.0953224207675709E-2</v>
      </c>
    </row>
    <row r="165" spans="2:20" x14ac:dyDescent="0.55000000000000004">
      <c r="C165" s="2" t="s">
        <v>28</v>
      </c>
      <c r="D165" s="2">
        <v>1.0830090000000001</v>
      </c>
      <c r="E165" s="2">
        <v>1.386503</v>
      </c>
      <c r="F165" s="2">
        <v>1.762321</v>
      </c>
      <c r="G165" s="2">
        <v>1.494178</v>
      </c>
      <c r="H165" s="2">
        <f t="shared" si="5"/>
        <v>1.4315027499999999</v>
      </c>
      <c r="I165" s="2">
        <f t="shared" si="6"/>
        <v>0.14048777312894287</v>
      </c>
      <c r="J165" s="2">
        <f t="shared" si="7"/>
        <v>0.17557854288142785</v>
      </c>
    </row>
    <row r="166" spans="2:20" x14ac:dyDescent="0.55000000000000004">
      <c r="C166" s="2" t="s">
        <v>30</v>
      </c>
      <c r="D166" s="2">
        <v>16.396319999999999</v>
      </c>
      <c r="E166" s="2">
        <v>21.081904000000002</v>
      </c>
      <c r="F166" s="2">
        <v>18.928372</v>
      </c>
      <c r="G166" s="2">
        <v>27.11674</v>
      </c>
      <c r="H166" s="2">
        <f t="shared" si="5"/>
        <v>20.880834</v>
      </c>
      <c r="I166" s="2">
        <f t="shared" si="6"/>
        <v>2.2885571594233789</v>
      </c>
      <c r="J166" s="2">
        <f t="shared" si="7"/>
        <v>2.8601886299643708</v>
      </c>
    </row>
    <row r="167" spans="2:20" x14ac:dyDescent="0.55000000000000004">
      <c r="B167" s="2" t="s">
        <v>37</v>
      </c>
      <c r="C167" s="2" t="s">
        <v>22</v>
      </c>
      <c r="D167" s="2">
        <v>0.98200600000000005</v>
      </c>
      <c r="E167" s="2">
        <v>0.96214599999999995</v>
      </c>
      <c r="F167" s="2">
        <v>0.98313300000000003</v>
      </c>
      <c r="G167" s="2">
        <v>0.97850199999999998</v>
      </c>
      <c r="H167" s="2">
        <f t="shared" si="5"/>
        <v>0.97644675000000003</v>
      </c>
      <c r="I167" s="2">
        <f t="shared" si="6"/>
        <v>4.8678083941852317E-3</v>
      </c>
      <c r="J167" s="2">
        <f t="shared" si="7"/>
        <v>6.083680350549645E-3</v>
      </c>
    </row>
    <row r="168" spans="2:20" x14ac:dyDescent="0.55000000000000004">
      <c r="C168" s="2" t="s">
        <v>24</v>
      </c>
      <c r="D168" s="2">
        <v>0.20052</v>
      </c>
      <c r="E168" s="2">
        <v>0.27392</v>
      </c>
      <c r="F168" s="2">
        <v>0.29649199999999998</v>
      </c>
      <c r="G168" s="2">
        <v>0.306807</v>
      </c>
      <c r="H168" s="2">
        <f t="shared" si="5"/>
        <v>0.26943475</v>
      </c>
      <c r="I168" s="2">
        <f t="shared" si="6"/>
        <v>2.397592556911694E-2</v>
      </c>
      <c r="J168" s="2">
        <f t="shared" si="7"/>
        <v>2.9964586824188618E-2</v>
      </c>
    </row>
    <row r="169" spans="2:20" x14ac:dyDescent="0.55000000000000004">
      <c r="C169" s="2" t="s">
        <v>26</v>
      </c>
      <c r="D169" s="2">
        <v>0.86113799999999996</v>
      </c>
      <c r="E169" s="2">
        <v>0.83069899999999997</v>
      </c>
      <c r="F169" s="2">
        <v>0.87236899999999995</v>
      </c>
      <c r="G169" s="2">
        <v>0.89592799999999995</v>
      </c>
      <c r="H169" s="2">
        <f t="shared" si="5"/>
        <v>0.86503350000000001</v>
      </c>
      <c r="I169" s="2">
        <f t="shared" si="6"/>
        <v>1.3547178368575498E-2</v>
      </c>
      <c r="J169" s="2">
        <f t="shared" si="7"/>
        <v>1.6930966910025384E-2</v>
      </c>
    </row>
    <row r="170" spans="2:20" x14ac:dyDescent="0.55000000000000004">
      <c r="C170" s="2" t="s">
        <v>28</v>
      </c>
      <c r="D170" s="2">
        <v>1.54575</v>
      </c>
      <c r="E170" s="2">
        <v>1.840238</v>
      </c>
      <c r="F170" s="2">
        <v>2.6588919999999998</v>
      </c>
      <c r="G170" s="2">
        <v>2.5013960000000002</v>
      </c>
      <c r="H170" s="2">
        <f t="shared" si="5"/>
        <v>2.1365690000000002</v>
      </c>
      <c r="I170" s="2">
        <f t="shared" si="6"/>
        <v>0.26501559837425875</v>
      </c>
      <c r="J170" s="2">
        <f t="shared" si="7"/>
        <v>0.33121069234042733</v>
      </c>
    </row>
    <row r="171" spans="2:20" x14ac:dyDescent="0.55000000000000004">
      <c r="C171" s="2" t="s">
        <v>30</v>
      </c>
      <c r="D171" s="2">
        <v>23.689674</v>
      </c>
      <c r="E171" s="2">
        <v>25.857146</v>
      </c>
      <c r="F171" s="2">
        <v>27.187752</v>
      </c>
      <c r="G171" s="2">
        <v>37.585819000000001</v>
      </c>
      <c r="H171" s="2">
        <f t="shared" si="5"/>
        <v>28.58009775</v>
      </c>
      <c r="I171" s="2">
        <f t="shared" si="6"/>
        <v>3.0872365286724861</v>
      </c>
      <c r="J171" s="2">
        <f t="shared" si="7"/>
        <v>3.8583606185936516</v>
      </c>
      <c r="P171" s="2" t="s">
        <v>38</v>
      </c>
      <c r="Q171" s="2" cm="1">
        <f t="array" ref="Q171:T171">D168:G168/D171:G171</f>
        <v>8.4644474212688618E-3</v>
      </c>
      <c r="R171" s="2">
        <v>1.0593589872602336E-2</v>
      </c>
      <c r="S171" s="2">
        <v>1.0905351792233502E-2</v>
      </c>
      <c r="T171" s="2">
        <v>8.1628392878707792E-3</v>
      </c>
    </row>
    <row r="172" spans="2:20" x14ac:dyDescent="0.55000000000000004">
      <c r="B172" s="2" t="s">
        <v>39</v>
      </c>
      <c r="C172" s="2" t="s">
        <v>22</v>
      </c>
      <c r="D172" s="2">
        <v>0.98707800000000001</v>
      </c>
      <c r="E172" s="2">
        <v>0.97871600000000003</v>
      </c>
      <c r="F172" s="2">
        <v>0.99346100000000004</v>
      </c>
      <c r="G172" s="2">
        <v>0.99309999999999998</v>
      </c>
      <c r="H172" s="2">
        <f t="shared" si="5"/>
        <v>0.98808875000000007</v>
      </c>
      <c r="I172" s="2">
        <f t="shared" si="6"/>
        <v>3.450166116169863E-3</v>
      </c>
      <c r="J172" s="2">
        <f t="shared" si="7"/>
        <v>4.3119420707166132E-3</v>
      </c>
    </row>
    <row r="173" spans="2:20" x14ac:dyDescent="0.55000000000000004">
      <c r="C173" s="2" t="s">
        <v>24</v>
      </c>
      <c r="D173" s="2">
        <v>0.17088900000000001</v>
      </c>
      <c r="E173" s="2">
        <v>0.212647</v>
      </c>
      <c r="F173" s="2">
        <v>0.23889199999999999</v>
      </c>
      <c r="G173" s="2">
        <v>0.231296</v>
      </c>
      <c r="H173" s="2">
        <f t="shared" si="5"/>
        <v>0.21343099999999998</v>
      </c>
      <c r="I173" s="2">
        <f t="shared" si="6"/>
        <v>1.5214732898301823E-2</v>
      </c>
      <c r="J173" s="2">
        <f t="shared" si="7"/>
        <v>1.901504005022632E-2</v>
      </c>
    </row>
    <row r="174" spans="2:20" x14ac:dyDescent="0.55000000000000004">
      <c r="C174" s="2" t="s">
        <v>26</v>
      </c>
      <c r="D174" s="2">
        <v>0.88369500000000001</v>
      </c>
      <c r="E174" s="2">
        <v>0.86446500000000004</v>
      </c>
      <c r="F174" s="2">
        <v>0.91866999999999999</v>
      </c>
      <c r="G174" s="2">
        <v>0.93758200000000003</v>
      </c>
      <c r="H174" s="2">
        <f t="shared" si="5"/>
        <v>0.90110299999999999</v>
      </c>
      <c r="I174" s="2">
        <f t="shared" si="6"/>
        <v>1.6544632659365188E-2</v>
      </c>
      <c r="J174" s="2">
        <f t="shared" si="7"/>
        <v>2.067711965349223E-2</v>
      </c>
    </row>
    <row r="175" spans="2:20" x14ac:dyDescent="0.55000000000000004">
      <c r="C175" s="2" t="s">
        <v>28</v>
      </c>
      <c r="D175" s="2">
        <v>1.076446</v>
      </c>
      <c r="E175" s="2">
        <v>1.289723</v>
      </c>
      <c r="F175" s="2">
        <v>1.848058</v>
      </c>
      <c r="G175" s="2">
        <v>1.77881</v>
      </c>
      <c r="H175" s="2">
        <f t="shared" si="5"/>
        <v>1.49825925</v>
      </c>
      <c r="I175" s="2">
        <f t="shared" si="6"/>
        <v>0.18763476807056764</v>
      </c>
      <c r="J175" s="2">
        <f t="shared" si="7"/>
        <v>0.2345018248775827</v>
      </c>
    </row>
    <row r="176" spans="2:20" x14ac:dyDescent="0.55000000000000004">
      <c r="C176" s="2" t="s">
        <v>30</v>
      </c>
      <c r="D176" s="2">
        <v>16.846917999999999</v>
      </c>
      <c r="E176" s="2">
        <v>21.976811999999999</v>
      </c>
      <c r="F176" s="2">
        <v>19.957252</v>
      </c>
      <c r="G176" s="2">
        <v>29.983557000000001</v>
      </c>
      <c r="H176" s="2">
        <f t="shared" si="5"/>
        <v>22.19113475</v>
      </c>
      <c r="I176" s="2">
        <f t="shared" si="6"/>
        <v>2.8035492917489226</v>
      </c>
      <c r="J176" s="2">
        <f t="shared" si="7"/>
        <v>3.5038145212092089</v>
      </c>
    </row>
    <row r="177" spans="1:10" x14ac:dyDescent="0.55000000000000004">
      <c r="B177" s="2" t="s">
        <v>61</v>
      </c>
      <c r="C177" s="2" t="s">
        <v>22</v>
      </c>
      <c r="D177" s="2">
        <v>0.97776099999999999</v>
      </c>
      <c r="E177" s="2">
        <v>0.95415099999999997</v>
      </c>
      <c r="F177" s="2">
        <v>0.98029500000000003</v>
      </c>
      <c r="G177" s="2">
        <v>0.976414</v>
      </c>
      <c r="H177" s="2">
        <f t="shared" si="5"/>
        <v>0.97215525000000003</v>
      </c>
      <c r="I177" s="2">
        <f xml:space="preserve"> _xlfn.STDEV.S(D177:G177) / SQRT(COUNT(D177:G177))</f>
        <v>6.0550938112055802E-3</v>
      </c>
      <c r="J177" s="2">
        <f>I177*$J$2</f>
        <v>7.5675236691669185E-3</v>
      </c>
    </row>
    <row r="178" spans="1:10" x14ac:dyDescent="0.55000000000000004">
      <c r="C178" s="2" t="s">
        <v>24</v>
      </c>
      <c r="D178" s="2">
        <v>0.23094600000000001</v>
      </c>
      <c r="E178" s="2">
        <v>0.306898</v>
      </c>
      <c r="F178" s="2">
        <v>0.37795200000000001</v>
      </c>
      <c r="G178" s="2">
        <v>0.36759500000000001</v>
      </c>
      <c r="H178" s="2">
        <f t="shared" si="5"/>
        <v>0.32084774999999999</v>
      </c>
      <c r="I178" s="2">
        <f t="shared" ref="I178:I179" si="8" xml:space="preserve"> _xlfn.STDEV.S(D178:G178) / SQRT(COUNT(D178:G178))</f>
        <v>3.3817057984531648E-2</v>
      </c>
      <c r="J178" s="2">
        <f t="shared" ref="J178:J179" si="9">I178*$J$2</f>
        <v>4.2263818645706656E-2</v>
      </c>
    </row>
    <row r="179" spans="1:10" x14ac:dyDescent="0.55000000000000004">
      <c r="C179" s="2" t="s">
        <v>26</v>
      </c>
      <c r="D179" s="2">
        <v>0.854271</v>
      </c>
      <c r="E179" s="2">
        <v>0.82230300000000001</v>
      </c>
      <c r="F179" s="2">
        <v>0.857761</v>
      </c>
      <c r="G179" s="2">
        <v>0.88693299999999997</v>
      </c>
      <c r="H179" s="2">
        <f t="shared" si="5"/>
        <v>0.85531699999999999</v>
      </c>
      <c r="I179" s="2">
        <f t="shared" si="8"/>
        <v>1.3217926287180343E-2</v>
      </c>
      <c r="J179" s="2">
        <f t="shared" si="9"/>
        <v>1.6519474867661102E-2</v>
      </c>
    </row>
    <row r="180" spans="1:10" ht="13.5" customHeight="1" x14ac:dyDescent="0.55000000000000004">
      <c r="A180" s="2" t="s">
        <v>20</v>
      </c>
      <c r="B180" s="2" t="s">
        <v>21</v>
      </c>
      <c r="C180" s="2" t="s">
        <v>22</v>
      </c>
      <c r="D180" s="2">
        <v>0.98680999999999996</v>
      </c>
      <c r="E180" s="2">
        <v>0.97437499999999999</v>
      </c>
      <c r="F180" s="2">
        <v>0.99291799999999997</v>
      </c>
      <c r="G180" s="2">
        <v>0.99244600000000005</v>
      </c>
      <c r="H180" s="2">
        <f t="shared" si="5"/>
        <v>0.98663725000000002</v>
      </c>
      <c r="I180" s="2">
        <f xml:space="preserve"> _xlfn.STDEV.S(D180:G180) / SQRT(COUNT(D180:G180))</f>
        <v>4.3164608839302634E-3</v>
      </c>
      <c r="J180" s="2">
        <f>I180*$J$2</f>
        <v>5.3946183039684046E-3</v>
      </c>
    </row>
    <row r="181" spans="1:10" x14ac:dyDescent="0.55000000000000004">
      <c r="A181" s="2">
        <v>0.9</v>
      </c>
      <c r="C181" s="2" t="s">
        <v>23</v>
      </c>
      <c r="D181" s="2">
        <v>4.3999999999999999E-5</v>
      </c>
      <c r="E181" s="2">
        <v>3.6499999999999998E-4</v>
      </c>
      <c r="F181" s="2">
        <v>5.1999999999999997E-5</v>
      </c>
      <c r="G181" s="2">
        <v>3.8999999999999999E-5</v>
      </c>
      <c r="H181" s="2">
        <f>(1/COUNT(D181:G181))*SQRT(SUMSQ(D181:G181))</f>
        <v>9.3336086268923864E-5</v>
      </c>
    </row>
    <row r="182" spans="1:10" x14ac:dyDescent="0.55000000000000004">
      <c r="C182" s="2" t="s">
        <v>24</v>
      </c>
      <c r="D182" s="2">
        <v>0.17277600000000001</v>
      </c>
      <c r="E182" s="2">
        <v>0.230624</v>
      </c>
      <c r="F182" s="2">
        <v>0.226352</v>
      </c>
      <c r="G182" s="2">
        <v>0.218058</v>
      </c>
      <c r="H182" s="2">
        <f>AVERAGE(D182:G182)</f>
        <v>0.21195249999999999</v>
      </c>
      <c r="I182" s="2">
        <f xml:space="preserve"> _xlfn.STDEV.S(D182:G182) / SQRT(COUNT(D182:G182))</f>
        <v>1.3316799524785742E-2</v>
      </c>
      <c r="J182" s="2">
        <f>I182*$J$2</f>
        <v>1.6643044475194078E-2</v>
      </c>
    </row>
    <row r="183" spans="1:10" x14ac:dyDescent="0.55000000000000004">
      <c r="C183" s="2" t="s">
        <v>25</v>
      </c>
      <c r="D183" s="2">
        <v>2.22E-4</v>
      </c>
      <c r="E183" s="2">
        <v>1.4319999999999999E-3</v>
      </c>
      <c r="F183" s="2">
        <v>4.8500000000000003E-4</v>
      </c>
      <c r="G183" s="2">
        <v>3.8499999999999998E-4</v>
      </c>
      <c r="H183" s="2">
        <f>(1/COUNT(D183:G183))*SQRT(SUMSQ(D183:G183))</f>
        <v>3.9396684505171246E-4</v>
      </c>
    </row>
    <row r="184" spans="1:10" x14ac:dyDescent="0.55000000000000004">
      <c r="C184" s="2" t="s">
        <v>26</v>
      </c>
      <c r="D184" s="2">
        <v>0.88384700000000005</v>
      </c>
      <c r="E184" s="2">
        <v>0.85699700000000001</v>
      </c>
      <c r="F184" s="2">
        <v>0.91706100000000002</v>
      </c>
      <c r="G184" s="2">
        <v>0.93733200000000005</v>
      </c>
      <c r="H184" s="2">
        <f>AVERAGE(D184:G184)</f>
        <v>0.89880925</v>
      </c>
      <c r="I184" s="2">
        <f xml:space="preserve"> _xlfn.STDEV.S(D184:G184) / SQRT(COUNT(D184:G184))</f>
        <v>1.7769969566542133E-2</v>
      </c>
      <c r="J184" s="2">
        <f>I184*$J$2</f>
        <v>2.2208518891371105E-2</v>
      </c>
    </row>
    <row r="185" spans="1:10" x14ac:dyDescent="0.55000000000000004">
      <c r="C185" s="2" t="s">
        <v>27</v>
      </c>
      <c r="D185" s="2">
        <v>1.5200000000000001E-4</v>
      </c>
      <c r="E185" s="2">
        <v>8.6899999999999998E-4</v>
      </c>
      <c r="F185" s="2">
        <v>2.3800000000000001E-4</v>
      </c>
      <c r="G185" s="2">
        <v>1.47E-4</v>
      </c>
      <c r="H185" s="2">
        <f>(1/COUNT(D185:G185))*SQRT(SUMSQ(D185:G185))</f>
        <v>2.3137064420535288E-4</v>
      </c>
    </row>
    <row r="186" spans="1:10" x14ac:dyDescent="0.55000000000000004">
      <c r="C186" s="2" t="s">
        <v>28</v>
      </c>
      <c r="D186" s="2">
        <v>1.0740449999999999</v>
      </c>
      <c r="E186" s="2">
        <v>1.4004559999999999</v>
      </c>
      <c r="F186" s="2">
        <v>1.544562</v>
      </c>
      <c r="G186" s="2">
        <v>1.5409630000000001</v>
      </c>
      <c r="H186" s="2">
        <f>AVERAGE(D186:G186)</f>
        <v>1.3900065000000001</v>
      </c>
      <c r="I186" s="2">
        <f xml:space="preserve"> _xlfn.STDEV.S(D186:G186) / SQRT(COUNT(D186:G186))</f>
        <v>0.11053511093954026</v>
      </c>
      <c r="J186" s="2">
        <f>I186*$J$2</f>
        <v>0.13814436148965592</v>
      </c>
    </row>
    <row r="187" spans="1:10" x14ac:dyDescent="0.55000000000000004">
      <c r="C187" s="2" t="s">
        <v>29</v>
      </c>
      <c r="D187" s="2">
        <v>1.818E-3</v>
      </c>
      <c r="E187" s="2">
        <v>8.0230000000000006E-3</v>
      </c>
      <c r="F187" s="2">
        <v>1.1299E-2</v>
      </c>
      <c r="G187" s="2">
        <v>6.6319999999999999E-3</v>
      </c>
      <c r="H187" s="2">
        <f>(1/COUNT(D187:G187))*SQRT(SUMSQ(D187:G187))</f>
        <v>3.8675289106870295E-3</v>
      </c>
    </row>
    <row r="188" spans="1:10" x14ac:dyDescent="0.55000000000000004">
      <c r="C188" s="2" t="s">
        <v>30</v>
      </c>
      <c r="D188" s="2">
        <v>16.599157999999999</v>
      </c>
      <c r="E188" s="2">
        <v>22.631187000000001</v>
      </c>
      <c r="F188" s="2">
        <v>17.803896999999999</v>
      </c>
      <c r="G188" s="2">
        <v>28.165800999999998</v>
      </c>
      <c r="H188" s="2">
        <f>AVERAGE(D188:G188)</f>
        <v>21.300010749999998</v>
      </c>
      <c r="I188" s="2">
        <f xml:space="preserve"> _xlfn.STDEV.S(D188:G188) / SQRT(COUNT(D188:G188))</f>
        <v>2.6336276295837155</v>
      </c>
      <c r="J188" s="2">
        <f>I188*$J$2</f>
        <v>3.2914501482642802</v>
      </c>
    </row>
    <row r="189" spans="1:10" x14ac:dyDescent="0.55000000000000004">
      <c r="C189" s="2" t="s">
        <v>31</v>
      </c>
      <c r="D189" s="2">
        <v>4.555E-2</v>
      </c>
      <c r="E189" s="2">
        <v>6.8010000000000001E-2</v>
      </c>
      <c r="F189" s="2">
        <v>7.4844999999999995E-2</v>
      </c>
      <c r="G189" s="2">
        <v>8.1247E-2</v>
      </c>
      <c r="H189" s="2">
        <f>(1/COUNT(D189:G189))*SQRT(SUMSQ(D189:G189))</f>
        <v>3.4372055904833505E-2</v>
      </c>
    </row>
    <row r="190" spans="1:10" x14ac:dyDescent="0.55000000000000004">
      <c r="B190" s="2" t="s">
        <v>32</v>
      </c>
      <c r="C190" s="2" t="s">
        <v>22</v>
      </c>
      <c r="D190" s="2">
        <v>0.98586200000000002</v>
      </c>
      <c r="E190" s="2">
        <v>0.97347899999999998</v>
      </c>
      <c r="F190" s="2">
        <v>0.99274700000000005</v>
      </c>
      <c r="G190" s="2">
        <v>0.99205399999999999</v>
      </c>
      <c r="H190" s="2">
        <f>AVERAGE(D190:G190)</f>
        <v>0.98603549999999995</v>
      </c>
      <c r="I190" s="2">
        <f xml:space="preserve"> _xlfn.STDEV.S(D190:G190) / SQRT(COUNT(D190:G190))</f>
        <v>4.4624579269725425E-3</v>
      </c>
      <c r="J190" s="2">
        <f>I190*$J$2</f>
        <v>5.5770822117622377E-3</v>
      </c>
    </row>
    <row r="191" spans="1:10" x14ac:dyDescent="0.55000000000000004">
      <c r="C191" s="2" t="s">
        <v>23</v>
      </c>
      <c r="D191" s="2">
        <v>1.73E-4</v>
      </c>
      <c r="E191" s="2">
        <v>8.7500000000000002E-4</v>
      </c>
      <c r="F191" s="2">
        <v>8.5000000000000006E-5</v>
      </c>
      <c r="G191" s="2">
        <v>1.22E-4</v>
      </c>
      <c r="H191" s="2">
        <f>(1/COUNT(D191:G191))*SQRT(SUMSQ(D191:G191))</f>
        <v>2.2606180017862372E-4</v>
      </c>
    </row>
    <row r="192" spans="1:10" x14ac:dyDescent="0.55000000000000004">
      <c r="C192" s="2" t="s">
        <v>24</v>
      </c>
      <c r="D192" s="2">
        <v>0.17844599999999999</v>
      </c>
      <c r="E192" s="2">
        <v>0.23386899999999999</v>
      </c>
      <c r="F192" s="2">
        <v>0.22752</v>
      </c>
      <c r="G192" s="2">
        <v>0.221224</v>
      </c>
      <c r="H192" s="2">
        <f>AVERAGE(D192:G192)</f>
        <v>0.21526474999999998</v>
      </c>
      <c r="I192" s="2">
        <f xml:space="preserve"> _xlfn.STDEV.S(D192:G192) / SQRT(COUNT(D192:G192))</f>
        <v>1.2541405698558526E-2</v>
      </c>
      <c r="J192" s="2">
        <f>I192*$J$2</f>
        <v>1.5673974248397365E-2</v>
      </c>
    </row>
    <row r="193" spans="2:10" x14ac:dyDescent="0.55000000000000004">
      <c r="C193" s="2" t="s">
        <v>25</v>
      </c>
      <c r="D193" s="2">
        <v>9.7599999999999998E-4</v>
      </c>
      <c r="E193" s="2">
        <v>3.3479999999999998E-3</v>
      </c>
      <c r="F193" s="2">
        <v>5.1599999999999997E-4</v>
      </c>
      <c r="G193" s="2">
        <v>9.0799999999999995E-4</v>
      </c>
      <c r="H193" s="2">
        <f>(1/COUNT(D193:G193))*SQRT(SUMSQ(D193:G193))</f>
        <v>9.1009614876671129E-4</v>
      </c>
    </row>
    <row r="194" spans="2:10" x14ac:dyDescent="0.55000000000000004">
      <c r="C194" s="2" t="s">
        <v>26</v>
      </c>
      <c r="D194" s="2">
        <v>0.88030699999999995</v>
      </c>
      <c r="E194" s="2">
        <v>0.85525399999999996</v>
      </c>
      <c r="F194" s="2">
        <v>0.91640999999999995</v>
      </c>
      <c r="G194" s="2">
        <v>0.93623599999999996</v>
      </c>
      <c r="H194" s="2">
        <f>AVERAGE(D194:G194)</f>
        <v>0.89705174999999993</v>
      </c>
      <c r="I194" s="2">
        <f xml:space="preserve"> _xlfn.STDEV.S(D194:G194) / SQRT(COUNT(D194:G194))</f>
        <v>1.8114418402546077E-2</v>
      </c>
      <c r="J194" s="2">
        <f>I194*$J$2</f>
        <v>2.2639003504913015E-2</v>
      </c>
    </row>
    <row r="195" spans="2:10" x14ac:dyDescent="0.55000000000000004">
      <c r="C195" s="2" t="s">
        <v>27</v>
      </c>
      <c r="D195" s="2">
        <v>6.0899999999999995E-4</v>
      </c>
      <c r="E195" s="2">
        <v>1.874E-3</v>
      </c>
      <c r="F195" s="2">
        <v>4.5600000000000003E-4</v>
      </c>
      <c r="G195" s="2">
        <v>4.1599999999999997E-4</v>
      </c>
      <c r="H195" s="2">
        <f>(1/COUNT(D195:G195))*SQRT(SUMSQ(D195:G195))</f>
        <v>5.1622118563654474E-4</v>
      </c>
    </row>
    <row r="196" spans="2:10" x14ac:dyDescent="0.55000000000000004">
      <c r="C196" s="2" t="s">
        <v>28</v>
      </c>
      <c r="D196" s="2">
        <v>1.142093</v>
      </c>
      <c r="E196" s="2">
        <v>1.4955970000000001</v>
      </c>
      <c r="F196" s="2">
        <v>1.568646</v>
      </c>
      <c r="G196" s="2">
        <v>1.5781449999999999</v>
      </c>
      <c r="H196" s="2">
        <f>AVERAGE(D196:G196)</f>
        <v>1.4461202500000001</v>
      </c>
      <c r="I196" s="2">
        <f xml:space="preserve"> _xlfn.STDEV.S(D196:G196) / SQRT(COUNT(D196:G196))</f>
        <v>0.10300631516188262</v>
      </c>
      <c r="J196" s="2">
        <f>I196*$J$2</f>
        <v>0.12873503736947281</v>
      </c>
    </row>
    <row r="197" spans="2:10" x14ac:dyDescent="0.55000000000000004">
      <c r="C197" s="2" t="s">
        <v>29</v>
      </c>
      <c r="D197" s="2">
        <v>9.8549999999999992E-3</v>
      </c>
      <c r="E197" s="2">
        <v>2.4006E-2</v>
      </c>
      <c r="F197" s="2">
        <v>1.2189E-2</v>
      </c>
      <c r="G197" s="2">
        <v>1.095E-2</v>
      </c>
      <c r="H197" s="2">
        <f>(1/COUNT(D197:G197))*SQRT(SUMSQ(D197:G197))</f>
        <v>7.6725292521436506E-3</v>
      </c>
    </row>
    <row r="198" spans="2:10" x14ac:dyDescent="0.55000000000000004">
      <c r="C198" s="2" t="s">
        <v>30</v>
      </c>
      <c r="D198" s="2">
        <v>17.612960999999999</v>
      </c>
      <c r="E198" s="2">
        <v>22.900068000000001</v>
      </c>
      <c r="F198" s="2">
        <v>18.231010999999999</v>
      </c>
      <c r="G198" s="2">
        <v>28.429508999999999</v>
      </c>
      <c r="H198" s="2">
        <f>AVERAGE(D198:G198)</f>
        <v>21.793387249999999</v>
      </c>
      <c r="I198" s="2">
        <f xml:space="preserve"> _xlfn.STDEV.S(D198:G198) / SQRT(COUNT(D198:G198))</f>
        <v>2.5071454940745026</v>
      </c>
      <c r="J198" s="2">
        <f>I198*$J$2</f>
        <v>3.1333755446270208</v>
      </c>
    </row>
    <row r="199" spans="2:10" x14ac:dyDescent="0.55000000000000004">
      <c r="C199" s="2" t="s">
        <v>31</v>
      </c>
      <c r="D199" s="2">
        <v>0.198854</v>
      </c>
      <c r="E199" s="2">
        <v>0.12728800000000001</v>
      </c>
      <c r="F199" s="2">
        <v>9.4023999999999996E-2</v>
      </c>
      <c r="G199" s="2">
        <v>9.6293000000000004E-2</v>
      </c>
      <c r="H199" s="2">
        <f>(1/COUNT(D199:G199))*SQRT(SUMSQ(D199:G199))</f>
        <v>6.7942072148356653E-2</v>
      </c>
    </row>
    <row r="200" spans="2:10" x14ac:dyDescent="0.55000000000000004">
      <c r="B200" s="2" t="s">
        <v>33</v>
      </c>
      <c r="C200" s="2" t="s">
        <v>22</v>
      </c>
      <c r="D200" s="2">
        <v>0.98680100000000004</v>
      </c>
      <c r="E200" s="2">
        <v>0.97476600000000002</v>
      </c>
      <c r="F200" s="2">
        <v>0.99293299999999995</v>
      </c>
      <c r="G200" s="2">
        <v>0.99246400000000001</v>
      </c>
      <c r="H200" s="2">
        <f>AVERAGE(D200:G200)</f>
        <v>0.98674099999999998</v>
      </c>
      <c r="I200" s="2">
        <f xml:space="preserve"> _xlfn.STDEV.S(D200:G200) / SQRT(COUNT(D200:G200))</f>
        <v>4.2278621272064431E-3</v>
      </c>
      <c r="J200" s="2">
        <f>I200*$J$2</f>
        <v>5.283889517681808E-3</v>
      </c>
    </row>
    <row r="201" spans="2:10" x14ac:dyDescent="0.55000000000000004">
      <c r="C201" s="2" t="s">
        <v>23</v>
      </c>
      <c r="D201" s="2">
        <v>1.2999999999999999E-5</v>
      </c>
      <c r="E201" s="2">
        <v>1.05E-4</v>
      </c>
      <c r="F201" s="2">
        <v>1.9000000000000001E-5</v>
      </c>
      <c r="G201" s="2">
        <v>2.4000000000000001E-5</v>
      </c>
      <c r="H201" s="2">
        <f>(1/COUNT(D201:G201))*SQRT(SUMSQ(D201:G201))</f>
        <v>2.7535204738661378E-5</v>
      </c>
    </row>
    <row r="202" spans="2:10" x14ac:dyDescent="0.55000000000000004">
      <c r="C202" s="2" t="s">
        <v>24</v>
      </c>
      <c r="D202" s="2">
        <v>0.17294699999999999</v>
      </c>
      <c r="E202" s="2">
        <v>0.22892699999999999</v>
      </c>
      <c r="F202" s="2">
        <v>0.226633</v>
      </c>
      <c r="G202" s="2">
        <v>0.218274</v>
      </c>
      <c r="H202" s="2">
        <f>AVERAGE(D202:G202)</f>
        <v>0.21169524999999997</v>
      </c>
      <c r="I202" s="2">
        <f xml:space="preserve"> _xlfn.STDEV.S(D202:G202) / SQRT(COUNT(D202:G202))</f>
        <v>1.3117343521555786E-2</v>
      </c>
      <c r="J202" s="2">
        <f>I202*$J$2</f>
        <v>1.6393768729439841E-2</v>
      </c>
    </row>
    <row r="203" spans="2:10" x14ac:dyDescent="0.55000000000000004">
      <c r="C203" s="2" t="s">
        <v>25</v>
      </c>
      <c r="D203" s="2">
        <v>7.8999999999999996E-5</v>
      </c>
      <c r="E203" s="2">
        <v>4.2900000000000002E-4</v>
      </c>
      <c r="F203" s="2">
        <v>1.9799999999999999E-4</v>
      </c>
      <c r="G203" s="2">
        <v>1.73E-4</v>
      </c>
      <c r="H203" s="2">
        <f>(1/COUNT(D203:G203))*SQRT(SUMSQ(D203:G203))</f>
        <v>1.2733199715703826E-4</v>
      </c>
    </row>
    <row r="204" spans="2:10" x14ac:dyDescent="0.55000000000000004">
      <c r="C204" s="2" t="s">
        <v>26</v>
      </c>
      <c r="D204" s="2">
        <v>0.88384300000000005</v>
      </c>
      <c r="E204" s="2">
        <v>0.85800799999999999</v>
      </c>
      <c r="F204" s="2">
        <v>0.91726399999999997</v>
      </c>
      <c r="G204" s="2">
        <v>0.937662</v>
      </c>
      <c r="H204" s="2">
        <f>AVERAGE(D204:G204)</f>
        <v>0.89919424999999997</v>
      </c>
      <c r="I204" s="2">
        <f xml:space="preserve"> _xlfn.STDEV.S(D204:G204) / SQRT(COUNT(D204:G204))</f>
        <v>1.7649956847798992E-2</v>
      </c>
      <c r="J204" s="2">
        <f>I204*$J$2</f>
        <v>2.2058529623160419E-2</v>
      </c>
    </row>
    <row r="205" spans="2:10" x14ac:dyDescent="0.55000000000000004">
      <c r="C205" s="2" t="s">
        <v>27</v>
      </c>
      <c r="D205" s="2">
        <v>6.0000000000000002E-5</v>
      </c>
      <c r="E205" s="2">
        <v>2.5999999999999998E-4</v>
      </c>
      <c r="F205" s="2">
        <v>9.7E-5</v>
      </c>
      <c r="G205" s="2">
        <v>8.0000000000000007E-5</v>
      </c>
      <c r="H205" s="2">
        <f>(1/COUNT(D205:G205))*SQRT(SUMSQ(D205:G205))</f>
        <v>7.3743220027335397E-5</v>
      </c>
    </row>
    <row r="206" spans="2:10" x14ac:dyDescent="0.55000000000000004">
      <c r="C206" s="2" t="s">
        <v>28</v>
      </c>
      <c r="D206" s="2">
        <v>1.0758810000000001</v>
      </c>
      <c r="E206" s="2">
        <v>1.385283</v>
      </c>
      <c r="F206" s="2">
        <v>1.5537350000000001</v>
      </c>
      <c r="G206" s="2">
        <v>1.54494</v>
      </c>
      <c r="H206" s="2">
        <f>AVERAGE(D206:G206)</f>
        <v>1.38995975</v>
      </c>
      <c r="I206" s="2">
        <f xml:space="preserve"> _xlfn.STDEV.S(D206:G206) / SQRT(COUNT(D206:G206))</f>
        <v>0.111620093619216</v>
      </c>
      <c r="J206" s="2">
        <f>I206*$J$2</f>
        <v>0.13950034908705494</v>
      </c>
    </row>
    <row r="207" spans="2:10" x14ac:dyDescent="0.55000000000000004">
      <c r="C207" s="2" t="s">
        <v>29</v>
      </c>
      <c r="D207" s="2">
        <v>9.3999999999999997E-4</v>
      </c>
      <c r="E207" s="2">
        <v>3.8839999999999999E-3</v>
      </c>
      <c r="F207" s="2">
        <v>4.7460000000000002E-3</v>
      </c>
      <c r="G207" s="2">
        <v>2.8240000000000001E-3</v>
      </c>
      <c r="H207" s="2">
        <f>(1/COUNT(D207:G207))*SQRT(SUMSQ(D207:G207))</f>
        <v>1.7041960714659567E-3</v>
      </c>
    </row>
    <row r="208" spans="2:10" x14ac:dyDescent="0.55000000000000004">
      <c r="C208" s="2" t="s">
        <v>30</v>
      </c>
      <c r="D208" s="2">
        <v>16.617730000000002</v>
      </c>
      <c r="E208" s="2">
        <v>22.583653000000002</v>
      </c>
      <c r="F208" s="2">
        <v>17.8794</v>
      </c>
      <c r="G208" s="2">
        <v>28.187791000000001</v>
      </c>
      <c r="H208" s="2">
        <f>AVERAGE(D208:G208)</f>
        <v>21.317143500000004</v>
      </c>
      <c r="I208" s="2">
        <f xml:space="preserve"> _xlfn.STDEV.S(D208:G208) / SQRT(COUNT(D208:G208))</f>
        <v>2.6253953828998231</v>
      </c>
      <c r="J208" s="2">
        <f>I208*$J$2</f>
        <v>3.281161666603519</v>
      </c>
    </row>
    <row r="209" spans="2:10" x14ac:dyDescent="0.55000000000000004">
      <c r="C209" s="2" t="s">
        <v>31</v>
      </c>
      <c r="D209" s="2">
        <v>2.2780000000000002E-2</v>
      </c>
      <c r="E209" s="2">
        <v>1.4692999999999999E-2</v>
      </c>
      <c r="F209" s="2">
        <v>3.2388E-2</v>
      </c>
      <c r="G209" s="2">
        <v>2.6325999999999999E-2</v>
      </c>
      <c r="H209" s="2">
        <f>(1/COUNT(D209:G209))*SQRT(SUMSQ(D209:G209))</f>
        <v>1.2441999108362772E-2</v>
      </c>
    </row>
    <row r="210" spans="2:10" x14ac:dyDescent="0.55000000000000004">
      <c r="B210" s="2" t="s">
        <v>34</v>
      </c>
      <c r="C210" s="2" t="s">
        <v>22</v>
      </c>
      <c r="D210" s="2">
        <v>0.98669399999999996</v>
      </c>
      <c r="E210" s="2">
        <v>0.97471300000000005</v>
      </c>
      <c r="F210" s="2">
        <v>0.99289499999999997</v>
      </c>
      <c r="G210" s="2">
        <v>0.99245499999999998</v>
      </c>
      <c r="H210" s="2">
        <f>AVERAGE(D210:G210)</f>
        <v>0.98668924999999996</v>
      </c>
      <c r="I210" s="2">
        <f xml:space="preserve"> _xlfn.STDEV.S(D210:G210) / SQRT(COUNT(D210:G210))</f>
        <v>4.2346368670563928E-3</v>
      </c>
      <c r="J210" s="2">
        <f>I210*$J$2</f>
        <v>5.2923564392135716E-3</v>
      </c>
    </row>
    <row r="211" spans="2:10" x14ac:dyDescent="0.55000000000000004">
      <c r="C211" s="2" t="s">
        <v>23</v>
      </c>
      <c r="D211" s="2">
        <v>3.3700000000000001E-4</v>
      </c>
      <c r="E211" s="2">
        <v>7.5799999999999999E-4</v>
      </c>
      <c r="F211" s="2">
        <v>3.4400000000000001E-4</v>
      </c>
      <c r="G211" s="2">
        <v>1.64E-4</v>
      </c>
      <c r="H211" s="2">
        <f>(1/COUNT(D211:G211))*SQRT(SUMSQ(D211:G211))</f>
        <v>2.282220683895403E-4</v>
      </c>
    </row>
    <row r="212" spans="2:10" x14ac:dyDescent="0.55000000000000004">
      <c r="C212" s="2" t="s">
        <v>24</v>
      </c>
      <c r="D212" s="2">
        <v>0.17332</v>
      </c>
      <c r="E212" s="2">
        <v>0.22864499999999999</v>
      </c>
      <c r="F212" s="2">
        <v>0.23171700000000001</v>
      </c>
      <c r="G212" s="2">
        <v>0.22101599999999999</v>
      </c>
      <c r="H212" s="2">
        <f>AVERAGE(D212:G212)</f>
        <v>0.21367450000000002</v>
      </c>
      <c r="I212" s="2">
        <f xml:space="preserve"> _xlfn.STDEV.S(D212:G212) / SQRT(COUNT(D212:G212))</f>
        <v>1.3638276311543062E-2</v>
      </c>
      <c r="J212" s="2">
        <f>I212*$J$2</f>
        <v>1.704481912455981E-2</v>
      </c>
    </row>
    <row r="213" spans="2:10" x14ac:dyDescent="0.55000000000000004">
      <c r="C213" s="2" t="s">
        <v>25</v>
      </c>
      <c r="D213" s="2">
        <v>1.591E-3</v>
      </c>
      <c r="E213" s="2">
        <v>3.0630000000000002E-3</v>
      </c>
      <c r="F213" s="2">
        <v>2.5839999999999999E-3</v>
      </c>
      <c r="G213" s="2">
        <v>1.488E-3</v>
      </c>
      <c r="H213" s="2">
        <f>(1/COUNT(D213:G213))*SQRT(SUMSQ(D213:G213))</f>
        <v>1.1402973844572301E-3</v>
      </c>
    </row>
    <row r="214" spans="2:10" x14ac:dyDescent="0.55000000000000004">
      <c r="C214" s="2" t="s">
        <v>26</v>
      </c>
      <c r="D214" s="2">
        <v>0.882938</v>
      </c>
      <c r="E214" s="2">
        <v>0.857209</v>
      </c>
      <c r="F214" s="2">
        <v>0.91748499999999999</v>
      </c>
      <c r="G214" s="2">
        <v>0.93724700000000005</v>
      </c>
      <c r="H214" s="2">
        <f>AVERAGE(D214:G214)</f>
        <v>0.89871975000000004</v>
      </c>
      <c r="I214" s="2">
        <f xml:space="preserve"> _xlfn.STDEV.S(D214:G214) / SQRT(COUNT(D214:G214))</f>
        <v>1.7815465188869856E-2</v>
      </c>
      <c r="J214" s="2">
        <f>I214*$J$2</f>
        <v>2.2265378324031155E-2</v>
      </c>
    </row>
    <row r="215" spans="2:10" x14ac:dyDescent="0.55000000000000004">
      <c r="C215" s="2" t="s">
        <v>27</v>
      </c>
      <c r="D215" s="2">
        <v>1.232E-3</v>
      </c>
      <c r="E215" s="2">
        <v>1.766E-3</v>
      </c>
      <c r="F215" s="2">
        <v>1.6080000000000001E-3</v>
      </c>
      <c r="G215" s="2">
        <v>6.6200000000000005E-4</v>
      </c>
      <c r="H215" s="2">
        <f>(1/COUNT(D215:G215))*SQRT(SUMSQ(D215:G215))</f>
        <v>6.9193966499977446E-4</v>
      </c>
    </row>
    <row r="216" spans="2:10" x14ac:dyDescent="0.55000000000000004">
      <c r="C216" s="2" t="s">
        <v>28</v>
      </c>
      <c r="D216" s="2">
        <v>1.116668</v>
      </c>
      <c r="E216" s="2">
        <v>1.4549609999999999</v>
      </c>
      <c r="F216" s="2">
        <v>1.6729750000000001</v>
      </c>
      <c r="G216" s="2">
        <v>1.585113</v>
      </c>
      <c r="H216" s="2">
        <f>AVERAGE(D216:G216)</f>
        <v>1.4574292499999999</v>
      </c>
      <c r="I216" s="2">
        <f xml:space="preserve"> _xlfn.STDEV.S(D216:G216) / SQRT(COUNT(D216:G216))</f>
        <v>0.12209539716848149</v>
      </c>
      <c r="J216" s="2">
        <f>I216*$J$2</f>
        <v>0.15259215410650379</v>
      </c>
    </row>
    <row r="217" spans="2:10" x14ac:dyDescent="0.55000000000000004">
      <c r="C217" s="2" t="s">
        <v>29</v>
      </c>
      <c r="D217" s="2">
        <v>1.5938999999999998E-2</v>
      </c>
      <c r="E217" s="2">
        <v>2.3882E-2</v>
      </c>
      <c r="F217" s="2">
        <v>4.1904999999999998E-2</v>
      </c>
      <c r="G217" s="2">
        <v>2.0313000000000001E-2</v>
      </c>
      <c r="H217" s="2">
        <f>(1/COUNT(D217:G217))*SQRT(SUMSQ(D217:G217))</f>
        <v>1.3677190498691608E-2</v>
      </c>
    </row>
    <row r="218" spans="2:10" x14ac:dyDescent="0.55000000000000004">
      <c r="C218" s="2" t="s">
        <v>30</v>
      </c>
      <c r="D218" s="2">
        <v>17.217722999999999</v>
      </c>
      <c r="E218" s="2">
        <v>22.489445</v>
      </c>
      <c r="F218" s="2">
        <v>18.830622999999999</v>
      </c>
      <c r="G218" s="2">
        <v>28.284706</v>
      </c>
      <c r="H218" s="2">
        <f>AVERAGE(D218:G218)</f>
        <v>21.70562425</v>
      </c>
      <c r="I218" s="2">
        <f xml:space="preserve"> _xlfn.STDEV.S(D218:G218) / SQRT(COUNT(D218:G218))</f>
        <v>2.4546822852555112</v>
      </c>
      <c r="J218" s="2">
        <f>I218*$J$2</f>
        <v>3.067808174925259</v>
      </c>
    </row>
    <row r="219" spans="2:10" x14ac:dyDescent="0.55000000000000004">
      <c r="C219" s="2" t="s">
        <v>31</v>
      </c>
      <c r="D219" s="2">
        <v>0.38594600000000001</v>
      </c>
      <c r="E219" s="2">
        <v>0.17444100000000001</v>
      </c>
      <c r="F219" s="2">
        <v>0.205147</v>
      </c>
      <c r="G219" s="2">
        <v>0.159973</v>
      </c>
      <c r="H219" s="2">
        <f>(1/COUNT(D219:G219))*SQRT(SUMSQ(D219:G219))</f>
        <v>0.12426298466734774</v>
      </c>
    </row>
    <row r="220" spans="2:10" x14ac:dyDescent="0.55000000000000004">
      <c r="B220" s="2" t="s">
        <v>35</v>
      </c>
      <c r="C220" s="2" t="s">
        <v>22</v>
      </c>
      <c r="D220" s="2">
        <v>0.98337799999999997</v>
      </c>
      <c r="E220" s="2">
        <v>0.95914600000000005</v>
      </c>
      <c r="F220" s="2">
        <v>0.99287700000000001</v>
      </c>
      <c r="G220" s="2">
        <v>0.99207599999999996</v>
      </c>
      <c r="H220" s="2">
        <f>AVERAGE(D220:G220)</f>
        <v>0.98186925000000003</v>
      </c>
      <c r="I220" s="2">
        <f xml:space="preserve"> _xlfn.STDEV.S(D220:G220) / SQRT(COUNT(D220:G220))</f>
        <v>7.8738529468847969E-3</v>
      </c>
      <c r="J220" s="2">
        <f>I220*$J$2</f>
        <v>9.8405690152679557E-3</v>
      </c>
    </row>
    <row r="221" spans="2:10" x14ac:dyDescent="0.55000000000000004">
      <c r="C221" s="2" t="s">
        <v>23</v>
      </c>
      <c r="D221" s="2">
        <v>1.2E-4</v>
      </c>
      <c r="E221" s="2">
        <v>1.0790000000000001E-3</v>
      </c>
      <c r="F221" s="2">
        <v>8.6000000000000003E-5</v>
      </c>
      <c r="G221" s="2">
        <v>1.06E-4</v>
      </c>
      <c r="H221" s="2">
        <f>(1/COUNT(D221:G221))*SQRT(SUMSQ(D221:G221))</f>
        <v>2.7354992688721378E-4</v>
      </c>
    </row>
    <row r="222" spans="2:10" x14ac:dyDescent="0.55000000000000004">
      <c r="C222" s="2" t="s">
        <v>24</v>
      </c>
      <c r="D222" s="2">
        <v>0.18994900000000001</v>
      </c>
      <c r="E222" s="2">
        <v>0.284215</v>
      </c>
      <c r="F222" s="2">
        <v>0.23186999999999999</v>
      </c>
      <c r="G222" s="2">
        <v>0.22520299999999999</v>
      </c>
      <c r="H222" s="2">
        <f>AVERAGE(D222:G222)</f>
        <v>0.23280925000000002</v>
      </c>
      <c r="I222" s="2">
        <f xml:space="preserve"> _xlfn.STDEV.S(D222:G222) / SQRT(COUNT(D222:G222))</f>
        <v>1.9447127878665323E-2</v>
      </c>
      <c r="J222" s="2">
        <f>I222*$J$2</f>
        <v>2.4304594628537148E-2</v>
      </c>
    </row>
    <row r="223" spans="2:10" x14ac:dyDescent="0.55000000000000004">
      <c r="C223" s="2" t="s">
        <v>25</v>
      </c>
      <c r="D223" s="2">
        <v>5.9800000000000001E-4</v>
      </c>
      <c r="E223" s="2">
        <v>3.2390000000000001E-3</v>
      </c>
      <c r="F223" s="2">
        <v>5.3600000000000002E-4</v>
      </c>
      <c r="G223" s="2">
        <v>8.5400000000000005E-4</v>
      </c>
      <c r="H223" s="2">
        <f>(1/COUNT(D223:G223))*SQRT(SUMSQ(D223:G223))</f>
        <v>8.6115246182078594E-4</v>
      </c>
    </row>
    <row r="224" spans="2:10" x14ac:dyDescent="0.55000000000000004">
      <c r="C224" s="2" t="s">
        <v>26</v>
      </c>
      <c r="D224" s="2">
        <v>0.87087499999999995</v>
      </c>
      <c r="E224" s="2">
        <v>0.82655599999999996</v>
      </c>
      <c r="F224" s="2">
        <v>0.916964</v>
      </c>
      <c r="G224" s="2">
        <v>0.93550100000000003</v>
      </c>
      <c r="H224" s="2">
        <f>AVERAGE(D224:G224)</f>
        <v>0.88747399999999999</v>
      </c>
      <c r="I224" s="2">
        <f xml:space="preserve"> _xlfn.STDEV.S(D224:G224) / SQRT(COUNT(D224:G224))</f>
        <v>2.4431506901949392E-2</v>
      </c>
      <c r="J224" s="2">
        <f>I224*$J$2</f>
        <v>3.0533962399024471E-2</v>
      </c>
    </row>
    <row r="225" spans="2:10" x14ac:dyDescent="0.55000000000000004">
      <c r="C225" s="2" t="s">
        <v>27</v>
      </c>
      <c r="D225" s="2">
        <v>4.5899999999999999E-4</v>
      </c>
      <c r="E225" s="2">
        <v>1.6050000000000001E-3</v>
      </c>
      <c r="F225" s="2">
        <v>4.26E-4</v>
      </c>
      <c r="G225" s="2">
        <v>3.79E-4</v>
      </c>
      <c r="H225" s="2">
        <f>(1/COUNT(D225:G225))*SQRT(SUMSQ(D225:G225))</f>
        <v>4.4100899934128334E-4</v>
      </c>
    </row>
    <row r="226" spans="2:10" x14ac:dyDescent="0.55000000000000004">
      <c r="C226" s="2" t="s">
        <v>28</v>
      </c>
      <c r="D226" s="2">
        <v>1.241487</v>
      </c>
      <c r="E226" s="2">
        <v>1.822004</v>
      </c>
      <c r="F226" s="2">
        <v>1.6686160000000001</v>
      </c>
      <c r="G226" s="2">
        <v>1.631588</v>
      </c>
      <c r="H226" s="2">
        <f>AVERAGE(D226:G226)</f>
        <v>1.59092375</v>
      </c>
      <c r="I226" s="2">
        <f xml:space="preserve"> _xlfn.STDEV.S(D226:G226) / SQRT(COUNT(D226:G226))</f>
        <v>0.12355625949634952</v>
      </c>
      <c r="J226" s="2">
        <f>I226*$J$2</f>
        <v>0.15441790785834111</v>
      </c>
    </row>
    <row r="227" spans="2:10" x14ac:dyDescent="0.55000000000000004">
      <c r="C227" s="2" t="s">
        <v>29</v>
      </c>
      <c r="D227" s="2">
        <v>7.7429999999999999E-3</v>
      </c>
      <c r="E227" s="2">
        <v>2.6072999999999999E-2</v>
      </c>
      <c r="F227" s="2">
        <v>1.0316000000000001E-2</v>
      </c>
      <c r="G227" s="2">
        <v>1.1487000000000001E-2</v>
      </c>
      <c r="H227" s="2">
        <f>(1/COUNT(D227:G227))*SQRT(SUMSQ(D227:G227))</f>
        <v>7.8187531095117706E-3</v>
      </c>
    </row>
    <row r="228" spans="2:10" x14ac:dyDescent="0.55000000000000004">
      <c r="C228" s="2" t="s">
        <v>30</v>
      </c>
      <c r="D228" s="2">
        <v>19.94717</v>
      </c>
      <c r="E228" s="2">
        <v>25.186433000000001</v>
      </c>
      <c r="F228" s="2">
        <v>18.561962999999999</v>
      </c>
      <c r="G228" s="2">
        <v>28.787572000000001</v>
      </c>
      <c r="H228" s="2">
        <f>AVERAGE(D228:G228)</f>
        <v>23.120784499999999</v>
      </c>
      <c r="I228" s="2">
        <f xml:space="preserve"> _xlfn.STDEV.S(D228:G228) / SQRT(COUNT(D228:G228))</f>
        <v>2.3670316636239632</v>
      </c>
      <c r="J228" s="2">
        <f>I228*$J$2</f>
        <v>2.9582643471175989</v>
      </c>
    </row>
    <row r="229" spans="2:10" x14ac:dyDescent="0.55000000000000004">
      <c r="C229" s="2" t="s">
        <v>31</v>
      </c>
      <c r="D229" s="2">
        <v>0.14051</v>
      </c>
      <c r="E229" s="2">
        <v>0.269287</v>
      </c>
      <c r="F229" s="2">
        <v>5.6329999999999998E-2</v>
      </c>
      <c r="G229" s="2">
        <v>0.11383799999999999</v>
      </c>
      <c r="H229" s="2">
        <f>(1/COUNT(D229:G229))*SQRT(SUMSQ(D229:G229))</f>
        <v>8.2306860138219945E-2</v>
      </c>
    </row>
    <row r="230" spans="2:10" x14ac:dyDescent="0.55000000000000004">
      <c r="B230" s="2" t="s">
        <v>45</v>
      </c>
      <c r="C230" s="2" t="s">
        <v>22</v>
      </c>
      <c r="D230" s="2">
        <v>0.98615900000000001</v>
      </c>
      <c r="E230" s="2">
        <v>0.969329</v>
      </c>
      <c r="F230" s="2">
        <v>0.99343800000000004</v>
      </c>
      <c r="G230" s="2">
        <v>0.99255899999999997</v>
      </c>
      <c r="H230" s="2">
        <f>AVERAGE(D230:G230)</f>
        <v>0.98537125000000003</v>
      </c>
      <c r="I230" s="2">
        <f xml:space="preserve"> _xlfn.STDEV.S(D230:G230) / SQRT(COUNT(D230:G230))</f>
        <v>5.588012025383747E-3</v>
      </c>
      <c r="J230" s="2">
        <f>I230*$J$2</f>
        <v>6.983775079986973E-3</v>
      </c>
    </row>
    <row r="231" spans="2:10" x14ac:dyDescent="0.55000000000000004">
      <c r="C231" s="2" t="s">
        <v>23</v>
      </c>
      <c r="D231" s="2">
        <v>2.2100000000000001E-4</v>
      </c>
      <c r="E231" s="2">
        <v>1.4E-3</v>
      </c>
      <c r="F231" s="2">
        <v>1.26E-4</v>
      </c>
      <c r="G231" s="2">
        <v>1.4300000000000001E-4</v>
      </c>
      <c r="H231" s="2">
        <f>(1/COUNT(D231:G231))*SQRT(SUMSQ(D231:G231))</f>
        <v>3.5752325099215571E-4</v>
      </c>
    </row>
    <row r="232" spans="2:10" x14ac:dyDescent="0.55000000000000004">
      <c r="C232" s="2" t="s">
        <v>24</v>
      </c>
      <c r="D232" s="2">
        <v>0.17552400000000001</v>
      </c>
      <c r="E232" s="2">
        <v>0.250303</v>
      </c>
      <c r="F232" s="2">
        <v>0.22280800000000001</v>
      </c>
      <c r="G232" s="2">
        <v>0.21377499999999999</v>
      </c>
      <c r="H232" s="2">
        <f>AVERAGE(D232:G232)</f>
        <v>0.21560250000000003</v>
      </c>
      <c r="I232" s="2">
        <f xml:space="preserve"> _xlfn.STDEV.S(D232:G232) / SQRT(COUNT(D232:G232))</f>
        <v>1.5453343351844525E-2</v>
      </c>
      <c r="J232" s="2">
        <f>I232*$J$2</f>
        <v>1.9313250170696038E-2</v>
      </c>
    </row>
    <row r="233" spans="2:10" x14ac:dyDescent="0.55000000000000004">
      <c r="C233" s="2" t="s">
        <v>25</v>
      </c>
      <c r="D233" s="2">
        <v>6.78E-4</v>
      </c>
      <c r="E233" s="2">
        <v>4.9610000000000001E-3</v>
      </c>
      <c r="F233" s="2">
        <v>1.823E-3</v>
      </c>
      <c r="G233" s="2">
        <v>9.1299999999999997E-4</v>
      </c>
      <c r="H233" s="2">
        <f>(1/COUNT(D233:G233))*SQRT(SUMSQ(D233:G233))</f>
        <v>1.3515755389544456E-3</v>
      </c>
    </row>
    <row r="234" spans="2:10" x14ac:dyDescent="0.55000000000000004">
      <c r="C234" s="2" t="s">
        <v>26</v>
      </c>
      <c r="D234" s="2">
        <v>0.88142200000000004</v>
      </c>
      <c r="E234" s="2">
        <v>0.84417600000000004</v>
      </c>
      <c r="F234" s="2">
        <v>0.920122</v>
      </c>
      <c r="G234" s="2">
        <v>0.93859400000000004</v>
      </c>
      <c r="H234" s="2">
        <f>AVERAGE(D234:G234)</f>
        <v>0.89607850000000011</v>
      </c>
      <c r="I234" s="2">
        <f xml:space="preserve"> _xlfn.STDEV.S(D234:G234) / SQRT(COUNT(D234:G234))</f>
        <v>2.1004642603878469E-2</v>
      </c>
      <c r="J234" s="2">
        <f>I234*$J$2</f>
        <v>2.6251142430375379E-2</v>
      </c>
    </row>
    <row r="235" spans="2:10" x14ac:dyDescent="0.55000000000000004">
      <c r="C235" s="2" t="s">
        <v>27</v>
      </c>
      <c r="D235" s="2">
        <v>8.3500000000000002E-4</v>
      </c>
      <c r="E235" s="2">
        <v>2.408E-3</v>
      </c>
      <c r="F235" s="2">
        <v>9.8799999999999995E-4</v>
      </c>
      <c r="G235" s="2">
        <v>6.5899999999999997E-4</v>
      </c>
      <c r="H235" s="2">
        <f>(1/COUNT(D235:G235))*SQRT(SUMSQ(D235:G235))</f>
        <v>7.0294532148667155E-4</v>
      </c>
    </row>
    <row r="236" spans="2:10" x14ac:dyDescent="0.55000000000000004">
      <c r="C236" s="2" t="s">
        <v>28</v>
      </c>
      <c r="D236" s="2">
        <v>1.088004</v>
      </c>
      <c r="E236" s="2">
        <v>1.722113</v>
      </c>
      <c r="F236" s="2">
        <v>1.479187</v>
      </c>
      <c r="G236" s="2">
        <v>1.447201</v>
      </c>
      <c r="H236" s="2">
        <f>AVERAGE(D236:G236)</f>
        <v>1.4341262499999998</v>
      </c>
      <c r="I236" s="2">
        <f xml:space="preserve"> _xlfn.STDEV.S(D236:G236) / SQRT(COUNT(D236:G236))</f>
        <v>0.13068358746693956</v>
      </c>
      <c r="J236" s="2">
        <f>I236*$J$2</f>
        <v>0.16332548630337546</v>
      </c>
    </row>
    <row r="237" spans="2:10" x14ac:dyDescent="0.55000000000000004">
      <c r="C237" s="2" t="s">
        <v>29</v>
      </c>
      <c r="D237" s="2">
        <v>8.8500000000000002E-3</v>
      </c>
      <c r="E237" s="2">
        <v>1.8749999999999999E-2</v>
      </c>
      <c r="F237" s="2">
        <v>4.2366000000000001E-2</v>
      </c>
      <c r="G237" s="2">
        <v>1.3976000000000001E-2</v>
      </c>
      <c r="H237" s="2">
        <f>(1/COUNT(D237:G237))*SQRT(SUMSQ(D237:G237))</f>
        <v>1.2298606455611139E-2</v>
      </c>
    </row>
    <row r="238" spans="2:10" x14ac:dyDescent="0.55000000000000004">
      <c r="C238" s="2" t="s">
        <v>30</v>
      </c>
      <c r="D238" s="2">
        <v>19.59948</v>
      </c>
      <c r="E238" s="2">
        <v>26.159262999999999</v>
      </c>
      <c r="F238" s="2">
        <v>18.113634999999999</v>
      </c>
      <c r="G238" s="2">
        <v>26.936848000000001</v>
      </c>
      <c r="H238" s="2">
        <f>AVERAGE(D238:G238)</f>
        <v>22.702306499999999</v>
      </c>
      <c r="I238" s="2">
        <f xml:space="preserve"> _xlfn.STDEV.S(D238:G238) / SQRT(COUNT(D238:G238))</f>
        <v>2.2465775523027776</v>
      </c>
      <c r="J238" s="2">
        <f>I238*$J$2</f>
        <v>2.8077234361271466</v>
      </c>
    </row>
    <row r="239" spans="2:10" x14ac:dyDescent="0.55000000000000004">
      <c r="C239" s="2" t="s">
        <v>31</v>
      </c>
      <c r="D239" s="2">
        <v>0.36660300000000001</v>
      </c>
      <c r="E239" s="2">
        <v>0.14918000000000001</v>
      </c>
      <c r="F239" s="2">
        <v>0.17344200000000001</v>
      </c>
      <c r="G239" s="2">
        <v>0.28440399999999999</v>
      </c>
      <c r="H239" s="2">
        <f>(1/COUNT(D239:G239))*SQRT(SUMSQ(D239:G239))</f>
        <v>0.12933005127120495</v>
      </c>
    </row>
    <row r="240" spans="2:10" x14ac:dyDescent="0.55000000000000004">
      <c r="B240" s="2" t="s">
        <v>46</v>
      </c>
      <c r="C240" s="2" t="s">
        <v>22</v>
      </c>
      <c r="H240" s="2" t="e">
        <f>AVERAGE(D240:G240)</f>
        <v>#DIV/0!</v>
      </c>
      <c r="I240" s="2" t="e">
        <f xml:space="preserve"> _xlfn.STDEV.S(D240:G240) / SQRT(COUNT(D240:G240))</f>
        <v>#DIV/0!</v>
      </c>
      <c r="J240" s="2" t="e">
        <f>I240*$J$2</f>
        <v>#DIV/0!</v>
      </c>
    </row>
    <row r="241" spans="2:10" x14ac:dyDescent="0.55000000000000004">
      <c r="C241" s="2" t="s">
        <v>23</v>
      </c>
      <c r="H241" s="2" t="e">
        <f>(1/COUNT(D241:G241))*SQRT(SUMSQ(D241:G241))</f>
        <v>#DIV/0!</v>
      </c>
    </row>
    <row r="242" spans="2:10" x14ac:dyDescent="0.55000000000000004">
      <c r="C242" s="2" t="s">
        <v>24</v>
      </c>
      <c r="H242" s="2" t="e">
        <f>AVERAGE(D242:G242)</f>
        <v>#DIV/0!</v>
      </c>
      <c r="I242" s="2" t="e">
        <f xml:space="preserve"> _xlfn.STDEV.S(D242:G242) / SQRT(COUNT(D242:G242))</f>
        <v>#DIV/0!</v>
      </c>
      <c r="J242" s="2" t="e">
        <f>I242*$J$2</f>
        <v>#DIV/0!</v>
      </c>
    </row>
    <row r="243" spans="2:10" x14ac:dyDescent="0.55000000000000004">
      <c r="C243" s="2" t="s">
        <v>25</v>
      </c>
      <c r="H243" s="2" t="e">
        <f>(1/COUNT(D243:G243))*SQRT(SUMSQ(D243:G243))</f>
        <v>#DIV/0!</v>
      </c>
    </row>
    <row r="244" spans="2:10" x14ac:dyDescent="0.55000000000000004">
      <c r="C244" s="2" t="s">
        <v>26</v>
      </c>
      <c r="H244" s="2" t="e">
        <f>AVERAGE(D244:G244)</f>
        <v>#DIV/0!</v>
      </c>
      <c r="I244" s="2" t="e">
        <f xml:space="preserve"> _xlfn.STDEV.S(D244:G244) / SQRT(COUNT(D244:G244))</f>
        <v>#DIV/0!</v>
      </c>
      <c r="J244" s="2" t="e">
        <f>I244*$J$2</f>
        <v>#DIV/0!</v>
      </c>
    </row>
    <row r="245" spans="2:10" x14ac:dyDescent="0.55000000000000004">
      <c r="C245" s="2" t="s">
        <v>27</v>
      </c>
      <c r="H245" s="2" t="e">
        <f>(1/COUNT(D245:G245))*SQRT(SUMSQ(D245:G245))</f>
        <v>#DIV/0!</v>
      </c>
    </row>
    <row r="246" spans="2:10" x14ac:dyDescent="0.55000000000000004">
      <c r="C246" s="2" t="s">
        <v>28</v>
      </c>
      <c r="H246" s="2" t="e">
        <f>AVERAGE(D246:G246)</f>
        <v>#DIV/0!</v>
      </c>
      <c r="I246" s="2" t="e">
        <f xml:space="preserve"> _xlfn.STDEV.S(D246:G246) / SQRT(COUNT(D246:G246))</f>
        <v>#DIV/0!</v>
      </c>
      <c r="J246" s="2" t="e">
        <f>I246*$J$2</f>
        <v>#DIV/0!</v>
      </c>
    </row>
    <row r="247" spans="2:10" x14ac:dyDescent="0.55000000000000004">
      <c r="C247" s="2" t="s">
        <v>29</v>
      </c>
      <c r="H247" s="2" t="e">
        <f>(1/COUNT(D247:G247))*SQRT(SUMSQ(D247:G247))</f>
        <v>#DIV/0!</v>
      </c>
    </row>
    <row r="248" spans="2:10" x14ac:dyDescent="0.55000000000000004">
      <c r="C248" s="2" t="s">
        <v>30</v>
      </c>
      <c r="H248" s="2" t="e">
        <f>AVERAGE(D248:G248)</f>
        <v>#DIV/0!</v>
      </c>
      <c r="I248" s="2" t="e">
        <f xml:space="preserve"> _xlfn.STDEV.S(D248:G248) / SQRT(COUNT(D248:G248))</f>
        <v>#DIV/0!</v>
      </c>
      <c r="J248" s="2" t="e">
        <f>I248*$J$2</f>
        <v>#DIV/0!</v>
      </c>
    </row>
    <row r="249" spans="2:10" x14ac:dyDescent="0.55000000000000004">
      <c r="C249" s="2" t="s">
        <v>31</v>
      </c>
      <c r="H249" s="2" t="e">
        <f>(1/COUNT(D249:G249))*SQRT(SUMSQ(D249:G249))</f>
        <v>#DIV/0!</v>
      </c>
    </row>
    <row r="250" spans="2:10" x14ac:dyDescent="0.55000000000000004">
      <c r="B250" s="2" t="s">
        <v>36</v>
      </c>
      <c r="C250" s="2" t="s">
        <v>22</v>
      </c>
      <c r="D250" s="2">
        <v>0.98611199999999999</v>
      </c>
      <c r="E250" s="2">
        <v>0.97328999999999999</v>
      </c>
      <c r="F250" s="2">
        <v>0.99209400000000003</v>
      </c>
      <c r="G250" s="2">
        <v>0.99216099999999996</v>
      </c>
      <c r="H250" s="2">
        <f t="shared" ref="H250:H268" si="10">AVERAGE(D250:G250)</f>
        <v>0.98591424999999988</v>
      </c>
      <c r="I250" s="2">
        <f xml:space="preserve"> _xlfn.STDEV.S(D250:G250) / SQRT(COUNT(D250:G250))</f>
        <v>4.4405516619559797E-3</v>
      </c>
      <c r="J250" s="2">
        <f>I250*$J$2</f>
        <v>5.5497042413814824E-3</v>
      </c>
    </row>
    <row r="251" spans="2:10" x14ac:dyDescent="0.55000000000000004">
      <c r="C251" s="2" t="s">
        <v>24</v>
      </c>
      <c r="D251" s="2">
        <v>0.176174</v>
      </c>
      <c r="E251" s="2">
        <v>0.23721400000000001</v>
      </c>
      <c r="F251" s="2">
        <v>0.231714</v>
      </c>
      <c r="G251" s="2">
        <v>0.22175700000000001</v>
      </c>
      <c r="H251" s="2">
        <f t="shared" si="10"/>
        <v>0.21671474999999998</v>
      </c>
      <c r="I251" s="2">
        <f t="shared" ref="I251:I264" si="11" xml:space="preserve"> _xlfn.STDEV.S(D251:G251) / SQRT(COUNT(D251:G251))</f>
        <v>1.3886964651397776E-2</v>
      </c>
      <c r="J251" s="2">
        <f t="shared" ref="J251:J264" si="12">I251*$J$2</f>
        <v>1.7355624366687292E-2</v>
      </c>
    </row>
    <row r="252" spans="2:10" x14ac:dyDescent="0.55000000000000004">
      <c r="C252" s="2" t="s">
        <v>26</v>
      </c>
      <c r="D252" s="2">
        <v>0.87918700000000005</v>
      </c>
      <c r="E252" s="2">
        <v>0.85038999999999998</v>
      </c>
      <c r="F252" s="2">
        <v>0.911663</v>
      </c>
      <c r="G252" s="2">
        <v>0.93591899999999995</v>
      </c>
      <c r="H252" s="2">
        <f t="shared" si="10"/>
        <v>0.89428974999999999</v>
      </c>
      <c r="I252" s="2">
        <f t="shared" si="11"/>
        <v>1.8686236866452443E-2</v>
      </c>
      <c r="J252" s="2">
        <f t="shared" si="12"/>
        <v>2.3353649701156925E-2</v>
      </c>
    </row>
    <row r="253" spans="2:10" x14ac:dyDescent="0.55000000000000004">
      <c r="C253" s="2" t="s">
        <v>28</v>
      </c>
      <c r="D253" s="2">
        <v>1.1265240000000001</v>
      </c>
      <c r="E253" s="2">
        <v>1.500324</v>
      </c>
      <c r="F253" s="2">
        <v>1.6906730000000001</v>
      </c>
      <c r="G253" s="2">
        <v>1.5658730000000001</v>
      </c>
      <c r="H253" s="2">
        <f t="shared" si="10"/>
        <v>1.4708485</v>
      </c>
      <c r="I253" s="2">
        <f t="shared" si="11"/>
        <v>0.12137429464298992</v>
      </c>
      <c r="J253" s="2">
        <f t="shared" si="12"/>
        <v>0.15169093595866026</v>
      </c>
    </row>
    <row r="254" spans="2:10" x14ac:dyDescent="0.55000000000000004">
      <c r="C254" s="2" t="s">
        <v>30</v>
      </c>
      <c r="D254" s="2">
        <v>17.457263999999999</v>
      </c>
      <c r="E254" s="2">
        <v>21.311828999999999</v>
      </c>
      <c r="F254" s="2">
        <v>18.979461000000001</v>
      </c>
      <c r="G254" s="2">
        <v>28.681466</v>
      </c>
      <c r="H254" s="2">
        <f t="shared" si="10"/>
        <v>21.607505</v>
      </c>
      <c r="I254" s="2">
        <f t="shared" si="11"/>
        <v>2.4876271182010958</v>
      </c>
      <c r="J254" s="2">
        <f t="shared" si="12"/>
        <v>3.1089819058146282</v>
      </c>
    </row>
    <row r="255" spans="2:10" x14ac:dyDescent="0.55000000000000004">
      <c r="B255" s="2" t="s">
        <v>37</v>
      </c>
      <c r="C255" s="2" t="s">
        <v>22</v>
      </c>
      <c r="D255" s="2">
        <v>0.97958900000000004</v>
      </c>
      <c r="E255" s="2">
        <v>0.94944399999999995</v>
      </c>
      <c r="F255" s="2">
        <v>0.98153199999999996</v>
      </c>
      <c r="G255" s="2">
        <v>0.97724500000000003</v>
      </c>
      <c r="H255" s="2">
        <f t="shared" si="10"/>
        <v>0.9719525</v>
      </c>
      <c r="I255" s="2">
        <f t="shared" si="11"/>
        <v>7.5538405298232357E-3</v>
      </c>
      <c r="J255" s="2">
        <f t="shared" si="12"/>
        <v>9.4406245030856564E-3</v>
      </c>
    </row>
    <row r="256" spans="2:10" x14ac:dyDescent="0.55000000000000004">
      <c r="C256" s="2" t="s">
        <v>24</v>
      </c>
      <c r="D256" s="2">
        <v>0.210424</v>
      </c>
      <c r="E256" s="2">
        <v>0.31189499999999998</v>
      </c>
      <c r="F256" s="2">
        <v>0.29516500000000001</v>
      </c>
      <c r="G256" s="2">
        <v>0.30033900000000002</v>
      </c>
      <c r="H256" s="2">
        <f t="shared" si="10"/>
        <v>0.27945575</v>
      </c>
      <c r="I256" s="2">
        <f t="shared" si="11"/>
        <v>2.327476837469775E-2</v>
      </c>
      <c r="J256" s="2">
        <f t="shared" si="12"/>
        <v>2.908829591441699E-2</v>
      </c>
    </row>
    <row r="257" spans="1:20" x14ac:dyDescent="0.55000000000000004">
      <c r="C257" s="2" t="s">
        <v>26</v>
      </c>
      <c r="D257" s="2">
        <v>0.85324699999999998</v>
      </c>
      <c r="E257" s="2">
        <v>0.81039899999999998</v>
      </c>
      <c r="F257" s="2">
        <v>0.86853400000000003</v>
      </c>
      <c r="G257" s="2">
        <v>0.89550799999999997</v>
      </c>
      <c r="H257" s="2">
        <f t="shared" si="10"/>
        <v>0.85692199999999996</v>
      </c>
      <c r="I257" s="2">
        <f t="shared" si="11"/>
        <v>1.7798907021687221E-2</v>
      </c>
      <c r="J257" s="2">
        <f t="shared" si="12"/>
        <v>2.2244684289226817E-2</v>
      </c>
    </row>
    <row r="258" spans="1:20" x14ac:dyDescent="0.55000000000000004">
      <c r="C258" s="2" t="s">
        <v>28</v>
      </c>
      <c r="D258" s="2">
        <v>1.649403</v>
      </c>
      <c r="E258" s="2">
        <v>2.1218180000000002</v>
      </c>
      <c r="F258" s="2">
        <v>2.6174400000000002</v>
      </c>
      <c r="G258" s="2">
        <v>2.4190939999999999</v>
      </c>
      <c r="H258" s="2">
        <f t="shared" si="10"/>
        <v>2.2019387500000001</v>
      </c>
      <c r="I258" s="2">
        <f t="shared" si="11"/>
        <v>0.21045838483390372</v>
      </c>
      <c r="J258" s="2">
        <f t="shared" si="12"/>
        <v>0.26302628138606943</v>
      </c>
    </row>
    <row r="259" spans="1:20" x14ac:dyDescent="0.55000000000000004">
      <c r="C259" s="2" t="s">
        <v>30</v>
      </c>
      <c r="D259" s="2">
        <v>26.446632999999999</v>
      </c>
      <c r="E259" s="2">
        <v>27.26877</v>
      </c>
      <c r="F259" s="2">
        <v>26.07471</v>
      </c>
      <c r="G259" s="2">
        <v>35.826130999999997</v>
      </c>
      <c r="H259" s="2">
        <f t="shared" si="10"/>
        <v>28.904060999999999</v>
      </c>
      <c r="I259" s="2">
        <f t="shared" si="11"/>
        <v>2.3208010326172168</v>
      </c>
      <c r="J259" s="2">
        <f t="shared" si="12"/>
        <v>2.9004863167034971</v>
      </c>
      <c r="P259" s="2" t="s">
        <v>38</v>
      </c>
      <c r="Q259" s="2" cm="1">
        <f t="array" ref="Q259:T259">D256:G256/D259:G259</f>
        <v>7.9565515958118383E-3</v>
      </c>
      <c r="R259" s="2">
        <v>1.1437809626176758E-2</v>
      </c>
      <c r="S259" s="2">
        <v>1.131997249442084E-2</v>
      </c>
      <c r="T259" s="2">
        <v>8.3832384803148308E-3</v>
      </c>
    </row>
    <row r="260" spans="1:20" x14ac:dyDescent="0.55000000000000004">
      <c r="B260" s="2" t="s">
        <v>39</v>
      </c>
      <c r="C260" s="2" t="s">
        <v>22</v>
      </c>
      <c r="D260" s="2">
        <v>0.98697599999999996</v>
      </c>
      <c r="E260" s="2">
        <v>0.97736400000000001</v>
      </c>
      <c r="F260" s="2">
        <v>0.99325399999999997</v>
      </c>
      <c r="G260" s="2">
        <v>0.99275599999999997</v>
      </c>
      <c r="H260" s="2">
        <f t="shared" si="10"/>
        <v>0.98758749999999995</v>
      </c>
      <c r="I260" s="2">
        <f t="shared" si="11"/>
        <v>3.6936488170010513E-3</v>
      </c>
      <c r="J260" s="2">
        <f t="shared" si="12"/>
        <v>4.6162414191697875E-3</v>
      </c>
    </row>
    <row r="261" spans="1:20" x14ac:dyDescent="0.55000000000000004">
      <c r="C261" s="2" t="s">
        <v>24</v>
      </c>
      <c r="D261" s="2">
        <v>0.172018</v>
      </c>
      <c r="E261" s="2">
        <v>0.21800600000000001</v>
      </c>
      <c r="F261" s="2">
        <v>0.23560400000000001</v>
      </c>
      <c r="G261" s="2">
        <v>0.228048</v>
      </c>
      <c r="H261" s="2">
        <f t="shared" si="10"/>
        <v>0.21341900000000003</v>
      </c>
      <c r="I261" s="2">
        <f t="shared" si="11"/>
        <v>1.4263196334155397E-2</v>
      </c>
      <c r="J261" s="2">
        <f t="shared" si="12"/>
        <v>1.7825830486217574E-2</v>
      </c>
    </row>
    <row r="262" spans="1:20" x14ac:dyDescent="0.55000000000000004">
      <c r="C262" s="2" t="s">
        <v>26</v>
      </c>
      <c r="D262" s="2">
        <v>0.883934</v>
      </c>
      <c r="E262" s="2">
        <v>0.86203300000000005</v>
      </c>
      <c r="F262" s="2">
        <v>0.91813800000000001</v>
      </c>
      <c r="G262" s="2">
        <v>0.93706</v>
      </c>
      <c r="H262" s="2">
        <f t="shared" si="10"/>
        <v>0.90029124999999999</v>
      </c>
      <c r="I262" s="2">
        <f t="shared" si="11"/>
        <v>1.6836717768887333E-2</v>
      </c>
      <c r="J262" s="2">
        <f t="shared" si="12"/>
        <v>2.104216122817924E-2</v>
      </c>
    </row>
    <row r="263" spans="1:20" x14ac:dyDescent="0.55000000000000004">
      <c r="C263" s="2" t="s">
        <v>28</v>
      </c>
      <c r="D263" s="2">
        <v>1.065116</v>
      </c>
      <c r="E263" s="2">
        <v>1.3311360000000001</v>
      </c>
      <c r="F263" s="2">
        <v>1.7880130000000001</v>
      </c>
      <c r="G263" s="2">
        <v>1.7230669999999999</v>
      </c>
      <c r="H263" s="2">
        <f t="shared" si="10"/>
        <v>1.4768330000000001</v>
      </c>
      <c r="I263" s="2">
        <f t="shared" si="11"/>
        <v>0.17034344695692469</v>
      </c>
      <c r="J263" s="2">
        <f t="shared" si="12"/>
        <v>0.21289151034265302</v>
      </c>
    </row>
    <row r="264" spans="1:20" x14ac:dyDescent="0.55000000000000004">
      <c r="C264" s="2" t="s">
        <v>30</v>
      </c>
      <c r="D264" s="2">
        <v>16.535657</v>
      </c>
      <c r="E264" s="2">
        <v>22.398709</v>
      </c>
      <c r="F264" s="2">
        <v>19.924063</v>
      </c>
      <c r="G264" s="2">
        <v>29.604125</v>
      </c>
      <c r="H264" s="2">
        <f t="shared" si="10"/>
        <v>22.115638499999999</v>
      </c>
      <c r="I264" s="2">
        <f t="shared" si="11"/>
        <v>2.7703302402600993</v>
      </c>
      <c r="J264" s="2">
        <f t="shared" si="12"/>
        <v>3.462298077988506</v>
      </c>
    </row>
    <row r="265" spans="1:20" x14ac:dyDescent="0.55000000000000004">
      <c r="B265" s="2" t="s">
        <v>61</v>
      </c>
      <c r="C265" s="2" t="s">
        <v>22</v>
      </c>
      <c r="D265" s="2">
        <v>0.97199000000000002</v>
      </c>
      <c r="E265" s="2">
        <v>0.93077299999999996</v>
      </c>
      <c r="F265" s="2">
        <v>0.974159</v>
      </c>
      <c r="G265" s="2">
        <v>0.96823400000000004</v>
      </c>
      <c r="H265" s="2">
        <f t="shared" si="10"/>
        <v>0.96128900000000006</v>
      </c>
      <c r="I265" s="2">
        <f xml:space="preserve"> _xlfn.STDEV.S(D265:G265) / SQRT(COUNT(D265:G265))</f>
        <v>1.0245354971888493E-2</v>
      </c>
      <c r="J265" s="2">
        <f>I265*$J$2</f>
        <v>1.2804420322159532E-2</v>
      </c>
    </row>
    <row r="266" spans="1:20" x14ac:dyDescent="0.55000000000000004">
      <c r="C266" s="2" t="s">
        <v>24</v>
      </c>
      <c r="D266" s="2">
        <v>0.25885599999999998</v>
      </c>
      <c r="E266" s="2">
        <v>0.37764599999999998</v>
      </c>
      <c r="F266" s="2">
        <v>0.37152099999999999</v>
      </c>
      <c r="G266" s="2">
        <v>0.37334800000000001</v>
      </c>
      <c r="H266" s="2">
        <f t="shared" si="10"/>
        <v>0.34534274999999998</v>
      </c>
      <c r="I266" s="2">
        <f t="shared" ref="I266:I267" si="13" xml:space="preserve"> _xlfn.STDEV.S(D266:G266) / SQRT(COUNT(D266:G266))</f>
        <v>2.8857484134319541E-2</v>
      </c>
      <c r="J266" s="2">
        <f t="shared" ref="J266:J267" si="14">I266*$J$2</f>
        <v>3.6065451837416232E-2</v>
      </c>
    </row>
    <row r="267" spans="1:20" x14ac:dyDescent="0.55000000000000004">
      <c r="C267" s="2" t="s">
        <v>26</v>
      </c>
      <c r="D267" s="2">
        <v>0.83272999999999997</v>
      </c>
      <c r="E267" s="2">
        <v>0.77996600000000005</v>
      </c>
      <c r="F267" s="2">
        <v>0.84197599999999995</v>
      </c>
      <c r="G267" s="2">
        <v>0.87327399999999999</v>
      </c>
      <c r="H267" s="2">
        <f t="shared" si="10"/>
        <v>0.83198649999999996</v>
      </c>
      <c r="I267" s="2">
        <f t="shared" si="13"/>
        <v>1.9388856290405564E-2</v>
      </c>
      <c r="J267" s="2">
        <f t="shared" si="14"/>
        <v>2.4231768073384591E-2</v>
      </c>
    </row>
    <row r="268" spans="1:20" x14ac:dyDescent="0.55000000000000004">
      <c r="A268" s="2" t="s">
        <v>20</v>
      </c>
      <c r="B268" s="2" t="s">
        <v>21</v>
      </c>
      <c r="C268" s="2" t="s">
        <v>22</v>
      </c>
      <c r="D268" s="2">
        <v>0.98658400000000002</v>
      </c>
      <c r="E268" s="2">
        <v>0.97497599999999995</v>
      </c>
      <c r="F268" s="2">
        <v>0.99282999999999999</v>
      </c>
      <c r="G268" s="2">
        <v>0.99225799999999997</v>
      </c>
      <c r="H268" s="2">
        <f t="shared" si="10"/>
        <v>0.98666200000000004</v>
      </c>
      <c r="I268" s="2">
        <f xml:space="preserve"> _xlfn.STDEV.S(D268:G268) / SQRT(COUNT(D268:G268))</f>
        <v>4.1425447090727603E-3</v>
      </c>
      <c r="J268" s="2">
        <f>I268*$J$2</f>
        <v>5.1772616765203673E-3</v>
      </c>
    </row>
    <row r="269" spans="1:20" x14ac:dyDescent="0.55000000000000004">
      <c r="A269" s="2">
        <v>1.2</v>
      </c>
      <c r="C269" s="2" t="s">
        <v>23</v>
      </c>
      <c r="D269" s="2">
        <v>2.0000000000000002E-5</v>
      </c>
      <c r="E269" s="2">
        <v>2.0900000000000001E-4</v>
      </c>
      <c r="F269" s="2">
        <v>7.6000000000000004E-5</v>
      </c>
      <c r="G269" s="2">
        <v>7.6000000000000004E-5</v>
      </c>
      <c r="H269" s="2">
        <f>(1/COUNT(D269:G269))*SQRT(SUMSQ(D269:G269))</f>
        <v>5.8966621914435624E-5</v>
      </c>
    </row>
    <row r="270" spans="1:20" x14ac:dyDescent="0.55000000000000004">
      <c r="C270" s="2" t="s">
        <v>24</v>
      </c>
      <c r="D270" s="2">
        <v>0.17462800000000001</v>
      </c>
      <c r="E270" s="2">
        <v>0.22684499999999999</v>
      </c>
      <c r="F270" s="2">
        <v>0.227406</v>
      </c>
      <c r="G270" s="2">
        <v>0.22004599999999999</v>
      </c>
      <c r="H270" s="2">
        <f>AVERAGE(D270:G270)</f>
        <v>0.21223124999999998</v>
      </c>
      <c r="I270" s="2">
        <f xml:space="preserve"> _xlfn.STDEV.S(D270:G270) / SQRT(COUNT(D270:G270))</f>
        <v>1.2645517831594229E-2</v>
      </c>
      <c r="J270" s="2">
        <f>I270*$J$2</f>
        <v>1.5804091312733692E-2</v>
      </c>
    </row>
    <row r="271" spans="1:20" x14ac:dyDescent="0.55000000000000004">
      <c r="C271" s="2" t="s">
        <v>25</v>
      </c>
      <c r="D271" s="2">
        <v>1.1400000000000001E-4</v>
      </c>
      <c r="E271" s="2">
        <v>8.1999999999999998E-4</v>
      </c>
      <c r="F271" s="2">
        <v>3.9599999999999998E-4</v>
      </c>
      <c r="G271" s="2">
        <v>5.2300000000000003E-4</v>
      </c>
      <c r="H271" s="2">
        <f>(1/COUNT(D271:G271))*SQRT(SUMSQ(D271:G271))</f>
        <v>2.6407160487261787E-4</v>
      </c>
    </row>
    <row r="272" spans="1:20" x14ac:dyDescent="0.55000000000000004">
      <c r="C272" s="2" t="s">
        <v>26</v>
      </c>
      <c r="D272" s="2">
        <v>0.88279099999999999</v>
      </c>
      <c r="E272" s="2">
        <v>0.85785599999999995</v>
      </c>
      <c r="F272" s="2">
        <v>0.91668099999999997</v>
      </c>
      <c r="G272" s="2">
        <v>0.93688499999999997</v>
      </c>
      <c r="H272" s="2">
        <f>AVERAGE(D272:G272)</f>
        <v>0.89855324999999997</v>
      </c>
      <c r="I272" s="2">
        <f xml:space="preserve"> _xlfn.STDEV.S(D272:G272) / SQRT(COUNT(D272:G272))</f>
        <v>1.7565717227860829E-2</v>
      </c>
      <c r="J272" s="2">
        <f>I272*$J$2</f>
        <v>2.1953248790585383E-2</v>
      </c>
    </row>
    <row r="273" spans="2:10" x14ac:dyDescent="0.55000000000000004">
      <c r="C273" s="2" t="s">
        <v>27</v>
      </c>
      <c r="D273" s="2">
        <v>6.9999999999999994E-5</v>
      </c>
      <c r="E273" s="2">
        <v>5.4699999999999996E-4</v>
      </c>
      <c r="F273" s="2">
        <v>4.5600000000000003E-4</v>
      </c>
      <c r="G273" s="2">
        <v>2.6499999999999999E-4</v>
      </c>
      <c r="H273" s="2">
        <f>(1/COUNT(D273:G273))*SQRT(SUMSQ(D273:G273))</f>
        <v>1.9076654580926918E-4</v>
      </c>
    </row>
    <row r="274" spans="2:10" x14ac:dyDescent="0.55000000000000004">
      <c r="C274" s="2" t="s">
        <v>28</v>
      </c>
      <c r="D274" s="2">
        <v>1.0927119999999999</v>
      </c>
      <c r="E274" s="2">
        <v>1.458019</v>
      </c>
      <c r="F274" s="2">
        <v>1.567337</v>
      </c>
      <c r="G274" s="2">
        <v>1.5633729999999999</v>
      </c>
      <c r="H274" s="2">
        <f>AVERAGE(D274:G274)</f>
        <v>1.4203602499999999</v>
      </c>
      <c r="I274" s="2">
        <f xml:space="preserve"> _xlfn.STDEV.S(D274:G274) / SQRT(COUNT(D274:G274))</f>
        <v>0.11211094537806149</v>
      </c>
      <c r="J274" s="2">
        <f>I274*$J$2</f>
        <v>0.14011380486807709</v>
      </c>
    </row>
    <row r="275" spans="2:10" x14ac:dyDescent="0.55000000000000004">
      <c r="C275" s="2" t="s">
        <v>29</v>
      </c>
      <c r="D275" s="2">
        <v>1.454E-3</v>
      </c>
      <c r="E275" s="2">
        <v>8.3630000000000006E-3</v>
      </c>
      <c r="F275" s="2">
        <v>9.2980000000000007E-3</v>
      </c>
      <c r="G275" s="2">
        <v>6.3020000000000003E-3</v>
      </c>
      <c r="H275" s="2">
        <f>(1/COUNT(D275:G275))*SQRT(SUMSQ(D275:G275))</f>
        <v>3.5197824240285084E-3</v>
      </c>
    </row>
    <row r="276" spans="2:10" x14ac:dyDescent="0.55000000000000004">
      <c r="C276" s="2" t="s">
        <v>30</v>
      </c>
      <c r="D276" s="2">
        <v>16.615998999999999</v>
      </c>
      <c r="E276" s="2">
        <v>23.056450999999999</v>
      </c>
      <c r="F276" s="2">
        <v>18.018908</v>
      </c>
      <c r="G276" s="2">
        <v>28.37518</v>
      </c>
      <c r="H276" s="2">
        <f>AVERAGE(D276:G276)</f>
        <v>21.516634499999999</v>
      </c>
      <c r="I276" s="2">
        <f xml:space="preserve"> _xlfn.STDEV.S(D276:G276) / SQRT(COUNT(D276:G276))</f>
        <v>2.6717815560955045</v>
      </c>
      <c r="J276" s="2">
        <f>I276*$J$2</f>
        <v>3.339134090239761</v>
      </c>
    </row>
    <row r="277" spans="2:10" x14ac:dyDescent="0.55000000000000004">
      <c r="C277" s="2" t="s">
        <v>31</v>
      </c>
      <c r="D277" s="2">
        <v>1.8648999999999999E-2</v>
      </c>
      <c r="E277" s="2">
        <v>4.2081E-2</v>
      </c>
      <c r="F277" s="2">
        <v>7.9745999999999997E-2</v>
      </c>
      <c r="G277" s="2">
        <v>8.4054000000000004E-2</v>
      </c>
      <c r="H277" s="2">
        <f>(1/COUNT(D277:G277))*SQRT(SUMSQ(D277:G277))</f>
        <v>3.1167987577400628E-2</v>
      </c>
    </row>
    <row r="278" spans="2:10" x14ac:dyDescent="0.55000000000000004">
      <c r="B278" s="2" t="s">
        <v>32</v>
      </c>
      <c r="C278" s="2" t="s">
        <v>22</v>
      </c>
      <c r="D278" s="2">
        <v>0.98590299999999997</v>
      </c>
      <c r="E278" s="2">
        <v>0.97299800000000003</v>
      </c>
      <c r="F278" s="2">
        <v>0.99273699999999998</v>
      </c>
      <c r="G278" s="2">
        <v>0.99201899999999998</v>
      </c>
      <c r="H278" s="2">
        <f>AVERAGE(D278:G278)</f>
        <v>0.98591424999999999</v>
      </c>
      <c r="I278" s="2">
        <f xml:space="preserve"> _xlfn.STDEV.S(D278:G278) / SQRT(COUNT(D278:G278))</f>
        <v>4.5702619431676524E-3</v>
      </c>
      <c r="J278" s="2">
        <f>I278*$J$2</f>
        <v>5.7118133108375333E-3</v>
      </c>
    </row>
    <row r="279" spans="2:10" x14ac:dyDescent="0.55000000000000004">
      <c r="C279" s="2" t="s">
        <v>23</v>
      </c>
      <c r="D279" s="2">
        <v>1.6699999999999999E-4</v>
      </c>
      <c r="E279" s="2">
        <v>7.6400000000000003E-4</v>
      </c>
      <c r="F279" s="2">
        <v>8.2000000000000001E-5</v>
      </c>
      <c r="G279" s="2">
        <v>9.8999999999999994E-5</v>
      </c>
      <c r="H279" s="2">
        <f>(1/COUNT(D279:G279))*SQRT(SUMSQ(D279:G279))</f>
        <v>1.981334777366006E-4</v>
      </c>
    </row>
    <row r="280" spans="2:10" x14ac:dyDescent="0.55000000000000004">
      <c r="C280" s="2" t="s">
        <v>24</v>
      </c>
      <c r="D280" s="2">
        <v>0.178369</v>
      </c>
      <c r="E280" s="2">
        <v>0.235873</v>
      </c>
      <c r="F280" s="2">
        <v>0.22765299999999999</v>
      </c>
      <c r="G280" s="2">
        <v>0.22037699999999999</v>
      </c>
      <c r="H280" s="2">
        <f>AVERAGE(D280:G280)</f>
        <v>0.21556799999999998</v>
      </c>
      <c r="I280" s="2">
        <f xml:space="preserve"> _xlfn.STDEV.S(D280:G280) / SQRT(COUNT(D280:G280))</f>
        <v>1.279724036657911E-2</v>
      </c>
      <c r="J280" s="2">
        <f>I280*$J$2</f>
        <v>1.5993710814997935E-2</v>
      </c>
    </row>
    <row r="281" spans="2:10" x14ac:dyDescent="0.55000000000000004">
      <c r="C281" s="2" t="s">
        <v>25</v>
      </c>
      <c r="D281" s="2">
        <v>9.0799999999999995E-4</v>
      </c>
      <c r="E281" s="2">
        <v>2.81E-3</v>
      </c>
      <c r="F281" s="2">
        <v>6.6399999999999999E-4</v>
      </c>
      <c r="G281" s="2">
        <v>6.2500000000000001E-4</v>
      </c>
      <c r="H281" s="2">
        <f>(1/COUNT(D281:G281))*SQRT(SUMSQ(D281:G281))</f>
        <v>7.7266118868492414E-4</v>
      </c>
    </row>
    <row r="282" spans="2:10" x14ac:dyDescent="0.55000000000000004">
      <c r="C282" s="2" t="s">
        <v>26</v>
      </c>
      <c r="D282" s="2">
        <v>0.88040099999999999</v>
      </c>
      <c r="E282" s="2">
        <v>0.85314000000000001</v>
      </c>
      <c r="F282" s="2">
        <v>0.91597399999999995</v>
      </c>
      <c r="G282" s="2">
        <v>0.93602700000000005</v>
      </c>
      <c r="H282" s="2">
        <f>AVERAGE(D282:G282)</f>
        <v>0.89638550000000006</v>
      </c>
      <c r="I282" s="2">
        <f xml:space="preserve"> _xlfn.STDEV.S(D282:G282) / SQRT(COUNT(D282:G282))</f>
        <v>1.8440976485804655E-2</v>
      </c>
      <c r="J282" s="2">
        <f>I282*$J$2</f>
        <v>2.3047128647391203E-2</v>
      </c>
    </row>
    <row r="283" spans="2:10" x14ac:dyDescent="0.55000000000000004">
      <c r="C283" s="2" t="s">
        <v>27</v>
      </c>
      <c r="D283" s="2">
        <v>7.0200000000000004E-4</v>
      </c>
      <c r="E283" s="2">
        <v>1.64E-3</v>
      </c>
      <c r="F283" s="2">
        <v>4.6299999999999998E-4</v>
      </c>
      <c r="G283" s="2">
        <v>3.1E-4</v>
      </c>
      <c r="H283" s="2">
        <f>(1/COUNT(D283:G283))*SQRT(SUMSQ(D283:G283))</f>
        <v>4.6723073796572928E-4</v>
      </c>
    </row>
    <row r="284" spans="2:10" x14ac:dyDescent="0.55000000000000004">
      <c r="C284" s="2" t="s">
        <v>28</v>
      </c>
      <c r="D284" s="2">
        <v>1.1466229999999999</v>
      </c>
      <c r="E284" s="2">
        <v>1.5509550000000001</v>
      </c>
      <c r="F284" s="2">
        <v>1.5726690000000001</v>
      </c>
      <c r="G284" s="2">
        <v>1.5577989999999999</v>
      </c>
      <c r="H284" s="2">
        <f>AVERAGE(D284:G284)</f>
        <v>1.4570115000000001</v>
      </c>
      <c r="I284" s="2">
        <f xml:space="preserve"> _xlfn.STDEV.S(D284:G284) / SQRT(COUNT(D284:G284))</f>
        <v>0.10356205047659391</v>
      </c>
      <c r="J284" s="2">
        <f>I284*$J$2</f>
        <v>0.12942958319799275</v>
      </c>
    </row>
    <row r="285" spans="2:10" x14ac:dyDescent="0.55000000000000004">
      <c r="C285" s="2" t="s">
        <v>29</v>
      </c>
      <c r="D285" s="2">
        <v>1.1729E-2</v>
      </c>
      <c r="E285" s="2">
        <v>2.0243000000000001E-2</v>
      </c>
      <c r="F285" s="2">
        <v>1.3942E-2</v>
      </c>
      <c r="G285" s="2">
        <v>9.3390000000000001E-3</v>
      </c>
      <c r="H285" s="2">
        <f>(1/COUNT(D285:G285))*SQRT(SUMSQ(D285:G285))</f>
        <v>7.1978502650096856E-3</v>
      </c>
    </row>
    <row r="286" spans="2:10" x14ac:dyDescent="0.55000000000000004">
      <c r="C286" s="2" t="s">
        <v>30</v>
      </c>
      <c r="D286" s="2">
        <v>17.814655999999999</v>
      </c>
      <c r="E286" s="2">
        <v>22.97636</v>
      </c>
      <c r="F286" s="2">
        <v>18.402042000000002</v>
      </c>
      <c r="G286" s="2">
        <v>28.221709000000001</v>
      </c>
      <c r="H286" s="2">
        <f>AVERAGE(D286:G286)</f>
        <v>21.853691749999999</v>
      </c>
      <c r="I286" s="2">
        <f xml:space="preserve"> _xlfn.STDEV.S(D286:G286) / SQRT(COUNT(D286:G286))</f>
        <v>2.4159146556792379</v>
      </c>
      <c r="J286" s="2">
        <f>I286*$J$2</f>
        <v>3.0193572402967943</v>
      </c>
    </row>
    <row r="287" spans="2:10" x14ac:dyDescent="0.55000000000000004">
      <c r="C287" s="2" t="s">
        <v>31</v>
      </c>
      <c r="D287" s="2">
        <v>0.266712</v>
      </c>
      <c r="E287" s="2">
        <v>0.14178199999999999</v>
      </c>
      <c r="F287" s="2">
        <v>0.106554</v>
      </c>
      <c r="G287" s="2">
        <v>9.9485000000000004E-2</v>
      </c>
      <c r="H287" s="2">
        <f>(1/COUNT(D287:G287))*SQRT(SUMSQ(D287:G287))</f>
        <v>8.3848243351083387E-2</v>
      </c>
    </row>
    <row r="288" spans="2:10" x14ac:dyDescent="0.55000000000000004">
      <c r="B288" s="2" t="s">
        <v>33</v>
      </c>
      <c r="C288" s="2" t="s">
        <v>22</v>
      </c>
      <c r="D288" s="2">
        <v>0.98660499999999995</v>
      </c>
      <c r="E288" s="2">
        <v>0.97443999999999997</v>
      </c>
      <c r="F288" s="2">
        <v>0.992865</v>
      </c>
      <c r="G288" s="2">
        <v>0.99228499999999997</v>
      </c>
      <c r="H288" s="2">
        <f>AVERAGE(D288:G288)</f>
        <v>0.98654874999999997</v>
      </c>
      <c r="I288" s="2">
        <f xml:space="preserve"> _xlfn.STDEV.S(D288:G288) / SQRT(COUNT(D288:G288))</f>
        <v>4.2761408687234208E-3</v>
      </c>
      <c r="J288" s="2">
        <f>I288*$J$2</f>
        <v>5.344227231768286E-3</v>
      </c>
    </row>
    <row r="289" spans="2:10" x14ac:dyDescent="0.55000000000000004">
      <c r="C289" s="2" t="s">
        <v>23</v>
      </c>
      <c r="D289" s="2">
        <v>1.4E-5</v>
      </c>
      <c r="E289" s="2">
        <v>2.1499999999999999E-4</v>
      </c>
      <c r="F289" s="2">
        <v>2.5999999999999998E-5</v>
      </c>
      <c r="G289" s="2">
        <v>1.8E-5</v>
      </c>
      <c r="H289" s="2">
        <f>(1/COUNT(D289:G289))*SQRT(SUMSQ(D289:G289))</f>
        <v>5.4440908331878518E-5</v>
      </c>
    </row>
    <row r="290" spans="2:10" x14ac:dyDescent="0.55000000000000004">
      <c r="C290" s="2" t="s">
        <v>24</v>
      </c>
      <c r="D290" s="2">
        <v>0.17450099999999999</v>
      </c>
      <c r="E290" s="2">
        <v>0.22816800000000001</v>
      </c>
      <c r="F290" s="2">
        <v>0.22697600000000001</v>
      </c>
      <c r="G290" s="2">
        <v>0.219555</v>
      </c>
      <c r="H290" s="2">
        <f>AVERAGE(D290:G290)</f>
        <v>0.21229999999999999</v>
      </c>
      <c r="I290" s="2">
        <f xml:space="preserve"> _xlfn.STDEV.S(D290:G290) / SQRT(COUNT(D290:G290))</f>
        <v>1.2742899414968405E-2</v>
      </c>
      <c r="J290" s="2">
        <f>I290*$J$2</f>
        <v>1.5925796683468205E-2</v>
      </c>
    </row>
    <row r="291" spans="2:10" x14ac:dyDescent="0.55000000000000004">
      <c r="C291" s="2" t="s">
        <v>25</v>
      </c>
      <c r="D291" s="2">
        <v>8.7999999999999998E-5</v>
      </c>
      <c r="E291" s="2">
        <v>9.2900000000000003E-4</v>
      </c>
      <c r="F291" s="2">
        <v>1.8100000000000001E-4</v>
      </c>
      <c r="G291" s="2">
        <v>1.6000000000000001E-4</v>
      </c>
      <c r="H291" s="2">
        <f>(1/COUNT(D291:G291))*SQRT(SUMSQ(D291:G291))</f>
        <v>2.4098054900759108E-4</v>
      </c>
    </row>
    <row r="292" spans="2:10" x14ac:dyDescent="0.55000000000000004">
      <c r="C292" s="2" t="s">
        <v>26</v>
      </c>
      <c r="D292" s="2">
        <v>0.88286500000000001</v>
      </c>
      <c r="E292" s="2">
        <v>0.85781099999999999</v>
      </c>
      <c r="F292" s="2">
        <v>0.91685899999999998</v>
      </c>
      <c r="G292" s="2">
        <v>0.93701800000000002</v>
      </c>
      <c r="H292" s="2">
        <f>AVERAGE(D292:G292)</f>
        <v>0.89863825000000008</v>
      </c>
      <c r="I292" s="2">
        <f xml:space="preserve"> _xlfn.STDEV.S(D292:G292) / SQRT(COUNT(D292:G292))</f>
        <v>1.7608380340882201E-2</v>
      </c>
      <c r="J292" s="2">
        <f>I292*$J$2</f>
        <v>2.2006568215132052E-2</v>
      </c>
    </row>
    <row r="293" spans="2:10" x14ac:dyDescent="0.55000000000000004">
      <c r="C293" s="2" t="s">
        <v>27</v>
      </c>
      <c r="D293" s="2">
        <v>5.5999999999999999E-5</v>
      </c>
      <c r="E293" s="2">
        <v>5.3499999999999999E-4</v>
      </c>
      <c r="F293" s="2">
        <v>1.21E-4</v>
      </c>
      <c r="G293" s="2">
        <v>6.8999999999999997E-5</v>
      </c>
      <c r="H293" s="2">
        <f>(1/COUNT(D293:G293))*SQRT(SUMSQ(D293:G293))</f>
        <v>1.3891611677555634E-4</v>
      </c>
    </row>
    <row r="294" spans="2:10" x14ac:dyDescent="0.55000000000000004">
      <c r="C294" s="2" t="s">
        <v>28</v>
      </c>
      <c r="D294" s="2">
        <v>1.0908329999999999</v>
      </c>
      <c r="E294" s="2">
        <v>1.4297040000000001</v>
      </c>
      <c r="F294" s="2">
        <v>1.5589820000000001</v>
      </c>
      <c r="G294" s="2">
        <v>1.5577570000000001</v>
      </c>
      <c r="H294" s="2">
        <f>AVERAGE(D294:G294)</f>
        <v>1.409319</v>
      </c>
      <c r="I294" s="2">
        <f xml:space="preserve"> _xlfn.STDEV.S(D294:G294) / SQRT(COUNT(D294:G294))</f>
        <v>0.1104089873432717</v>
      </c>
      <c r="J294" s="2">
        <f>I294*$J$2</f>
        <v>0.13798673498051145</v>
      </c>
    </row>
    <row r="295" spans="2:10" x14ac:dyDescent="0.55000000000000004">
      <c r="C295" s="2" t="s">
        <v>29</v>
      </c>
      <c r="D295" s="2">
        <v>1.083E-3</v>
      </c>
      <c r="E295" s="2">
        <v>7.038E-3</v>
      </c>
      <c r="F295" s="2">
        <v>3.7690000000000002E-3</v>
      </c>
      <c r="G295" s="2">
        <v>2.6340000000000001E-3</v>
      </c>
      <c r="H295" s="2">
        <f>(1/COUNT(D295:G295))*SQRT(SUMSQ(D295:G295))</f>
        <v>2.1191043214056262E-3</v>
      </c>
    </row>
    <row r="296" spans="2:10" x14ac:dyDescent="0.55000000000000004">
      <c r="C296" s="2" t="s">
        <v>30</v>
      </c>
      <c r="D296" s="2">
        <v>16.629283999999998</v>
      </c>
      <c r="E296" s="2">
        <v>22.063870999999999</v>
      </c>
      <c r="F296" s="2">
        <v>17.998771999999999</v>
      </c>
      <c r="G296" s="2">
        <v>28.273032000000001</v>
      </c>
      <c r="H296" s="2">
        <f>AVERAGE(D296:G296)</f>
        <v>21.241239749999998</v>
      </c>
      <c r="I296" s="2">
        <f xml:space="preserve"> _xlfn.STDEV.S(D296:G296) / SQRT(COUNT(D296:G296))</f>
        <v>2.61257467788618</v>
      </c>
      <c r="J296" s="2">
        <f>I296*$J$2</f>
        <v>3.2651386301863785</v>
      </c>
    </row>
    <row r="297" spans="2:10" x14ac:dyDescent="0.55000000000000004">
      <c r="C297" s="2" t="s">
        <v>31</v>
      </c>
      <c r="D297" s="2">
        <v>2.1179E-2</v>
      </c>
      <c r="E297" s="2">
        <v>3.7118999999999999E-2</v>
      </c>
      <c r="F297" s="2">
        <v>2.2575000000000001E-2</v>
      </c>
      <c r="G297" s="2">
        <v>2.1704000000000001E-2</v>
      </c>
      <c r="H297" s="2">
        <f>(1/COUNT(D297:G297))*SQRT(SUMSQ(D297:G297))</f>
        <v>1.3245434220421013E-2</v>
      </c>
    </row>
    <row r="298" spans="2:10" x14ac:dyDescent="0.55000000000000004">
      <c r="B298" s="2" t="s">
        <v>34</v>
      </c>
      <c r="C298" s="2" t="s">
        <v>22</v>
      </c>
      <c r="D298" s="2">
        <v>0.98634299999999997</v>
      </c>
      <c r="E298" s="2">
        <v>0.97432399999999997</v>
      </c>
      <c r="F298" s="2">
        <v>0.99313200000000001</v>
      </c>
      <c r="G298" s="2">
        <v>0.99249100000000001</v>
      </c>
      <c r="H298" s="2">
        <f>AVERAGE(D298:G298)</f>
        <v>0.98657250000000007</v>
      </c>
      <c r="I298" s="2">
        <f xml:space="preserve"> _xlfn.STDEV.S(D298:G298) / SQRT(COUNT(D298:G298))</f>
        <v>4.3601806633059093E-3</v>
      </c>
      <c r="J298" s="2">
        <f>I298*$J$2</f>
        <v>5.44925832698897E-3</v>
      </c>
    </row>
    <row r="299" spans="2:10" x14ac:dyDescent="0.55000000000000004">
      <c r="C299" s="2" t="s">
        <v>23</v>
      </c>
      <c r="D299" s="2">
        <v>1.6100000000000001E-4</v>
      </c>
      <c r="E299" s="2">
        <v>1.1069999999999999E-3</v>
      </c>
      <c r="F299" s="2">
        <v>1.8200000000000001E-4</v>
      </c>
      <c r="G299" s="2">
        <v>1.76E-4</v>
      </c>
      <c r="H299" s="2">
        <f>(1/COUNT(D299:G299))*SQRT(SUMSQ(D299:G299))</f>
        <v>2.867348513871308E-4</v>
      </c>
    </row>
    <row r="300" spans="2:10" x14ac:dyDescent="0.55000000000000004">
      <c r="C300" s="2" t="s">
        <v>24</v>
      </c>
      <c r="D300" s="2">
        <v>0.17560500000000001</v>
      </c>
      <c r="E300" s="2">
        <v>0.23067599999999999</v>
      </c>
      <c r="F300" s="2">
        <v>0.23050200000000001</v>
      </c>
      <c r="G300" s="2">
        <v>0.22054299999999999</v>
      </c>
      <c r="H300" s="2">
        <f>AVERAGE(D300:G300)</f>
        <v>0.21433150000000001</v>
      </c>
      <c r="I300" s="2">
        <f xml:space="preserve"> _xlfn.STDEV.S(D300:G300) / SQRT(COUNT(D300:G300))</f>
        <v>1.312425326447187E-2</v>
      </c>
      <c r="J300" s="2">
        <f>I300*$J$2</f>
        <v>1.6402404374847773E-2</v>
      </c>
    </row>
    <row r="301" spans="2:10" x14ac:dyDescent="0.55000000000000004">
      <c r="C301" s="2" t="s">
        <v>25</v>
      </c>
      <c r="D301" s="2">
        <v>8.7100000000000003E-4</v>
      </c>
      <c r="E301" s="2">
        <v>4.104E-3</v>
      </c>
      <c r="F301" s="2">
        <v>1.408E-3</v>
      </c>
      <c r="G301" s="2">
        <v>1.531E-3</v>
      </c>
      <c r="H301" s="2">
        <f>(1/COUNT(D301:G301))*SQRT(SUMSQ(D301:G301))</f>
        <v>1.1706804111285027E-3</v>
      </c>
    </row>
    <row r="302" spans="2:10" x14ac:dyDescent="0.55000000000000004">
      <c r="C302" s="2" t="s">
        <v>26</v>
      </c>
      <c r="D302" s="2">
        <v>0.88135399999999997</v>
      </c>
      <c r="E302" s="2">
        <v>0.85471799999999998</v>
      </c>
      <c r="F302" s="2">
        <v>0.91862100000000002</v>
      </c>
      <c r="G302" s="2">
        <v>0.93730500000000005</v>
      </c>
      <c r="H302" s="2">
        <f>AVERAGE(D302:G302)</f>
        <v>0.89799950000000006</v>
      </c>
      <c r="I302" s="2">
        <f xml:space="preserve"> _xlfn.STDEV.S(D302:G302) / SQRT(COUNT(D302:G302))</f>
        <v>1.8530446803841527E-2</v>
      </c>
      <c r="J302" s="2">
        <f>I302*$J$2</f>
        <v>2.3158946691924046E-2</v>
      </c>
    </row>
    <row r="303" spans="2:10" x14ac:dyDescent="0.55000000000000004">
      <c r="C303" s="2" t="s">
        <v>27</v>
      </c>
      <c r="D303" s="2">
        <v>5.3700000000000004E-4</v>
      </c>
      <c r="E303" s="2">
        <v>2.1879999999999998E-3</v>
      </c>
      <c r="F303" s="2">
        <v>9.9400000000000009E-4</v>
      </c>
      <c r="G303" s="2">
        <v>6.7299999999999999E-4</v>
      </c>
      <c r="H303" s="2">
        <f>(1/COUNT(D303:G303))*SQRT(SUMSQ(D303:G303))</f>
        <v>6.3819462156931405E-4</v>
      </c>
    </row>
    <row r="304" spans="2:10" x14ac:dyDescent="0.55000000000000004">
      <c r="C304" s="2" t="s">
        <v>28</v>
      </c>
      <c r="D304" s="2">
        <v>1.116452</v>
      </c>
      <c r="E304" s="2">
        <v>1.5153160000000001</v>
      </c>
      <c r="F304" s="2">
        <v>1.6520490000000001</v>
      </c>
      <c r="G304" s="2">
        <v>1.5774950000000001</v>
      </c>
      <c r="H304" s="2">
        <f>AVERAGE(D304:G304)</f>
        <v>1.465328</v>
      </c>
      <c r="I304" s="2">
        <f xml:space="preserve"> _xlfn.STDEV.S(D304:G304) / SQRT(COUNT(D304:G304))</f>
        <v>0.11960331351667018</v>
      </c>
      <c r="J304" s="2">
        <f>I304*$J$2</f>
        <v>0.14947760252255876</v>
      </c>
    </row>
    <row r="305" spans="2:10" x14ac:dyDescent="0.55000000000000004">
      <c r="C305" s="2" t="s">
        <v>29</v>
      </c>
      <c r="D305" s="2">
        <v>7.6220000000000003E-3</v>
      </c>
      <c r="E305" s="2">
        <v>2.4101000000000001E-2</v>
      </c>
      <c r="F305" s="2">
        <v>2.4379999999999999E-2</v>
      </c>
      <c r="G305" s="2">
        <v>2.1326000000000001E-2</v>
      </c>
      <c r="H305" s="2">
        <f>(1/COUNT(D305:G305))*SQRT(SUMSQ(D305:G305))</f>
        <v>1.027173233016223E-2</v>
      </c>
    </row>
    <row r="306" spans="2:10" x14ac:dyDescent="0.55000000000000004">
      <c r="C306" s="2" t="s">
        <v>30</v>
      </c>
      <c r="D306" s="2">
        <v>17.203384</v>
      </c>
      <c r="E306" s="2">
        <v>22.886164999999998</v>
      </c>
      <c r="F306" s="2">
        <v>18.738068999999999</v>
      </c>
      <c r="G306" s="2">
        <v>28.337819</v>
      </c>
      <c r="H306" s="2">
        <f>AVERAGE(D306:G306)</f>
        <v>21.791359249999999</v>
      </c>
      <c r="I306" s="2">
        <f xml:space="preserve"> _xlfn.STDEV.S(D306:G306) / SQRT(COUNT(D306:G306))</f>
        <v>2.4904288976994979</v>
      </c>
      <c r="J306" s="2">
        <f>I306*$J$2</f>
        <v>3.1124835084868621</v>
      </c>
    </row>
    <row r="307" spans="2:10" x14ac:dyDescent="0.55000000000000004">
      <c r="C307" s="2" t="s">
        <v>31</v>
      </c>
      <c r="D307" s="2">
        <v>0.15145500000000001</v>
      </c>
      <c r="E307" s="2">
        <v>0.17280599999999999</v>
      </c>
      <c r="F307" s="2">
        <v>8.5111999999999993E-2</v>
      </c>
      <c r="G307" s="2">
        <v>0.179397</v>
      </c>
      <c r="H307" s="2">
        <f>(1/COUNT(D307:G307))*SQRT(SUMSQ(D307:G307))</f>
        <v>7.592260319479964E-2</v>
      </c>
    </row>
    <row r="308" spans="2:10" x14ac:dyDescent="0.55000000000000004">
      <c r="B308" s="2" t="s">
        <v>35</v>
      </c>
      <c r="C308" s="2" t="s">
        <v>22</v>
      </c>
      <c r="D308" s="2">
        <v>0.98314000000000001</v>
      </c>
      <c r="E308" s="2">
        <v>0.95882000000000001</v>
      </c>
      <c r="F308" s="2">
        <v>0.99226999999999999</v>
      </c>
      <c r="G308" s="2">
        <v>0.99183100000000002</v>
      </c>
      <c r="H308" s="2">
        <f>AVERAGE(D308:G308)</f>
        <v>0.98151524999999995</v>
      </c>
      <c r="I308" s="2">
        <f xml:space="preserve"> _xlfn.STDEV.S(D308:G308) / SQRT(COUNT(D308:G308))</f>
        <v>7.8517170667207134E-3</v>
      </c>
      <c r="J308" s="2">
        <f>I308*$J$2</f>
        <v>9.812904076903245E-3</v>
      </c>
    </row>
    <row r="309" spans="2:10" x14ac:dyDescent="0.55000000000000004">
      <c r="C309" s="2" t="s">
        <v>23</v>
      </c>
      <c r="D309" s="2">
        <v>1.37E-4</v>
      </c>
      <c r="E309" s="2">
        <v>5.8799999999999998E-4</v>
      </c>
      <c r="F309" s="2">
        <v>1.55E-4</v>
      </c>
      <c r="G309" s="2">
        <v>1.0900000000000001E-4</v>
      </c>
      <c r="H309" s="2">
        <f>(1/COUNT(D309:G309))*SQRT(SUMSQ(D309:G309))</f>
        <v>1.5819667347956467E-4</v>
      </c>
    </row>
    <row r="310" spans="2:10" x14ac:dyDescent="0.55000000000000004">
      <c r="C310" s="2" t="s">
        <v>24</v>
      </c>
      <c r="D310" s="2">
        <v>0.19121299999999999</v>
      </c>
      <c r="E310" s="2">
        <v>0.28563899999999998</v>
      </c>
      <c r="F310" s="2">
        <v>0.23596400000000001</v>
      </c>
      <c r="G310" s="2">
        <v>0.22739500000000001</v>
      </c>
      <c r="H310" s="2">
        <f>AVERAGE(D310:G310)</f>
        <v>0.23505274999999998</v>
      </c>
      <c r="I310" s="2">
        <f xml:space="preserve"> _xlfn.STDEV.S(D310:G310) / SQRT(COUNT(D310:G310))</f>
        <v>1.9451572088887016E-2</v>
      </c>
      <c r="J310" s="2">
        <f>I310*$J$2</f>
        <v>2.4310148905166386E-2</v>
      </c>
    </row>
    <row r="311" spans="2:10" x14ac:dyDescent="0.55000000000000004">
      <c r="C311" s="2" t="s">
        <v>25</v>
      </c>
      <c r="D311" s="2">
        <v>5.8600000000000004E-4</v>
      </c>
      <c r="E311" s="2">
        <v>1.7520000000000001E-3</v>
      </c>
      <c r="F311" s="2">
        <v>9.7400000000000004E-4</v>
      </c>
      <c r="G311" s="2">
        <v>7.7099999999999998E-4</v>
      </c>
      <c r="H311" s="2">
        <f>(1/COUNT(D311:G311))*SQRT(SUMSQ(D311:G311))</f>
        <v>5.5655283891109574E-4</v>
      </c>
    </row>
    <row r="312" spans="2:10" x14ac:dyDescent="0.55000000000000004">
      <c r="C312" s="2" t="s">
        <v>26</v>
      </c>
      <c r="D312" s="2">
        <v>0.86987099999999995</v>
      </c>
      <c r="E312" s="2">
        <v>0.825492</v>
      </c>
      <c r="F312" s="2">
        <v>0.91418999999999995</v>
      </c>
      <c r="G312" s="2">
        <v>0.93458399999999997</v>
      </c>
      <c r="H312" s="2">
        <f>AVERAGE(D312:G312)</f>
        <v>0.88603425000000002</v>
      </c>
      <c r="I312" s="2">
        <f xml:space="preserve"> _xlfn.STDEV.S(D312:G312) / SQRT(COUNT(D312:G312))</f>
        <v>2.4283806622160779E-2</v>
      </c>
      <c r="J312" s="2">
        <f>I312*$J$2</f>
        <v>3.0349369823237382E-2</v>
      </c>
    </row>
    <row r="313" spans="2:10" x14ac:dyDescent="0.55000000000000004">
      <c r="C313" s="2" t="s">
        <v>27</v>
      </c>
      <c r="D313" s="2">
        <v>4.8000000000000001E-4</v>
      </c>
      <c r="E313" s="2">
        <v>9.4799999999999995E-4</v>
      </c>
      <c r="F313" s="2">
        <v>7.3399999999999995E-4</v>
      </c>
      <c r="G313" s="2">
        <v>3.5599999999999998E-4</v>
      </c>
      <c r="H313" s="2">
        <f>(1/COUNT(D313:G313))*SQRT(SUMSQ(D313:G313))</f>
        <v>3.3490633018800942E-4</v>
      </c>
    </row>
    <row r="314" spans="2:10" x14ac:dyDescent="0.55000000000000004">
      <c r="C314" s="2" t="s">
        <v>28</v>
      </c>
      <c r="D314" s="2">
        <v>1.253439</v>
      </c>
      <c r="E314" s="2">
        <v>1.842438</v>
      </c>
      <c r="F314" s="2">
        <v>1.734205</v>
      </c>
      <c r="G314" s="2">
        <v>1.6598440000000001</v>
      </c>
      <c r="H314" s="2">
        <f>AVERAGE(D314:G314)</f>
        <v>1.6224815000000001</v>
      </c>
      <c r="I314" s="2">
        <f xml:space="preserve"> _xlfn.STDEV.S(D314:G314) / SQRT(COUNT(D314:G314))</f>
        <v>0.12859864098458901</v>
      </c>
      <c r="J314" s="2">
        <f>I314*$J$2</f>
        <v>0.16071976583956768</v>
      </c>
    </row>
    <row r="315" spans="2:10" x14ac:dyDescent="0.55000000000000004">
      <c r="C315" s="2" t="s">
        <v>29</v>
      </c>
      <c r="D315" s="2">
        <v>6.5420000000000001E-3</v>
      </c>
      <c r="E315" s="2">
        <v>1.5362000000000001E-2</v>
      </c>
      <c r="F315" s="2">
        <v>1.6407000000000001E-2</v>
      </c>
      <c r="G315" s="2">
        <v>9.0220000000000005E-3</v>
      </c>
      <c r="H315" s="2">
        <f>(1/COUNT(D315:G315))*SQRT(SUMSQ(D315:G315))</f>
        <v>6.271836558178155E-3</v>
      </c>
    </row>
    <row r="316" spans="2:10" x14ac:dyDescent="0.55000000000000004">
      <c r="C316" s="2" t="s">
        <v>30</v>
      </c>
      <c r="D316" s="2">
        <v>20.205172999999998</v>
      </c>
      <c r="E316" s="2">
        <v>25.371483000000001</v>
      </c>
      <c r="F316" s="2">
        <v>18.821169999999999</v>
      </c>
      <c r="G316" s="2">
        <v>29.093378999999999</v>
      </c>
      <c r="H316" s="2">
        <f>AVERAGE(D316:G316)</f>
        <v>23.372801249999998</v>
      </c>
      <c r="I316" s="2">
        <f xml:space="preserve"> _xlfn.STDEV.S(D316:G316) / SQRT(COUNT(D316:G316))</f>
        <v>2.3711979092460314</v>
      </c>
      <c r="J316" s="2">
        <f>I316*$J$2</f>
        <v>2.9634712296762502</v>
      </c>
    </row>
    <row r="317" spans="2:10" x14ac:dyDescent="0.55000000000000004">
      <c r="C317" s="2" t="s">
        <v>31</v>
      </c>
      <c r="D317" s="2">
        <v>0.13603199999999999</v>
      </c>
      <c r="E317" s="2">
        <v>0.15413499999999999</v>
      </c>
      <c r="F317" s="2">
        <v>9.0869000000000005E-2</v>
      </c>
      <c r="G317" s="2">
        <v>8.6254999999999998E-2</v>
      </c>
      <c r="H317" s="2">
        <f>(1/COUNT(D317:G317))*SQRT(SUMSQ(D317:G317))</f>
        <v>6.0186898197925935E-2</v>
      </c>
    </row>
    <row r="318" spans="2:10" x14ac:dyDescent="0.55000000000000004">
      <c r="B318" s="2" t="s">
        <v>45</v>
      </c>
      <c r="C318" s="2" t="s">
        <v>22</v>
      </c>
      <c r="D318" s="2">
        <v>0.984483</v>
      </c>
      <c r="E318" s="2">
        <v>0.96649300000000005</v>
      </c>
      <c r="F318" s="2">
        <v>0.993232</v>
      </c>
      <c r="G318" s="2">
        <v>0.99238599999999999</v>
      </c>
      <c r="H318" s="2">
        <f>AVERAGE(D318:G318)</f>
        <v>0.98414850000000009</v>
      </c>
      <c r="I318" s="2">
        <f xml:space="preserve"> _xlfn.STDEV.S(D318:G318) / SQRT(COUNT(D318:G318))</f>
        <v>6.2061458047648101E-3</v>
      </c>
      <c r="J318" s="2">
        <f>I318*$J$2</f>
        <v>7.7563051434388639E-3</v>
      </c>
    </row>
    <row r="319" spans="2:10" x14ac:dyDescent="0.55000000000000004">
      <c r="C319" s="2" t="s">
        <v>23</v>
      </c>
      <c r="D319" s="2">
        <v>5.4199999999999995E-4</v>
      </c>
      <c r="E319" s="2">
        <v>1.8580000000000001E-3</v>
      </c>
      <c r="F319" s="2">
        <v>2.7900000000000001E-4</v>
      </c>
      <c r="G319" s="2">
        <v>2.2599999999999999E-4</v>
      </c>
      <c r="H319" s="2">
        <f>(1/COUNT(D319:G319))*SQRT(SUMSQ(D319:G319))</f>
        <v>4.9211564951746856E-4</v>
      </c>
    </row>
    <row r="320" spans="2:10" x14ac:dyDescent="0.55000000000000004">
      <c r="C320" s="2" t="s">
        <v>24</v>
      </c>
      <c r="D320" s="2">
        <v>0.18346399999999999</v>
      </c>
      <c r="E320" s="2">
        <v>0.259548</v>
      </c>
      <c r="F320" s="2">
        <v>0.22472300000000001</v>
      </c>
      <c r="G320" s="2">
        <v>0.21773200000000001</v>
      </c>
      <c r="H320" s="2">
        <f>AVERAGE(D320:G320)</f>
        <v>0.22136675</v>
      </c>
      <c r="I320" s="2">
        <f xml:space="preserve"> _xlfn.STDEV.S(D320:G320) / SQRT(COUNT(D320:G320))</f>
        <v>1.5596212496281469E-2</v>
      </c>
      <c r="J320" s="2">
        <f>I320*$J$2</f>
        <v>1.9491804899298158E-2</v>
      </c>
    </row>
    <row r="321" spans="2:10" x14ac:dyDescent="0.55000000000000004">
      <c r="C321" s="2" t="s">
        <v>25</v>
      </c>
      <c r="D321" s="2">
        <v>2.5309999999999998E-3</v>
      </c>
      <c r="E321" s="2">
        <v>6.0650000000000001E-3</v>
      </c>
      <c r="F321" s="2">
        <v>2.5820000000000001E-3</v>
      </c>
      <c r="G321" s="2">
        <v>2.2290000000000001E-3</v>
      </c>
      <c r="H321" s="2">
        <f>(1/COUNT(D321:G321))*SQRT(SUMSQ(D321:G321))</f>
        <v>1.8511035728721395E-3</v>
      </c>
    </row>
    <row r="322" spans="2:10" x14ac:dyDescent="0.55000000000000004">
      <c r="C322" s="2" t="s">
        <v>26</v>
      </c>
      <c r="D322" s="2">
        <v>0.87504199999999999</v>
      </c>
      <c r="E322" s="2">
        <v>0.84014599999999995</v>
      </c>
      <c r="F322" s="2">
        <v>0.91910499999999995</v>
      </c>
      <c r="G322" s="2">
        <v>0.93772299999999997</v>
      </c>
      <c r="H322" s="2">
        <f>AVERAGE(D322:G322)</f>
        <v>0.89300400000000002</v>
      </c>
      <c r="I322" s="2">
        <f xml:space="preserve"> _xlfn.STDEV.S(D322:G322) / SQRT(COUNT(D322:G322))</f>
        <v>2.1980394237441091E-2</v>
      </c>
      <c r="J322" s="2">
        <f>I322*$J$2</f>
        <v>2.7470615457952346E-2</v>
      </c>
    </row>
    <row r="323" spans="2:10" x14ac:dyDescent="0.55000000000000004">
      <c r="C323" s="2" t="s">
        <v>27</v>
      </c>
      <c r="D323" s="2">
        <v>2.3159999999999999E-3</v>
      </c>
      <c r="E323" s="2">
        <v>3.4680000000000002E-3</v>
      </c>
      <c r="F323" s="2">
        <v>1.405E-3</v>
      </c>
      <c r="G323" s="2">
        <v>8.1499999999999997E-4</v>
      </c>
      <c r="H323" s="2">
        <f>(1/COUNT(D323:G323))*SQRT(SUMSQ(D323:G323))</f>
        <v>1.1188479007443327E-3</v>
      </c>
    </row>
    <row r="324" spans="2:10" x14ac:dyDescent="0.55000000000000004">
      <c r="C324" s="2" t="s">
        <v>28</v>
      </c>
      <c r="D324" s="2">
        <v>1.188815</v>
      </c>
      <c r="E324" s="2">
        <v>1.7165459999999999</v>
      </c>
      <c r="F324" s="2">
        <v>1.509239</v>
      </c>
      <c r="G324" s="2">
        <v>1.5010810000000001</v>
      </c>
      <c r="H324" s="2">
        <f>AVERAGE(D324:G324)</f>
        <v>1.47892025</v>
      </c>
      <c r="I324" s="2">
        <f xml:space="preserve"> _xlfn.STDEV.S(D324:G324) / SQRT(COUNT(D324:G324))</f>
        <v>0.10879544207010287</v>
      </c>
      <c r="J324" s="2">
        <f>I324*$J$2</f>
        <v>0.13597016142662519</v>
      </c>
    </row>
    <row r="325" spans="2:10" x14ac:dyDescent="0.55000000000000004">
      <c r="C325" s="2" t="s">
        <v>29</v>
      </c>
      <c r="D325" s="2">
        <v>3.5143000000000001E-2</v>
      </c>
      <c r="E325" s="2">
        <v>4.6327E-2</v>
      </c>
      <c r="F325" s="2">
        <v>4.5266000000000001E-2</v>
      </c>
      <c r="G325" s="2">
        <v>3.0669999999999999E-2</v>
      </c>
      <c r="H325" s="2">
        <f>(1/COUNT(D325:G325))*SQRT(SUMSQ(D325:G325))</f>
        <v>1.9954449744981693E-2</v>
      </c>
    </row>
    <row r="326" spans="2:10" x14ac:dyDescent="0.55000000000000004">
      <c r="C326" s="2" t="s">
        <v>30</v>
      </c>
      <c r="D326" s="2">
        <v>20.850175</v>
      </c>
      <c r="E326" s="2">
        <v>26.057213000000001</v>
      </c>
      <c r="F326" s="2">
        <v>18.159210000000002</v>
      </c>
      <c r="G326" s="2">
        <v>27.677218</v>
      </c>
      <c r="H326" s="2">
        <f>AVERAGE(D326:G326)</f>
        <v>23.185953999999999</v>
      </c>
      <c r="I326" s="2">
        <f xml:space="preserve"> _xlfn.STDEV.S(D326:G326) / SQRT(COUNT(D326:G326))</f>
        <v>2.2199774649973794</v>
      </c>
      <c r="J326" s="2">
        <f>I326*$J$2</f>
        <v>2.7744792294208875</v>
      </c>
    </row>
    <row r="327" spans="2:10" x14ac:dyDescent="0.55000000000000004">
      <c r="C327" s="2" t="s">
        <v>31</v>
      </c>
      <c r="D327" s="2">
        <v>0.45532699999999998</v>
      </c>
      <c r="E327" s="2">
        <v>0.57269700000000001</v>
      </c>
      <c r="F327" s="2">
        <v>0.23558699999999999</v>
      </c>
      <c r="G327" s="2">
        <v>0.52406699999999995</v>
      </c>
      <c r="H327" s="2">
        <f>(1/COUNT(D327:G327))*SQRT(SUMSQ(D327:G327))</f>
        <v>0.23257417980560524</v>
      </c>
    </row>
    <row r="328" spans="2:10" x14ac:dyDescent="0.55000000000000004">
      <c r="B328" s="2" t="s">
        <v>46</v>
      </c>
      <c r="C328" s="2" t="s">
        <v>22</v>
      </c>
      <c r="H328" s="2" t="e">
        <f>AVERAGE(D328:G328)</f>
        <v>#DIV/0!</v>
      </c>
      <c r="I328" s="2" t="e">
        <f xml:space="preserve"> _xlfn.STDEV.S(D328:G328) / SQRT(COUNT(D328:G328))</f>
        <v>#DIV/0!</v>
      </c>
      <c r="J328" s="2" t="e">
        <f>I328*$J$2</f>
        <v>#DIV/0!</v>
      </c>
    </row>
    <row r="329" spans="2:10" x14ac:dyDescent="0.55000000000000004">
      <c r="C329" s="2" t="s">
        <v>23</v>
      </c>
      <c r="H329" s="2" t="e">
        <f>(1/COUNT(D329:G329))*SQRT(SUMSQ(D329:G329))</f>
        <v>#DIV/0!</v>
      </c>
    </row>
    <row r="330" spans="2:10" x14ac:dyDescent="0.55000000000000004">
      <c r="C330" s="2" t="s">
        <v>24</v>
      </c>
      <c r="H330" s="2" t="e">
        <f>AVERAGE(D330:G330)</f>
        <v>#DIV/0!</v>
      </c>
      <c r="I330" s="2" t="e">
        <f xml:space="preserve"> _xlfn.STDEV.S(D330:G330) / SQRT(COUNT(D330:G330))</f>
        <v>#DIV/0!</v>
      </c>
      <c r="J330" s="2" t="e">
        <f>I330*$J$2</f>
        <v>#DIV/0!</v>
      </c>
    </row>
    <row r="331" spans="2:10" x14ac:dyDescent="0.55000000000000004">
      <c r="C331" s="2" t="s">
        <v>25</v>
      </c>
      <c r="H331" s="2" t="e">
        <f>(1/COUNT(D331:G331))*SQRT(SUMSQ(D331:G331))</f>
        <v>#DIV/0!</v>
      </c>
    </row>
    <row r="332" spans="2:10" x14ac:dyDescent="0.55000000000000004">
      <c r="C332" s="2" t="s">
        <v>26</v>
      </c>
      <c r="H332" s="2" t="e">
        <f>AVERAGE(D332:G332)</f>
        <v>#DIV/0!</v>
      </c>
      <c r="I332" s="2" t="e">
        <f xml:space="preserve"> _xlfn.STDEV.S(D332:G332) / SQRT(COUNT(D332:G332))</f>
        <v>#DIV/0!</v>
      </c>
      <c r="J332" s="2" t="e">
        <f>I332*$J$2</f>
        <v>#DIV/0!</v>
      </c>
    </row>
    <row r="333" spans="2:10" x14ac:dyDescent="0.55000000000000004">
      <c r="C333" s="2" t="s">
        <v>27</v>
      </c>
      <c r="H333" s="2" t="e">
        <f>(1/COUNT(D333:G333))*SQRT(SUMSQ(D333:G333))</f>
        <v>#DIV/0!</v>
      </c>
    </row>
    <row r="334" spans="2:10" x14ac:dyDescent="0.55000000000000004">
      <c r="C334" s="2" t="s">
        <v>28</v>
      </c>
      <c r="H334" s="2" t="e">
        <f>AVERAGE(D334:G334)</f>
        <v>#DIV/0!</v>
      </c>
      <c r="I334" s="2" t="e">
        <f xml:space="preserve"> _xlfn.STDEV.S(D334:G334) / SQRT(COUNT(D334:G334))</f>
        <v>#DIV/0!</v>
      </c>
      <c r="J334" s="2" t="e">
        <f>I334*$J$2</f>
        <v>#DIV/0!</v>
      </c>
    </row>
    <row r="335" spans="2:10" x14ac:dyDescent="0.55000000000000004">
      <c r="C335" s="2" t="s">
        <v>29</v>
      </c>
      <c r="H335" s="2" t="e">
        <f>(1/COUNT(D335:G335))*SQRT(SUMSQ(D335:G335))</f>
        <v>#DIV/0!</v>
      </c>
    </row>
    <row r="336" spans="2:10" x14ac:dyDescent="0.55000000000000004">
      <c r="C336" s="2" t="s">
        <v>30</v>
      </c>
      <c r="H336" s="2" t="e">
        <f>AVERAGE(D336:G336)</f>
        <v>#DIV/0!</v>
      </c>
      <c r="I336" s="2" t="e">
        <f xml:space="preserve"> _xlfn.STDEV.S(D336:G336) / SQRT(COUNT(D336:G336))</f>
        <v>#DIV/0!</v>
      </c>
      <c r="J336" s="2" t="e">
        <f>I336*$J$2</f>
        <v>#DIV/0!</v>
      </c>
    </row>
    <row r="337" spans="2:20" x14ac:dyDescent="0.55000000000000004">
      <c r="C337" s="2" t="s">
        <v>31</v>
      </c>
      <c r="H337" s="2" t="e">
        <f>(1/COUNT(D337:G337))*SQRT(SUMSQ(D337:G337))</f>
        <v>#DIV/0!</v>
      </c>
    </row>
    <row r="338" spans="2:20" x14ac:dyDescent="0.55000000000000004">
      <c r="B338" s="2" t="s">
        <v>36</v>
      </c>
      <c r="C338" s="2" t="s">
        <v>22</v>
      </c>
      <c r="D338" s="2">
        <v>0.985927</v>
      </c>
      <c r="E338" s="2">
        <v>0.96829200000000004</v>
      </c>
      <c r="F338" s="2">
        <v>0.99314000000000002</v>
      </c>
      <c r="G338" s="2">
        <v>0.992502</v>
      </c>
      <c r="H338" s="2">
        <f t="shared" ref="H338:H356" si="15">AVERAGE(D338:G338)</f>
        <v>0.98496525000000001</v>
      </c>
      <c r="I338" s="2">
        <f xml:space="preserve"> _xlfn.STDEV.S(D338:G338) / SQRT(COUNT(D338:G338))</f>
        <v>5.7918863273692259E-3</v>
      </c>
      <c r="J338" s="2">
        <f>I338*$J$2</f>
        <v>7.2385727187873564E-3</v>
      </c>
    </row>
    <row r="339" spans="2:20" x14ac:dyDescent="0.55000000000000004">
      <c r="C339" s="2" t="s">
        <v>24</v>
      </c>
      <c r="D339" s="2">
        <v>0.17804900000000001</v>
      </c>
      <c r="E339" s="2">
        <v>0.25564199999999998</v>
      </c>
      <c r="F339" s="2">
        <v>0.22752700000000001</v>
      </c>
      <c r="G339" s="2">
        <v>0.21911600000000001</v>
      </c>
      <c r="H339" s="2">
        <f t="shared" si="15"/>
        <v>0.22008349999999999</v>
      </c>
      <c r="I339" s="2">
        <f t="shared" ref="I339:I352" si="16" xml:space="preserve"> _xlfn.STDEV.S(D339:G339) / SQRT(COUNT(D339:G339))</f>
        <v>1.6040697878105886E-2</v>
      </c>
      <c r="J339" s="2">
        <f t="shared" ref="J339:J352" si="17">I339*$J$2</f>
        <v>2.0047312997509649E-2</v>
      </c>
    </row>
    <row r="340" spans="2:20" x14ac:dyDescent="0.55000000000000004">
      <c r="C340" s="2" t="s">
        <v>26</v>
      </c>
      <c r="D340" s="2">
        <v>0.87970199999999998</v>
      </c>
      <c r="E340" s="2">
        <v>0.841198</v>
      </c>
      <c r="F340" s="2">
        <v>0.91843900000000001</v>
      </c>
      <c r="G340" s="2">
        <v>0.93751200000000001</v>
      </c>
      <c r="H340" s="2">
        <f t="shared" si="15"/>
        <v>0.89421274999999989</v>
      </c>
      <c r="I340" s="2">
        <f t="shared" si="16"/>
        <v>2.1375339807727815E-2</v>
      </c>
      <c r="J340" s="2">
        <f t="shared" si="17"/>
        <v>2.6714431679343332E-2</v>
      </c>
    </row>
    <row r="341" spans="2:20" x14ac:dyDescent="0.55000000000000004">
      <c r="C341" s="2" t="s">
        <v>28</v>
      </c>
      <c r="D341" s="2">
        <v>1.1154489999999999</v>
      </c>
      <c r="E341" s="2">
        <v>1.6439159999999999</v>
      </c>
      <c r="F341" s="2">
        <v>1.597478</v>
      </c>
      <c r="G341" s="2">
        <v>1.5308079999999999</v>
      </c>
      <c r="H341" s="2">
        <f t="shared" si="15"/>
        <v>1.47191275</v>
      </c>
      <c r="I341" s="2">
        <f t="shared" si="16"/>
        <v>0.12106706321799103</v>
      </c>
      <c r="J341" s="2">
        <f t="shared" si="17"/>
        <v>0.1513069648505185</v>
      </c>
    </row>
    <row r="342" spans="2:20" x14ac:dyDescent="0.55000000000000004">
      <c r="C342" s="2" t="s">
        <v>30</v>
      </c>
      <c r="D342" s="2">
        <v>16.925909000000001</v>
      </c>
      <c r="E342" s="2">
        <v>22.777873</v>
      </c>
      <c r="F342" s="2">
        <v>18.660947</v>
      </c>
      <c r="G342" s="2">
        <v>27.312601999999998</v>
      </c>
      <c r="H342" s="2">
        <f t="shared" si="15"/>
        <v>21.419332750000002</v>
      </c>
      <c r="I342" s="2">
        <f t="shared" si="16"/>
        <v>2.3161714639812478</v>
      </c>
      <c r="J342" s="2">
        <f t="shared" si="17"/>
        <v>2.8947003831865148</v>
      </c>
    </row>
    <row r="343" spans="2:20" x14ac:dyDescent="0.55000000000000004">
      <c r="B343" s="2" t="s">
        <v>37</v>
      </c>
      <c r="C343" s="2" t="s">
        <v>22</v>
      </c>
      <c r="D343" s="2">
        <v>0.97812299999999996</v>
      </c>
      <c r="E343" s="2">
        <v>0.93565699999999996</v>
      </c>
      <c r="F343" s="2">
        <v>0.98121499999999995</v>
      </c>
      <c r="G343" s="2">
        <v>0.97707999999999995</v>
      </c>
      <c r="H343" s="2">
        <f t="shared" si="15"/>
        <v>0.96801874999999993</v>
      </c>
      <c r="I343" s="2">
        <f t="shared" si="16"/>
        <v>1.0822915491177348E-2</v>
      </c>
      <c r="J343" s="2">
        <f t="shared" si="17"/>
        <v>1.3526242813498362E-2</v>
      </c>
    </row>
    <row r="344" spans="2:20" x14ac:dyDescent="0.55000000000000004">
      <c r="C344" s="2" t="s">
        <v>24</v>
      </c>
      <c r="D344" s="2">
        <v>0.21476000000000001</v>
      </c>
      <c r="E344" s="2">
        <v>0.34873399999999999</v>
      </c>
      <c r="F344" s="2">
        <v>0.30205900000000002</v>
      </c>
      <c r="G344" s="2">
        <v>0.30768899999999999</v>
      </c>
      <c r="H344" s="2">
        <f t="shared" si="15"/>
        <v>0.29331050000000003</v>
      </c>
      <c r="I344" s="2">
        <f t="shared" si="16"/>
        <v>2.8173898850117639E-2</v>
      </c>
      <c r="J344" s="2">
        <f t="shared" si="17"/>
        <v>3.5211121916297779E-2</v>
      </c>
    </row>
    <row r="345" spans="2:20" x14ac:dyDescent="0.55000000000000004">
      <c r="C345" s="2" t="s">
        <v>26</v>
      </c>
      <c r="D345" s="2">
        <v>0.84898899999999999</v>
      </c>
      <c r="E345" s="2">
        <v>0.79181000000000001</v>
      </c>
      <c r="F345" s="2">
        <v>0.86738400000000004</v>
      </c>
      <c r="G345" s="2">
        <v>0.89346499999999995</v>
      </c>
      <c r="H345" s="2">
        <f t="shared" si="15"/>
        <v>0.85041199999999995</v>
      </c>
      <c r="I345" s="2">
        <f t="shared" si="16"/>
        <v>2.1559663196967303E-2</v>
      </c>
      <c r="J345" s="2">
        <f t="shared" si="17"/>
        <v>2.6944795015460359E-2</v>
      </c>
    </row>
    <row r="346" spans="2:20" x14ac:dyDescent="0.55000000000000004">
      <c r="C346" s="2" t="s">
        <v>28</v>
      </c>
      <c r="D346" s="2">
        <v>1.6863490000000001</v>
      </c>
      <c r="E346" s="2">
        <v>2.42876</v>
      </c>
      <c r="F346" s="2">
        <v>2.8124709999999999</v>
      </c>
      <c r="G346" s="2">
        <v>2.6159940000000002</v>
      </c>
      <c r="H346" s="2">
        <f t="shared" si="15"/>
        <v>2.3858935000000003</v>
      </c>
      <c r="I346" s="2">
        <f t="shared" si="16"/>
        <v>0.24598689800966309</v>
      </c>
      <c r="J346" s="2">
        <f t="shared" si="17"/>
        <v>0.30742903925751791</v>
      </c>
    </row>
    <row r="347" spans="2:20" x14ac:dyDescent="0.55000000000000004">
      <c r="C347" s="2" t="s">
        <v>30</v>
      </c>
      <c r="D347" s="2">
        <v>27.201357000000002</v>
      </c>
      <c r="E347" s="2">
        <v>29.005015</v>
      </c>
      <c r="F347" s="2">
        <v>26.329246999999999</v>
      </c>
      <c r="G347" s="2">
        <v>37.658081000000003</v>
      </c>
      <c r="H347" s="2">
        <f t="shared" si="15"/>
        <v>30.048425000000002</v>
      </c>
      <c r="I347" s="2">
        <f t="shared" si="16"/>
        <v>2.5970119056771086</v>
      </c>
      <c r="J347" s="2">
        <f t="shared" si="17"/>
        <v>3.2456886182258615</v>
      </c>
      <c r="P347" s="2" t="s">
        <v>38</v>
      </c>
      <c r="Q347" s="2" cm="1">
        <f t="array" ref="Q347:T347">D344:G344/D347:G347</f>
        <v>7.895194346370293E-3</v>
      </c>
      <c r="R347" s="2">
        <v>1.2023231155026121E-2</v>
      </c>
      <c r="S347" s="2">
        <v>1.1472375187942141E-2</v>
      </c>
      <c r="T347" s="2">
        <v>8.1705969032250993E-3</v>
      </c>
    </row>
    <row r="348" spans="2:20" x14ac:dyDescent="0.55000000000000004">
      <c r="B348" s="2" t="s">
        <v>39</v>
      </c>
      <c r="C348" s="2" t="s">
        <v>22</v>
      </c>
      <c r="D348" s="2">
        <v>0.98712999999999995</v>
      </c>
      <c r="E348" s="2">
        <v>0.97555899999999995</v>
      </c>
      <c r="F348" s="2">
        <v>0.99291300000000005</v>
      </c>
      <c r="G348" s="2">
        <v>0.99231599999999998</v>
      </c>
      <c r="H348" s="2">
        <f t="shared" si="15"/>
        <v>0.9869794999999999</v>
      </c>
      <c r="I348" s="2">
        <f t="shared" si="16"/>
        <v>4.0221793947228966E-3</v>
      </c>
      <c r="J348" s="2">
        <f t="shared" si="17"/>
        <v>5.0268317420404662E-3</v>
      </c>
    </row>
    <row r="349" spans="2:20" x14ac:dyDescent="0.55000000000000004">
      <c r="C349" s="2" t="s">
        <v>24</v>
      </c>
      <c r="D349" s="2">
        <v>0.171653</v>
      </c>
      <c r="E349" s="2">
        <v>0.223251</v>
      </c>
      <c r="F349" s="2">
        <v>0.233734</v>
      </c>
      <c r="G349" s="2">
        <v>0.22577900000000001</v>
      </c>
      <c r="H349" s="2">
        <f t="shared" si="15"/>
        <v>0.21360425</v>
      </c>
      <c r="I349" s="2">
        <f t="shared" si="16"/>
        <v>1.4160974939218222E-2</v>
      </c>
      <c r="J349" s="2">
        <f t="shared" si="17"/>
        <v>1.7698076424959137E-2</v>
      </c>
    </row>
    <row r="350" spans="2:20" x14ac:dyDescent="0.55000000000000004">
      <c r="C350" s="2" t="s">
        <v>26</v>
      </c>
      <c r="D350" s="2">
        <v>0.88486200000000004</v>
      </c>
      <c r="E350" s="2">
        <v>0.85977400000000004</v>
      </c>
      <c r="F350" s="2">
        <v>0.91616500000000001</v>
      </c>
      <c r="G350" s="2">
        <v>0.93605400000000005</v>
      </c>
      <c r="H350" s="2">
        <f t="shared" si="15"/>
        <v>0.89921375000000003</v>
      </c>
      <c r="I350" s="2">
        <f t="shared" si="16"/>
        <v>1.6847392243188063E-2</v>
      </c>
      <c r="J350" s="2">
        <f t="shared" si="17"/>
        <v>2.1055501952443031E-2</v>
      </c>
    </row>
    <row r="351" spans="2:20" x14ac:dyDescent="0.55000000000000004">
      <c r="C351" s="2" t="s">
        <v>28</v>
      </c>
      <c r="D351" s="2">
        <v>1.0619499999999999</v>
      </c>
      <c r="E351" s="2">
        <v>1.5112570000000001</v>
      </c>
      <c r="F351" s="2">
        <v>1.72848</v>
      </c>
      <c r="G351" s="2">
        <v>1.6541920000000001</v>
      </c>
      <c r="H351" s="2">
        <f t="shared" si="15"/>
        <v>1.4889697500000001</v>
      </c>
      <c r="I351" s="2">
        <f t="shared" si="16"/>
        <v>0.14930565409944263</v>
      </c>
      <c r="J351" s="2">
        <f t="shared" si="17"/>
        <v>0.18659893745114758</v>
      </c>
    </row>
    <row r="352" spans="2:20" x14ac:dyDescent="0.55000000000000004">
      <c r="C352" s="2" t="s">
        <v>30</v>
      </c>
      <c r="D352" s="2">
        <v>16.113354999999999</v>
      </c>
      <c r="E352" s="2">
        <v>24.880165999999999</v>
      </c>
      <c r="F352" s="2">
        <v>19.282582999999999</v>
      </c>
      <c r="G352" s="2">
        <v>29.056532000000001</v>
      </c>
      <c r="H352" s="2">
        <f t="shared" si="15"/>
        <v>22.333159000000002</v>
      </c>
      <c r="I352" s="2">
        <f t="shared" si="16"/>
        <v>2.8821717055802663</v>
      </c>
      <c r="J352" s="2">
        <f t="shared" si="17"/>
        <v>3.6020750925804834</v>
      </c>
    </row>
    <row r="353" spans="1:10" x14ac:dyDescent="0.55000000000000004">
      <c r="B353" s="2" t="s">
        <v>61</v>
      </c>
      <c r="C353" s="2" t="s">
        <v>22</v>
      </c>
      <c r="D353" s="2">
        <v>0.96591400000000005</v>
      </c>
      <c r="E353" s="2">
        <v>0.91531600000000002</v>
      </c>
      <c r="F353" s="2">
        <v>0.97333400000000003</v>
      </c>
      <c r="G353" s="2">
        <v>0.96680100000000002</v>
      </c>
      <c r="H353" s="2">
        <f t="shared" si="15"/>
        <v>0.95534125000000003</v>
      </c>
      <c r="I353" s="2">
        <f xml:space="preserve"> _xlfn.STDEV.S(D353:G353) / SQRT(COUNT(D353:G353))</f>
        <v>1.3443922427222154E-2</v>
      </c>
      <c r="J353" s="2">
        <f>I353*$J$2</f>
        <v>1.6801919895307379E-2</v>
      </c>
    </row>
    <row r="354" spans="1:10" x14ac:dyDescent="0.55000000000000004">
      <c r="C354" s="2" t="s">
        <v>24</v>
      </c>
      <c r="D354" s="2">
        <v>0.26777699999999999</v>
      </c>
      <c r="E354" s="2">
        <v>0.408771</v>
      </c>
      <c r="F354" s="2">
        <v>0.38560699999999998</v>
      </c>
      <c r="G354" s="2">
        <v>0.38777400000000001</v>
      </c>
      <c r="H354" s="2">
        <f t="shared" si="15"/>
        <v>0.36248225000000001</v>
      </c>
      <c r="I354" s="2">
        <f t="shared" ref="I354:I355" si="18" xml:space="preserve"> _xlfn.STDEV.S(D354:G354) / SQRT(COUNT(D354:G354))</f>
        <v>3.1997603340914428E-2</v>
      </c>
      <c r="J354" s="2">
        <f t="shared" ref="J354:J355" si="19">I354*$J$2</f>
        <v>3.9989904069012823E-2</v>
      </c>
    </row>
    <row r="355" spans="1:10" x14ac:dyDescent="0.55000000000000004">
      <c r="C355" s="2" t="s">
        <v>26</v>
      </c>
      <c r="D355" s="2">
        <v>0.81476199999999999</v>
      </c>
      <c r="E355" s="2">
        <v>0.75739500000000004</v>
      </c>
      <c r="F355" s="2">
        <v>0.83823800000000004</v>
      </c>
      <c r="G355" s="2">
        <v>0.86822900000000003</v>
      </c>
      <c r="H355" s="2">
        <f t="shared" si="15"/>
        <v>0.81965600000000005</v>
      </c>
      <c r="I355" s="2">
        <f t="shared" si="18"/>
        <v>2.346097896863357E-2</v>
      </c>
      <c r="J355" s="2">
        <f t="shared" si="19"/>
        <v>2.932101783764321E-2</v>
      </c>
    </row>
    <row r="356" spans="1:10" x14ac:dyDescent="0.55000000000000004">
      <c r="A356" s="2" t="s">
        <v>20</v>
      </c>
      <c r="B356" s="2" t="s">
        <v>21</v>
      </c>
      <c r="C356" s="2" t="s">
        <v>22</v>
      </c>
      <c r="D356" s="2">
        <v>0.98642399999999997</v>
      </c>
      <c r="E356" s="2">
        <v>0.97400299999999995</v>
      </c>
      <c r="F356" s="2">
        <v>0.99275199999999997</v>
      </c>
      <c r="G356" s="2">
        <v>0.99212800000000001</v>
      </c>
      <c r="H356" s="2">
        <f t="shared" si="15"/>
        <v>0.98632675000000003</v>
      </c>
      <c r="I356" s="2">
        <f xml:space="preserve"> _xlfn.STDEV.S(D356:G356) / SQRT(COUNT(D356:G356))</f>
        <v>4.3476297253982818E-3</v>
      </c>
      <c r="J356" s="2">
        <f>I356*$J$2</f>
        <v>5.4335724395943854E-3</v>
      </c>
    </row>
    <row r="357" spans="1:10" x14ac:dyDescent="0.55000000000000004">
      <c r="A357" s="2">
        <v>1.5</v>
      </c>
      <c r="C357" s="2" t="s">
        <v>23</v>
      </c>
      <c r="D357" s="2">
        <v>3.3000000000000003E-5</v>
      </c>
      <c r="E357" s="2">
        <v>5.04E-4</v>
      </c>
      <c r="F357" s="2">
        <v>3.6000000000000001E-5</v>
      </c>
      <c r="G357" s="2">
        <v>5.0000000000000002E-5</v>
      </c>
      <c r="H357" s="2">
        <f>(1/COUNT(D357:G357))*SQRT(SUMSQ(D357:G357))</f>
        <v>1.2720578799724482E-4</v>
      </c>
    </row>
    <row r="358" spans="1:10" x14ac:dyDescent="0.55000000000000004">
      <c r="C358" s="2" t="s">
        <v>24</v>
      </c>
      <c r="D358" s="2">
        <v>0.17543800000000001</v>
      </c>
      <c r="E358" s="2">
        <v>0.23100399999999999</v>
      </c>
      <c r="F358" s="2">
        <v>0.22825599999999999</v>
      </c>
      <c r="G358" s="2">
        <v>0.22165299999999999</v>
      </c>
      <c r="H358" s="2">
        <f>AVERAGE(D358:G358)</f>
        <v>0.21408774999999999</v>
      </c>
      <c r="I358" s="2">
        <f xml:space="preserve"> _xlfn.STDEV.S(D358:G358) / SQRT(COUNT(D358:G358))</f>
        <v>1.3031804060163724E-2</v>
      </c>
      <c r="J358" s="2">
        <f>I358*$J$2</f>
        <v>1.6286863383475708E-2</v>
      </c>
    </row>
    <row r="359" spans="1:10" x14ac:dyDescent="0.55000000000000004">
      <c r="C359" s="2" t="s">
        <v>25</v>
      </c>
      <c r="D359" s="2">
        <v>1.76E-4</v>
      </c>
      <c r="E359" s="2">
        <v>2.0379999999999999E-3</v>
      </c>
      <c r="F359" s="2">
        <v>4.6500000000000003E-4</v>
      </c>
      <c r="G359" s="2">
        <v>4.2299999999999998E-4</v>
      </c>
      <c r="H359" s="2">
        <f>(1/COUNT(D359:G359))*SQRT(SUMSQ(D359:G359))</f>
        <v>5.3499848130625566E-4</v>
      </c>
    </row>
    <row r="360" spans="1:10" x14ac:dyDescent="0.55000000000000004">
      <c r="C360" s="2" t="s">
        <v>26</v>
      </c>
      <c r="D360" s="2">
        <v>0.88204000000000005</v>
      </c>
      <c r="E360" s="2">
        <v>0.85608399999999996</v>
      </c>
      <c r="F360" s="2">
        <v>0.91634300000000002</v>
      </c>
      <c r="G360" s="2">
        <v>0.93638600000000005</v>
      </c>
      <c r="H360" s="2">
        <f>AVERAGE(D360:G360)</f>
        <v>0.89771325000000002</v>
      </c>
      <c r="I360" s="2">
        <f xml:space="preserve"> _xlfn.STDEV.S(D360:G360) / SQRT(COUNT(D360:G360))</f>
        <v>1.7844920843081202E-2</v>
      </c>
      <c r="J360" s="2">
        <f>I360*$J$2</f>
        <v>2.2302191355733927E-2</v>
      </c>
    </row>
    <row r="361" spans="1:10" x14ac:dyDescent="0.55000000000000004">
      <c r="C361" s="2" t="s">
        <v>27</v>
      </c>
      <c r="D361" s="2">
        <v>8.0000000000000007E-5</v>
      </c>
      <c r="E361" s="2">
        <v>1.17E-3</v>
      </c>
      <c r="F361" s="2">
        <v>1.16E-4</v>
      </c>
      <c r="G361" s="2">
        <v>1.6100000000000001E-4</v>
      </c>
      <c r="H361" s="2">
        <f>(1/COUNT(D361:G361))*SQRT(SUMSQ(D361:G361))</f>
        <v>2.9735048764042749E-4</v>
      </c>
    </row>
    <row r="362" spans="1:10" x14ac:dyDescent="0.55000000000000004">
      <c r="C362" s="2" t="s">
        <v>28</v>
      </c>
      <c r="D362" s="2">
        <v>1.1074299999999999</v>
      </c>
      <c r="E362" s="2">
        <v>1.455894</v>
      </c>
      <c r="F362" s="2">
        <v>1.5866530000000001</v>
      </c>
      <c r="G362" s="2">
        <v>1.5869409999999999</v>
      </c>
      <c r="H362" s="2">
        <f>AVERAGE(D362:G362)</f>
        <v>1.4342294999999998</v>
      </c>
      <c r="I362" s="2">
        <f xml:space="preserve"> _xlfn.STDEV.S(D362:G362) / SQRT(COUNT(D362:G362))</f>
        <v>0.11321844275006751</v>
      </c>
      <c r="J362" s="2">
        <f>I362*$J$2</f>
        <v>0.14149793083499204</v>
      </c>
    </row>
    <row r="363" spans="1:10" x14ac:dyDescent="0.55000000000000004">
      <c r="C363" s="2" t="s">
        <v>29</v>
      </c>
      <c r="D363" s="2">
        <v>1.4790000000000001E-3</v>
      </c>
      <c r="E363" s="2">
        <v>1.286E-2</v>
      </c>
      <c r="F363" s="2">
        <v>1.0089000000000001E-2</v>
      </c>
      <c r="G363" s="2">
        <v>6.0070000000000002E-3</v>
      </c>
      <c r="H363" s="2">
        <f>(1/COUNT(D363:G363))*SQRT(SUMSQ(D363:G363))</f>
        <v>4.3692033813385253E-3</v>
      </c>
    </row>
    <row r="364" spans="1:10" x14ac:dyDescent="0.55000000000000004">
      <c r="C364" s="2" t="s">
        <v>30</v>
      </c>
      <c r="D364" s="2">
        <v>16.617882999999999</v>
      </c>
      <c r="E364" s="2">
        <v>22.059847000000001</v>
      </c>
      <c r="F364" s="2">
        <v>18.254161</v>
      </c>
      <c r="G364" s="2">
        <v>28.524187999999999</v>
      </c>
      <c r="H364" s="2">
        <f>AVERAGE(D364:G364)</f>
        <v>21.364019749999997</v>
      </c>
      <c r="I364" s="2">
        <f xml:space="preserve"> _xlfn.STDEV.S(D364:G364) / SQRT(COUNT(D364:G364))</f>
        <v>2.6449514870283748</v>
      </c>
      <c r="J364" s="2">
        <f>I364*$J$2</f>
        <v>3.3056024573631331</v>
      </c>
    </row>
    <row r="365" spans="1:10" x14ac:dyDescent="0.55000000000000004">
      <c r="C365" s="2" t="s">
        <v>31</v>
      </c>
      <c r="D365" s="2">
        <v>1.0349000000000001E-2</v>
      </c>
      <c r="E365" s="2">
        <v>0.11401600000000001</v>
      </c>
      <c r="F365" s="2">
        <v>4.6196000000000001E-2</v>
      </c>
      <c r="G365" s="2">
        <v>4.9472000000000002E-2</v>
      </c>
      <c r="H365" s="2">
        <f>(1/COUNT(D365:G365))*SQRT(SUMSQ(D365:G365))</f>
        <v>3.3249341400432279E-2</v>
      </c>
    </row>
    <row r="366" spans="1:10" x14ac:dyDescent="0.55000000000000004">
      <c r="B366" s="2" t="s">
        <v>32</v>
      </c>
      <c r="C366" s="2" t="s">
        <v>22</v>
      </c>
      <c r="D366" s="2">
        <v>0.98633300000000002</v>
      </c>
      <c r="E366" s="2">
        <v>0.97515799999999997</v>
      </c>
      <c r="F366" s="2">
        <v>0.99255499999999997</v>
      </c>
      <c r="G366" s="2">
        <v>0.99167499999999997</v>
      </c>
      <c r="H366" s="2">
        <f>AVERAGE(D366:G366)</f>
        <v>0.98643024999999995</v>
      </c>
      <c r="I366" s="2">
        <f xml:space="preserve"> _xlfn.STDEV.S(D366:G366) / SQRT(COUNT(D366:G366))</f>
        <v>4.0009690779234967E-3</v>
      </c>
      <c r="J366" s="2">
        <f>I366*$J$2</f>
        <v>5.0003235525037572E-3</v>
      </c>
    </row>
    <row r="367" spans="1:10" x14ac:dyDescent="0.55000000000000004">
      <c r="C367" s="2" t="s">
        <v>23</v>
      </c>
      <c r="D367" s="2">
        <v>1.2300000000000001E-4</v>
      </c>
      <c r="E367" s="2">
        <v>9.1600000000000004E-4</v>
      </c>
      <c r="F367" s="2">
        <v>9.7999999999999997E-5</v>
      </c>
      <c r="G367" s="2">
        <v>8.2999999999999998E-5</v>
      </c>
      <c r="H367" s="2">
        <f>(1/COUNT(D367:G367))*SQRT(SUMSQ(D367:G367))</f>
        <v>2.3327532016910834E-4</v>
      </c>
    </row>
    <row r="368" spans="1:10" x14ac:dyDescent="0.55000000000000004">
      <c r="C368" s="2" t="s">
        <v>24</v>
      </c>
      <c r="D368" s="2">
        <v>0.17586599999999999</v>
      </c>
      <c r="E368" s="2">
        <v>0.22689000000000001</v>
      </c>
      <c r="F368" s="2">
        <v>0.230154</v>
      </c>
      <c r="G368" s="2">
        <v>0.22436600000000001</v>
      </c>
      <c r="H368" s="2">
        <f>AVERAGE(D368:G368)</f>
        <v>0.21431899999999998</v>
      </c>
      <c r="I368" s="2">
        <f xml:space="preserve"> _xlfn.STDEV.S(D368:G368) / SQRT(COUNT(D368:G368))</f>
        <v>1.2872298046580565E-2</v>
      </c>
      <c r="J368" s="2">
        <f>I368*$J$2</f>
        <v>1.6087516260078344E-2</v>
      </c>
    </row>
    <row r="369" spans="2:10" x14ac:dyDescent="0.55000000000000004">
      <c r="C369" s="2" t="s">
        <v>25</v>
      </c>
      <c r="D369" s="2">
        <v>7.0399999999999998E-4</v>
      </c>
      <c r="E369" s="2">
        <v>3.2720000000000002E-3</v>
      </c>
      <c r="F369" s="2">
        <v>7.9900000000000001E-4</v>
      </c>
      <c r="G369" s="2">
        <v>5.2800000000000004E-4</v>
      </c>
      <c r="H369" s="2">
        <f>(1/COUNT(D369:G369))*SQRT(SUMSQ(D369:G369))</f>
        <v>8.7030113322918298E-4</v>
      </c>
    </row>
    <row r="370" spans="2:10" x14ac:dyDescent="0.55000000000000004">
      <c r="C370" s="2" t="s">
        <v>26</v>
      </c>
      <c r="D370" s="2">
        <v>0.88094899999999998</v>
      </c>
      <c r="E370" s="2">
        <v>0.85782400000000003</v>
      </c>
      <c r="F370" s="2">
        <v>0.91516600000000004</v>
      </c>
      <c r="G370" s="2">
        <v>0.93471800000000005</v>
      </c>
      <c r="H370" s="2">
        <f>AVERAGE(D370:G370)</f>
        <v>0.89716425000000011</v>
      </c>
      <c r="I370" s="2">
        <f xml:space="preserve"> _xlfn.STDEV.S(D370:G370) / SQRT(COUNT(D370:G370))</f>
        <v>1.7187536047840995E-2</v>
      </c>
      <c r="J370" s="2">
        <f>I370*$J$2</f>
        <v>2.1480606232060964E-2</v>
      </c>
    </row>
    <row r="371" spans="2:10" x14ac:dyDescent="0.55000000000000004">
      <c r="C371" s="2" t="s">
        <v>27</v>
      </c>
      <c r="D371" s="2">
        <v>5.1099999999999995E-4</v>
      </c>
      <c r="E371" s="2">
        <v>1.9550000000000001E-3</v>
      </c>
      <c r="F371" s="2">
        <v>4.7399999999999997E-4</v>
      </c>
      <c r="G371" s="2">
        <v>2.4800000000000001E-4</v>
      </c>
      <c r="H371" s="2">
        <f>(1/COUNT(D371:G371))*SQRT(SUMSQ(D371:G371))</f>
        <v>5.2257332021449394E-4</v>
      </c>
    </row>
    <row r="372" spans="2:10" x14ac:dyDescent="0.55000000000000004">
      <c r="C372" s="2" t="s">
        <v>28</v>
      </c>
      <c r="D372" s="2">
        <v>1.1216219999999999</v>
      </c>
      <c r="E372" s="2">
        <v>1.48499</v>
      </c>
      <c r="F372" s="2">
        <v>1.6181540000000001</v>
      </c>
      <c r="G372" s="2">
        <v>1.6153770000000001</v>
      </c>
      <c r="H372" s="2">
        <f>AVERAGE(D372:G372)</f>
        <v>1.4600357500000003</v>
      </c>
      <c r="I372" s="2">
        <f xml:space="preserve"> _xlfn.STDEV.S(D372:G372) / SQRT(COUNT(D372:G372))</f>
        <v>0.11700386949325919</v>
      </c>
      <c r="J372" s="2">
        <f>I372*$J$2</f>
        <v>0.14622887429684026</v>
      </c>
    </row>
    <row r="373" spans="2:10" x14ac:dyDescent="0.55000000000000004">
      <c r="C373" s="2" t="s">
        <v>29</v>
      </c>
      <c r="D373" s="2">
        <v>7.1710000000000003E-3</v>
      </c>
      <c r="E373" s="2">
        <v>2.2804000000000001E-2</v>
      </c>
      <c r="F373" s="2">
        <v>1.5521999999999999E-2</v>
      </c>
      <c r="G373" s="2">
        <v>8.2059999999999998E-3</v>
      </c>
      <c r="H373" s="2">
        <f>(1/COUNT(D373:G373))*SQRT(SUMSQ(D373:G373))</f>
        <v>7.4150041174971711E-3</v>
      </c>
    </row>
    <row r="374" spans="2:10" x14ac:dyDescent="0.55000000000000004">
      <c r="C374" s="2" t="s">
        <v>30</v>
      </c>
      <c r="D374" s="2">
        <v>17.261538999999999</v>
      </c>
      <c r="E374" s="2">
        <v>22.657042000000001</v>
      </c>
      <c r="F374" s="2">
        <v>18.596270000000001</v>
      </c>
      <c r="G374" s="2">
        <v>28.772988000000002</v>
      </c>
      <c r="H374" s="2">
        <f>AVERAGE(D374:G374)</f>
        <v>21.821959750000001</v>
      </c>
      <c r="I374" s="2">
        <f xml:space="preserve"> _xlfn.STDEV.S(D374:G374) / SQRT(COUNT(D374:G374))</f>
        <v>2.5854829960900401</v>
      </c>
      <c r="J374" s="2">
        <f>I374*$J$2</f>
        <v>3.2312800394490355</v>
      </c>
    </row>
    <row r="375" spans="2:10" x14ac:dyDescent="0.55000000000000004">
      <c r="C375" s="2" t="s">
        <v>31</v>
      </c>
      <c r="D375" s="2">
        <v>0.20438600000000001</v>
      </c>
      <c r="E375" s="2">
        <v>0.13535800000000001</v>
      </c>
      <c r="F375" s="2">
        <v>0.10341</v>
      </c>
      <c r="G375" s="2">
        <v>9.2175000000000007E-2</v>
      </c>
      <c r="H375" s="2">
        <f>(1/COUNT(D375:G375))*SQRT(SUMSQ(D375:G375))</f>
        <v>7.0394106591478961E-2</v>
      </c>
    </row>
    <row r="376" spans="2:10" x14ac:dyDescent="0.55000000000000004">
      <c r="B376" s="2" t="s">
        <v>33</v>
      </c>
      <c r="C376" s="2" t="s">
        <v>22</v>
      </c>
      <c r="D376" s="2">
        <v>0.98641800000000002</v>
      </c>
      <c r="E376" s="2">
        <v>0.973831</v>
      </c>
      <c r="F376" s="2">
        <v>0.992815</v>
      </c>
      <c r="G376" s="2">
        <v>0.99214899999999995</v>
      </c>
      <c r="H376" s="2">
        <f>AVERAGE(D376:G376)</f>
        <v>0.98630325000000008</v>
      </c>
      <c r="I376" s="2">
        <f xml:space="preserve"> _xlfn.STDEV.S(D376:G376) / SQRT(COUNT(D376:G376))</f>
        <v>4.3983507207247521E-3</v>
      </c>
      <c r="J376" s="2">
        <f>I376*$J$2</f>
        <v>5.4969624290189005E-3</v>
      </c>
    </row>
    <row r="377" spans="2:10" x14ac:dyDescent="0.55000000000000004">
      <c r="C377" s="2" t="s">
        <v>23</v>
      </c>
      <c r="D377" s="2">
        <v>1.8E-5</v>
      </c>
      <c r="E377" s="2">
        <v>2.12E-4</v>
      </c>
      <c r="F377" s="2">
        <v>2.9E-5</v>
      </c>
      <c r="G377" s="2">
        <v>2.9E-5</v>
      </c>
      <c r="H377" s="2">
        <f>(1/COUNT(D377:G377))*SQRT(SUMSQ(D377:G377))</f>
        <v>5.4169871700051127E-5</v>
      </c>
    </row>
    <row r="378" spans="2:10" x14ac:dyDescent="0.55000000000000004">
      <c r="C378" s="2" t="s">
        <v>24</v>
      </c>
      <c r="D378" s="2">
        <v>0.175542</v>
      </c>
      <c r="E378" s="2">
        <v>0.231017</v>
      </c>
      <c r="F378" s="2">
        <v>0.22815099999999999</v>
      </c>
      <c r="G378" s="2">
        <v>0.221414</v>
      </c>
      <c r="H378" s="2">
        <f>AVERAGE(D378:G378)</f>
        <v>0.214031</v>
      </c>
      <c r="I378" s="2">
        <f xml:space="preserve"> _xlfn.STDEV.S(D378:G378) / SQRT(COUNT(D378:G378))</f>
        <v>1.2986564871692072E-2</v>
      </c>
      <c r="J378" s="2">
        <f>I378*$J$2</f>
        <v>1.6230324436234365E-2</v>
      </c>
    </row>
    <row r="379" spans="2:10" x14ac:dyDescent="0.55000000000000004">
      <c r="C379" s="2" t="s">
        <v>25</v>
      </c>
      <c r="D379" s="2">
        <v>1.15E-4</v>
      </c>
      <c r="E379" s="2">
        <v>8.83E-4</v>
      </c>
      <c r="F379" s="2">
        <v>2.1100000000000001E-4</v>
      </c>
      <c r="G379" s="2">
        <v>2.0699999999999999E-4</v>
      </c>
      <c r="H379" s="2">
        <f>(1/COUNT(D379:G379))*SQRT(SUMSQ(D379:G379))</f>
        <v>2.3455862806556489E-4</v>
      </c>
    </row>
    <row r="380" spans="2:10" x14ac:dyDescent="0.55000000000000004">
      <c r="C380" s="2" t="s">
        <v>26</v>
      </c>
      <c r="D380" s="2">
        <v>0.88203900000000002</v>
      </c>
      <c r="E380" s="2">
        <v>0.85592400000000002</v>
      </c>
      <c r="F380" s="2">
        <v>0.91668099999999997</v>
      </c>
      <c r="G380" s="2">
        <v>0.93648900000000002</v>
      </c>
      <c r="H380" s="2">
        <f>AVERAGE(D380:G380)</f>
        <v>0.89778325000000003</v>
      </c>
      <c r="I380" s="2">
        <f xml:space="preserve"> _xlfn.STDEV.S(D380:G380) / SQRT(COUNT(D380:G380))</f>
        <v>1.7924234657649956E-2</v>
      </c>
      <c r="J380" s="2">
        <f>I380*$J$2</f>
        <v>2.2401316024608618E-2</v>
      </c>
    </row>
    <row r="381" spans="2:10" x14ac:dyDescent="0.55000000000000004">
      <c r="C381" s="2" t="s">
        <v>27</v>
      </c>
      <c r="D381" s="2">
        <v>7.7000000000000001E-5</v>
      </c>
      <c r="E381" s="2">
        <v>5.1800000000000001E-4</v>
      </c>
      <c r="F381" s="2">
        <v>1.3200000000000001E-4</v>
      </c>
      <c r="G381" s="2">
        <v>9.2999999999999997E-5</v>
      </c>
      <c r="H381" s="2">
        <f>(1/COUNT(D381:G381))*SQRT(SUMSQ(D381:G381))</f>
        <v>1.3700501815627048E-4</v>
      </c>
    </row>
    <row r="382" spans="2:10" x14ac:dyDescent="0.55000000000000004">
      <c r="C382" s="2" t="s">
        <v>28</v>
      </c>
      <c r="D382" s="2">
        <v>1.106908</v>
      </c>
      <c r="E382" s="2">
        <v>1.4559550000000001</v>
      </c>
      <c r="F382" s="2">
        <v>1.5866439999999999</v>
      </c>
      <c r="G382" s="2">
        <v>1.5839030000000001</v>
      </c>
      <c r="H382" s="2">
        <f>AVERAGE(D382:G382)</f>
        <v>1.4333525</v>
      </c>
      <c r="I382" s="2">
        <f xml:space="preserve"> _xlfn.STDEV.S(D382:G382) / SQRT(COUNT(D382:G382))</f>
        <v>0.11300465388978427</v>
      </c>
      <c r="J382" s="2">
        <f>I382*$J$2</f>
        <v>0.14123074219831006</v>
      </c>
    </row>
    <row r="383" spans="2:10" x14ac:dyDescent="0.55000000000000004">
      <c r="C383" s="2" t="s">
        <v>29</v>
      </c>
      <c r="D383" s="2">
        <v>1.2570000000000001E-3</v>
      </c>
      <c r="E383" s="2">
        <v>6.6400000000000001E-3</v>
      </c>
      <c r="F383" s="2">
        <v>4.6189999999999998E-3</v>
      </c>
      <c r="G383" s="2">
        <v>2.947E-3</v>
      </c>
      <c r="H383" s="2">
        <f>(1/COUNT(D383:G383))*SQRT(SUMSQ(D383:G383))</f>
        <v>2.1749945258551801E-3</v>
      </c>
    </row>
    <row r="384" spans="2:10" x14ac:dyDescent="0.55000000000000004">
      <c r="C384" s="2" t="s">
        <v>30</v>
      </c>
      <c r="D384" s="2">
        <v>16.642831999999999</v>
      </c>
      <c r="E384" s="2">
        <v>22.082263999999999</v>
      </c>
      <c r="F384" s="2">
        <v>18.287887999999999</v>
      </c>
      <c r="G384" s="2">
        <v>28.484722000000001</v>
      </c>
      <c r="H384" s="2">
        <f>AVERAGE(D384:G384)</f>
        <v>21.374426499999998</v>
      </c>
      <c r="I384" s="2">
        <f xml:space="preserve"> _xlfn.STDEV.S(D384:G384) / SQRT(COUNT(D384:G384))</f>
        <v>2.6295126679060274</v>
      </c>
      <c r="J384" s="2">
        <f>I384*$J$2</f>
        <v>3.2863073592564551</v>
      </c>
    </row>
    <row r="385" spans="2:10" x14ac:dyDescent="0.55000000000000004">
      <c r="C385" s="2" t="s">
        <v>31</v>
      </c>
      <c r="D385" s="2">
        <v>2.7725E-2</v>
      </c>
      <c r="E385" s="2">
        <v>4.2027000000000002E-2</v>
      </c>
      <c r="F385" s="2">
        <v>1.6965999999999998E-2</v>
      </c>
      <c r="G385" s="2">
        <v>2.7827999999999999E-2</v>
      </c>
      <c r="H385" s="2">
        <f>(1/COUNT(D385:G385))*SQRT(SUMSQ(D385:G385))</f>
        <v>1.4994138633979612E-2</v>
      </c>
    </row>
    <row r="386" spans="2:10" x14ac:dyDescent="0.55000000000000004">
      <c r="B386" s="2" t="s">
        <v>34</v>
      </c>
      <c r="C386" s="2" t="s">
        <v>22</v>
      </c>
      <c r="D386" s="2">
        <v>0.98627500000000001</v>
      </c>
      <c r="E386" s="2">
        <v>0.97234399999999999</v>
      </c>
      <c r="F386" s="2">
        <v>0.99290199999999995</v>
      </c>
      <c r="G386" s="2">
        <v>0.99178200000000005</v>
      </c>
      <c r="H386" s="2">
        <f>AVERAGE(D386:G386)</f>
        <v>0.98582575000000006</v>
      </c>
      <c r="I386" s="2">
        <f xml:space="preserve"> _xlfn.STDEV.S(D386:G386) / SQRT(COUNT(D386:G386))</f>
        <v>4.7214902021678173E-3</v>
      </c>
      <c r="J386" s="2">
        <f>I386*$J$2</f>
        <v>5.9008150777982334E-3</v>
      </c>
    </row>
    <row r="387" spans="2:10" x14ac:dyDescent="0.55000000000000004">
      <c r="C387" s="2" t="s">
        <v>23</v>
      </c>
      <c r="D387" s="2">
        <v>1.7799999999999999E-4</v>
      </c>
      <c r="E387" s="2">
        <v>1.3829999999999999E-3</v>
      </c>
      <c r="F387" s="2">
        <v>2.2000000000000001E-4</v>
      </c>
      <c r="G387" s="2">
        <v>3.9300000000000001E-4</v>
      </c>
      <c r="H387" s="2">
        <f>(1/COUNT(D387:G387))*SQRT(SUMSQ(D387:G387))</f>
        <v>3.6633505838235025E-4</v>
      </c>
    </row>
    <row r="388" spans="2:10" x14ac:dyDescent="0.55000000000000004">
      <c r="C388" s="2" t="s">
        <v>24</v>
      </c>
      <c r="D388" s="2">
        <v>0.17590600000000001</v>
      </c>
      <c r="E388" s="2">
        <v>0.237814</v>
      </c>
      <c r="F388" s="2">
        <v>0.23151099999999999</v>
      </c>
      <c r="G388" s="2">
        <v>0.22536</v>
      </c>
      <c r="H388" s="2">
        <f>AVERAGE(D388:G388)</f>
        <v>0.21764775</v>
      </c>
      <c r="I388" s="2">
        <f xml:space="preserve"> _xlfn.STDEV.S(D388:G388) / SQRT(COUNT(D388:G388))</f>
        <v>1.4144256292308288E-2</v>
      </c>
      <c r="J388" s="2">
        <f>I388*$J$2</f>
        <v>1.7677181826105323E-2</v>
      </c>
    </row>
    <row r="389" spans="2:10" x14ac:dyDescent="0.55000000000000004">
      <c r="C389" s="2" t="s">
        <v>25</v>
      </c>
      <c r="D389" s="2">
        <v>9.8499999999999998E-4</v>
      </c>
      <c r="E389" s="2">
        <v>5.0330000000000001E-3</v>
      </c>
      <c r="F389" s="2">
        <v>1.761E-3</v>
      </c>
      <c r="G389" s="2">
        <v>2.8E-3</v>
      </c>
      <c r="H389" s="2">
        <f>(1/COUNT(D389:G389))*SQRT(SUMSQ(D389:G389))</f>
        <v>1.5256645068625015E-3</v>
      </c>
    </row>
    <row r="390" spans="2:10" x14ac:dyDescent="0.55000000000000004">
      <c r="C390" s="2" t="s">
        <v>26</v>
      </c>
      <c r="D390" s="2">
        <v>0.88122100000000003</v>
      </c>
      <c r="E390" s="2">
        <v>0.851684</v>
      </c>
      <c r="F390" s="2">
        <v>0.91743699999999995</v>
      </c>
      <c r="G390" s="2">
        <v>0.93498800000000004</v>
      </c>
      <c r="H390" s="2">
        <f>AVERAGE(D390:G390)</f>
        <v>0.89633250000000009</v>
      </c>
      <c r="I390" s="2">
        <f xml:space="preserve"> _xlfn.STDEV.S(D390:G390) / SQRT(COUNT(D390:G390))</f>
        <v>1.8622328857673343E-2</v>
      </c>
      <c r="J390" s="2">
        <f>I390*$J$2</f>
        <v>2.3273778871048534E-2</v>
      </c>
    </row>
    <row r="391" spans="2:10" x14ac:dyDescent="0.55000000000000004">
      <c r="C391" s="2" t="s">
        <v>27</v>
      </c>
      <c r="D391" s="2">
        <v>7.1000000000000002E-4</v>
      </c>
      <c r="E391" s="2">
        <v>2.6679999999999998E-3</v>
      </c>
      <c r="F391" s="2">
        <v>1.0579999999999999E-3</v>
      </c>
      <c r="G391" s="2">
        <v>1.237E-3</v>
      </c>
      <c r="H391" s="2">
        <f>(1/COUNT(D391:G391))*SQRT(SUMSQ(D391:G391))</f>
        <v>8.0124344771111849E-4</v>
      </c>
    </row>
    <row r="392" spans="2:10" x14ac:dyDescent="0.55000000000000004">
      <c r="C392" s="2" t="s">
        <v>28</v>
      </c>
      <c r="D392" s="2">
        <v>1.11561</v>
      </c>
      <c r="E392" s="2">
        <v>1.5414840000000001</v>
      </c>
      <c r="F392" s="2">
        <v>1.66734</v>
      </c>
      <c r="G392" s="2">
        <v>1.6319939999999999</v>
      </c>
      <c r="H392" s="2">
        <f>AVERAGE(D392:G392)</f>
        <v>1.489107</v>
      </c>
      <c r="I392" s="2">
        <f xml:space="preserve"> _xlfn.STDEV.S(D392:G392) / SQRT(COUNT(D392:G392))</f>
        <v>0.12728807753674398</v>
      </c>
      <c r="J392" s="2">
        <f>I392*$J$2</f>
        <v>0.15908185233719413</v>
      </c>
    </row>
    <row r="393" spans="2:10" x14ac:dyDescent="0.55000000000000004">
      <c r="C393" s="2" t="s">
        <v>29</v>
      </c>
      <c r="D393" s="2">
        <v>8.6789999999999992E-3</v>
      </c>
      <c r="E393" s="2">
        <v>3.4713000000000001E-2</v>
      </c>
      <c r="F393" s="2">
        <v>2.8872999999999999E-2</v>
      </c>
      <c r="G393" s="2">
        <v>3.3603000000000001E-2</v>
      </c>
      <c r="H393" s="2">
        <f>(1/COUNT(D393:G393))*SQRT(SUMSQ(D393:G393))</f>
        <v>1.4237119503256268E-2</v>
      </c>
    </row>
    <row r="394" spans="2:10" x14ac:dyDescent="0.55000000000000004">
      <c r="C394" s="2" t="s">
        <v>30</v>
      </c>
      <c r="D394" s="2">
        <v>17.178971000000001</v>
      </c>
      <c r="E394" s="2">
        <v>22.898423000000001</v>
      </c>
      <c r="F394" s="2">
        <v>18.81194</v>
      </c>
      <c r="G394" s="2">
        <v>28.592134000000001</v>
      </c>
      <c r="H394" s="2">
        <f>AVERAGE(D394:G394)</f>
        <v>21.870367000000002</v>
      </c>
      <c r="I394" s="2">
        <f xml:space="preserve"> _xlfn.STDEV.S(D394:G394) / SQRT(COUNT(D394:G394))</f>
        <v>2.5430005715782915</v>
      </c>
      <c r="J394" s="2">
        <f>I394*$J$2</f>
        <v>3.1781864354455256</v>
      </c>
    </row>
    <row r="395" spans="2:10" x14ac:dyDescent="0.55000000000000004">
      <c r="C395" s="2" t="s">
        <v>31</v>
      </c>
      <c r="D395" s="2">
        <v>0.19264999999999999</v>
      </c>
      <c r="E395" s="2">
        <v>0.135378</v>
      </c>
      <c r="F395" s="2">
        <v>0.11855300000000001</v>
      </c>
      <c r="G395" s="2">
        <v>0.25475999999999999</v>
      </c>
      <c r="H395" s="2">
        <f>(1/COUNT(D395:G395))*SQRT(SUMSQ(D395:G395))</f>
        <v>9.1651069549473885E-2</v>
      </c>
    </row>
    <row r="396" spans="2:10" x14ac:dyDescent="0.55000000000000004">
      <c r="B396" s="2" t="s">
        <v>35</v>
      </c>
      <c r="C396" s="2" t="s">
        <v>22</v>
      </c>
      <c r="D396" s="2">
        <v>0.98311000000000004</v>
      </c>
      <c r="E396" s="2">
        <v>0.95794900000000005</v>
      </c>
      <c r="F396" s="2">
        <v>0.99264799999999997</v>
      </c>
      <c r="G396" s="2">
        <v>0.99174099999999998</v>
      </c>
      <c r="H396" s="2">
        <f>AVERAGE(D396:G396)</f>
        <v>0.98136200000000007</v>
      </c>
      <c r="I396" s="2">
        <f xml:space="preserve"> _xlfn.STDEV.S(D396:G396) / SQRT(COUNT(D396:G396))</f>
        <v>8.094862105063912E-3</v>
      </c>
      <c r="J396" s="2">
        <f>I396*$J$2</f>
        <v>1.0116781422172039E-2</v>
      </c>
    </row>
    <row r="397" spans="2:10" x14ac:dyDescent="0.55000000000000004">
      <c r="C397" s="2" t="s">
        <v>23</v>
      </c>
      <c r="D397" s="2">
        <v>1.6899999999999999E-4</v>
      </c>
      <c r="E397" s="2">
        <v>7.2800000000000002E-4</v>
      </c>
      <c r="F397" s="2">
        <v>7.7000000000000001E-5</v>
      </c>
      <c r="G397" s="2">
        <v>8.7000000000000001E-5</v>
      </c>
      <c r="H397" s="2">
        <f>(1/COUNT(D397:G397))*SQRT(SUMSQ(D397:G397))</f>
        <v>1.890838107824147E-4</v>
      </c>
    </row>
    <row r="398" spans="2:10" x14ac:dyDescent="0.55000000000000004">
      <c r="C398" s="2" t="s">
        <v>24</v>
      </c>
      <c r="D398" s="2">
        <v>0.19103000000000001</v>
      </c>
      <c r="E398" s="2">
        <v>0.28822599999999998</v>
      </c>
      <c r="F398" s="2">
        <v>0.233956</v>
      </c>
      <c r="G398" s="2">
        <v>0.22766600000000001</v>
      </c>
      <c r="H398" s="2">
        <f>AVERAGE(D398:G398)</f>
        <v>0.2352195</v>
      </c>
      <c r="I398" s="2">
        <f xml:space="preserve"> _xlfn.STDEV.S(D398:G398) / SQRT(COUNT(D398:G398))</f>
        <v>2.004381190251325E-2</v>
      </c>
      <c r="J398" s="2">
        <f>I398*$J$2</f>
        <v>2.505031725716541E-2</v>
      </c>
    </row>
    <row r="399" spans="2:10" x14ac:dyDescent="0.55000000000000004">
      <c r="C399" s="2" t="s">
        <v>25</v>
      </c>
      <c r="D399" s="2">
        <v>7.8299999999999995E-4</v>
      </c>
      <c r="E399" s="2">
        <v>2.3059999999999999E-3</v>
      </c>
      <c r="F399" s="2">
        <v>6.4499999999999996E-4</v>
      </c>
      <c r="G399" s="2">
        <v>8.3900000000000001E-4</v>
      </c>
      <c r="H399" s="2">
        <f>(1/COUNT(D399:G399))*SQRT(SUMSQ(D399:G399))</f>
        <v>6.6382749076849775E-4</v>
      </c>
    </row>
    <row r="400" spans="2:10" x14ac:dyDescent="0.55000000000000004">
      <c r="C400" s="2" t="s">
        <v>26</v>
      </c>
      <c r="D400" s="2">
        <v>0.86973299999999998</v>
      </c>
      <c r="E400" s="2">
        <v>0.82404299999999997</v>
      </c>
      <c r="F400" s="2">
        <v>0.915825</v>
      </c>
      <c r="G400" s="2">
        <v>0.93427899999999997</v>
      </c>
      <c r="H400" s="2">
        <f>AVERAGE(D400:G400)</f>
        <v>0.88597000000000004</v>
      </c>
      <c r="I400" s="2">
        <f xml:space="preserve"> _xlfn.STDEV.S(D400:G400) / SQRT(COUNT(D400:G400))</f>
        <v>2.4704375462658437E-2</v>
      </c>
      <c r="J400" s="2">
        <f>I400*$J$2</f>
        <v>3.0874987551750565E-2</v>
      </c>
    </row>
    <row r="401" spans="2:10" x14ac:dyDescent="0.55000000000000004">
      <c r="C401" s="2" t="s">
        <v>27</v>
      </c>
      <c r="D401" s="2">
        <v>6.5700000000000003E-4</v>
      </c>
      <c r="E401" s="2">
        <v>1.2160000000000001E-3</v>
      </c>
      <c r="F401" s="2">
        <v>3.3599999999999998E-4</v>
      </c>
      <c r="G401" s="2">
        <v>3.0699999999999998E-4</v>
      </c>
      <c r="H401" s="2">
        <f>(1/COUNT(D401:G401))*SQRT(SUMSQ(D401:G401))</f>
        <v>3.637865101951968E-4</v>
      </c>
    </row>
    <row r="402" spans="2:10" x14ac:dyDescent="0.55000000000000004">
      <c r="C402" s="2" t="s">
        <v>28</v>
      </c>
      <c r="D402" s="2">
        <v>1.2517290000000001</v>
      </c>
      <c r="E402" s="2">
        <v>1.877068</v>
      </c>
      <c r="F402" s="2">
        <v>1.7073510000000001</v>
      </c>
      <c r="G402" s="2">
        <v>1.6627069999999999</v>
      </c>
      <c r="H402" s="2">
        <f>AVERAGE(D402:G402)</f>
        <v>1.62471375</v>
      </c>
      <c r="I402" s="2">
        <f xml:space="preserve"> _xlfn.STDEV.S(D402:G402) / SQRT(COUNT(D402:G402))</f>
        <v>0.13262500184063819</v>
      </c>
      <c r="J402" s="2">
        <f>I402*$J$2</f>
        <v>0.16575182348042078</v>
      </c>
    </row>
    <row r="403" spans="2:10" x14ac:dyDescent="0.55000000000000004">
      <c r="C403" s="2" t="s">
        <v>29</v>
      </c>
      <c r="D403" s="2">
        <v>7.7640000000000001E-3</v>
      </c>
      <c r="E403" s="2">
        <v>1.5972E-2</v>
      </c>
      <c r="F403" s="2">
        <v>1.1868999999999999E-2</v>
      </c>
      <c r="G403" s="2">
        <v>1.2149999999999999E-2</v>
      </c>
      <c r="H403" s="2">
        <f>(1/COUNT(D403:G403))*SQRT(SUMSQ(D403:G403))</f>
        <v>6.1434932092824836E-3</v>
      </c>
    </row>
    <row r="404" spans="2:10" x14ac:dyDescent="0.55000000000000004">
      <c r="C404" s="2" t="s">
        <v>30</v>
      </c>
      <c r="D404" s="2">
        <v>20.072185000000001</v>
      </c>
      <c r="E404" s="2">
        <v>25.483796999999999</v>
      </c>
      <c r="F404" s="2">
        <v>18.778510000000001</v>
      </c>
      <c r="G404" s="2">
        <v>29.078614000000002</v>
      </c>
      <c r="H404" s="2">
        <f>AVERAGE(D404:G404)</f>
        <v>23.3532765</v>
      </c>
      <c r="I404" s="2">
        <f xml:space="preserve"> _xlfn.STDEV.S(D404:G404) / SQRT(COUNT(D404:G404))</f>
        <v>2.3981356830310459</v>
      </c>
      <c r="J404" s="2">
        <f>I404*$J$2</f>
        <v>2.9971374695510993</v>
      </c>
    </row>
    <row r="405" spans="2:10" x14ac:dyDescent="0.55000000000000004">
      <c r="C405" s="2" t="s">
        <v>31</v>
      </c>
      <c r="D405" s="2">
        <v>0.138158</v>
      </c>
      <c r="E405" s="2">
        <v>0.15273700000000001</v>
      </c>
      <c r="F405" s="2">
        <v>9.2059000000000002E-2</v>
      </c>
      <c r="G405" s="2">
        <v>0.11232</v>
      </c>
      <c r="H405" s="2">
        <f>(1/COUNT(D405:G405))*SQRT(SUMSQ(D405:G405))</f>
        <v>6.3001421617888909E-2</v>
      </c>
    </row>
    <row r="406" spans="2:10" x14ac:dyDescent="0.55000000000000004">
      <c r="B406" s="2" t="s">
        <v>45</v>
      </c>
      <c r="C406" s="2" t="s">
        <v>22</v>
      </c>
      <c r="D406" s="2">
        <v>0.98430799999999996</v>
      </c>
      <c r="E406" s="2">
        <v>0.96271600000000002</v>
      </c>
      <c r="F406" s="2">
        <v>0.99300900000000003</v>
      </c>
      <c r="G406" s="2">
        <v>0.991865</v>
      </c>
      <c r="H406" s="2">
        <f>AVERAGE(D406:G406)</f>
        <v>0.98297449999999986</v>
      </c>
      <c r="I406" s="2">
        <f xml:space="preserve"> _xlfn.STDEV.S(D406:G406) / SQRT(COUNT(D406:G406))</f>
        <v>7.0232781104457662E-3</v>
      </c>
      <c r="J406" s="2">
        <f>I406*$J$2</f>
        <v>8.777539207994239E-3</v>
      </c>
    </row>
    <row r="407" spans="2:10" x14ac:dyDescent="0.55000000000000004">
      <c r="C407" s="2" t="s">
        <v>23</v>
      </c>
      <c r="D407" s="2">
        <v>6.8099999999999996E-4</v>
      </c>
      <c r="E407" s="2">
        <v>2.2980000000000001E-3</v>
      </c>
      <c r="F407" s="2">
        <v>1.9799999999999999E-4</v>
      </c>
      <c r="G407" s="2">
        <v>3.7300000000000001E-4</v>
      </c>
      <c r="H407" s="2">
        <f>(1/COUNT(D407:G407))*SQRT(SUMSQ(D407:G407))</f>
        <v>6.0842511864649378E-4</v>
      </c>
    </row>
    <row r="408" spans="2:10" x14ac:dyDescent="0.55000000000000004">
      <c r="C408" s="2" t="s">
        <v>24</v>
      </c>
      <c r="D408" s="2">
        <v>0.185947</v>
      </c>
      <c r="E408" s="2">
        <v>0.27301199999999998</v>
      </c>
      <c r="F408" s="2">
        <v>0.22491</v>
      </c>
      <c r="G408" s="2">
        <v>0.22056799999999999</v>
      </c>
      <c r="H408" s="2">
        <f>AVERAGE(D408:G408)</f>
        <v>0.22610925000000001</v>
      </c>
      <c r="I408" s="2">
        <f xml:space="preserve"> _xlfn.STDEV.S(D408:G408) / SQRT(COUNT(D408:G408))</f>
        <v>1.790022796584341E-2</v>
      </c>
      <c r="J408" s="2">
        <f>I408*$J$2</f>
        <v>2.2371312986814516E-2</v>
      </c>
    </row>
    <row r="409" spans="2:10" x14ac:dyDescent="0.55000000000000004">
      <c r="C409" s="2" t="s">
        <v>25</v>
      </c>
      <c r="D409" s="2">
        <v>2.9989999999999999E-3</v>
      </c>
      <c r="E409" s="2">
        <v>7.6400000000000001E-3</v>
      </c>
      <c r="F409" s="2">
        <v>2.5730000000000002E-3</v>
      </c>
      <c r="G409" s="2">
        <v>2.5149999999999999E-3</v>
      </c>
      <c r="H409" s="2">
        <f>(1/COUNT(D409:G409))*SQRT(SUMSQ(D409:G409))</f>
        <v>2.2403843838725533E-3</v>
      </c>
    </row>
    <row r="410" spans="2:10" x14ac:dyDescent="0.55000000000000004">
      <c r="C410" s="2" t="s">
        <v>26</v>
      </c>
      <c r="D410" s="2">
        <v>0.87400599999999995</v>
      </c>
      <c r="E410" s="2">
        <v>0.83309800000000001</v>
      </c>
      <c r="F410" s="2">
        <v>0.91774699999999998</v>
      </c>
      <c r="G410" s="2">
        <v>0.936137</v>
      </c>
      <c r="H410" s="2">
        <f>AVERAGE(D410:G410)</f>
        <v>0.89024700000000001</v>
      </c>
      <c r="I410" s="2">
        <f xml:space="preserve"> _xlfn.STDEV.S(D410:G410) / SQRT(COUNT(D410:G410))</f>
        <v>2.3079428758817522E-2</v>
      </c>
      <c r="J410" s="2">
        <f>I410*$J$2</f>
        <v>2.8844164739444279E-2</v>
      </c>
    </row>
    <row r="411" spans="2:10" x14ac:dyDescent="0.55000000000000004">
      <c r="C411" s="2" t="s">
        <v>27</v>
      </c>
      <c r="D411" s="2">
        <v>2.3890000000000001E-3</v>
      </c>
      <c r="E411" s="2">
        <v>3.8769999999999998E-3</v>
      </c>
      <c r="F411" s="2">
        <v>1.436E-3</v>
      </c>
      <c r="G411" s="2">
        <v>1.4469999999999999E-3</v>
      </c>
      <c r="H411" s="2">
        <f>(1/COUNT(D411:G411))*SQRT(SUMSQ(D411:G411))</f>
        <v>1.2473560788724286E-3</v>
      </c>
    </row>
    <row r="412" spans="2:10" x14ac:dyDescent="0.55000000000000004">
      <c r="C412" s="2" t="s">
        <v>28</v>
      </c>
      <c r="D412" s="2">
        <v>1.2391479999999999</v>
      </c>
      <c r="E412" s="2">
        <v>1.8231280000000001</v>
      </c>
      <c r="F412" s="2">
        <v>1.5246230000000001</v>
      </c>
      <c r="G412" s="2">
        <v>1.5199510000000001</v>
      </c>
      <c r="H412" s="2">
        <f>AVERAGE(D412:G412)</f>
        <v>1.5267124999999999</v>
      </c>
      <c r="I412" s="2">
        <f xml:space="preserve"> _xlfn.STDEV.S(D412:G412) / SQRT(COUNT(D412:G412))</f>
        <v>0.11923561205759825</v>
      </c>
      <c r="J412" s="2">
        <f>I412*$J$2</f>
        <v>0.1490180572898219</v>
      </c>
    </row>
    <row r="413" spans="2:10" x14ac:dyDescent="0.55000000000000004">
      <c r="C413" s="2" t="s">
        <v>29</v>
      </c>
      <c r="D413" s="2">
        <v>1.8745999999999999E-2</v>
      </c>
      <c r="E413" s="2">
        <v>5.7965999999999997E-2</v>
      </c>
      <c r="F413" s="2">
        <v>5.9209999999999999E-2</v>
      </c>
      <c r="G413" s="2">
        <v>2.8785000000000002E-2</v>
      </c>
      <c r="H413" s="2">
        <f>(1/COUNT(D413:G413))*SQRT(SUMSQ(D413:G413))</f>
        <v>2.2424693416243174E-2</v>
      </c>
    </row>
    <row r="414" spans="2:10" x14ac:dyDescent="0.55000000000000004">
      <c r="C414" s="2" t="s">
        <v>30</v>
      </c>
      <c r="D414" s="2">
        <v>20.727118999999998</v>
      </c>
      <c r="E414" s="2">
        <v>26.759674</v>
      </c>
      <c r="F414" s="2">
        <v>18.372738999999999</v>
      </c>
      <c r="G414" s="2">
        <v>27.703071000000001</v>
      </c>
      <c r="H414" s="2">
        <f>AVERAGE(D414:G414)</f>
        <v>23.390650749999999</v>
      </c>
      <c r="I414" s="2">
        <f xml:space="preserve"> _xlfn.STDEV.S(D414:G414) / SQRT(COUNT(D414:G414))</f>
        <v>2.2770801073907685</v>
      </c>
      <c r="J414" s="2">
        <f>I414*$J$2</f>
        <v>2.8458448616236871</v>
      </c>
    </row>
    <row r="415" spans="2:10" x14ac:dyDescent="0.55000000000000004">
      <c r="C415" s="2" t="s">
        <v>31</v>
      </c>
      <c r="D415" s="2">
        <v>0.54971000000000003</v>
      </c>
      <c r="E415" s="2">
        <v>0.64727100000000004</v>
      </c>
      <c r="F415" s="2">
        <v>0.35345599999999999</v>
      </c>
      <c r="G415" s="2">
        <v>0.40885899999999997</v>
      </c>
      <c r="H415" s="2">
        <f>(1/COUNT(D415:G415))*SQRT(SUMSQ(D415:G415))</f>
        <v>0.25164926700643303</v>
      </c>
    </row>
    <row r="416" spans="2:10" x14ac:dyDescent="0.55000000000000004">
      <c r="B416" s="2" t="s">
        <v>46</v>
      </c>
      <c r="C416" s="2" t="s">
        <v>22</v>
      </c>
      <c r="H416" s="2" t="e">
        <f>AVERAGE(D416:G416)</f>
        <v>#DIV/0!</v>
      </c>
      <c r="I416" s="2" t="e">
        <f xml:space="preserve"> _xlfn.STDEV.S(D416:G416) / SQRT(COUNT(D416:G416))</f>
        <v>#DIV/0!</v>
      </c>
      <c r="J416" s="2" t="e">
        <f>I416*$J$2</f>
        <v>#DIV/0!</v>
      </c>
    </row>
    <row r="417" spans="2:10" x14ac:dyDescent="0.55000000000000004">
      <c r="C417" s="2" t="s">
        <v>23</v>
      </c>
      <c r="H417" s="2" t="e">
        <f>(1/COUNT(D417:G417))*SQRT(SUMSQ(D417:G417))</f>
        <v>#DIV/0!</v>
      </c>
    </row>
    <row r="418" spans="2:10" x14ac:dyDescent="0.55000000000000004">
      <c r="C418" s="2" t="s">
        <v>24</v>
      </c>
      <c r="H418" s="2" t="e">
        <f>AVERAGE(D418:G418)</f>
        <v>#DIV/0!</v>
      </c>
      <c r="I418" s="2" t="e">
        <f xml:space="preserve"> _xlfn.STDEV.S(D418:G418) / SQRT(COUNT(D418:G418))</f>
        <v>#DIV/0!</v>
      </c>
      <c r="J418" s="2" t="e">
        <f>I418*$J$2</f>
        <v>#DIV/0!</v>
      </c>
    </row>
    <row r="419" spans="2:10" x14ac:dyDescent="0.55000000000000004">
      <c r="C419" s="2" t="s">
        <v>25</v>
      </c>
      <c r="H419" s="2" t="e">
        <f>(1/COUNT(D419:G419))*SQRT(SUMSQ(D419:G419))</f>
        <v>#DIV/0!</v>
      </c>
    </row>
    <row r="420" spans="2:10" x14ac:dyDescent="0.55000000000000004">
      <c r="C420" s="2" t="s">
        <v>26</v>
      </c>
      <c r="H420" s="2" t="e">
        <f>AVERAGE(D420:G420)</f>
        <v>#DIV/0!</v>
      </c>
      <c r="I420" s="2" t="e">
        <f xml:space="preserve"> _xlfn.STDEV.S(D420:G420) / SQRT(COUNT(D420:G420))</f>
        <v>#DIV/0!</v>
      </c>
      <c r="J420" s="2" t="e">
        <f>I420*$J$2</f>
        <v>#DIV/0!</v>
      </c>
    </row>
    <row r="421" spans="2:10" x14ac:dyDescent="0.55000000000000004">
      <c r="C421" s="2" t="s">
        <v>27</v>
      </c>
      <c r="H421" s="2" t="e">
        <f>(1/COUNT(D421:G421))*SQRT(SUMSQ(D421:G421))</f>
        <v>#DIV/0!</v>
      </c>
    </row>
    <row r="422" spans="2:10" x14ac:dyDescent="0.55000000000000004">
      <c r="C422" s="2" t="s">
        <v>28</v>
      </c>
      <c r="H422" s="2" t="e">
        <f>AVERAGE(D422:G422)</f>
        <v>#DIV/0!</v>
      </c>
      <c r="I422" s="2" t="e">
        <f xml:space="preserve"> _xlfn.STDEV.S(D422:G422) / SQRT(COUNT(D422:G422))</f>
        <v>#DIV/0!</v>
      </c>
      <c r="J422" s="2" t="e">
        <f>I422*$J$2</f>
        <v>#DIV/0!</v>
      </c>
    </row>
    <row r="423" spans="2:10" x14ac:dyDescent="0.55000000000000004">
      <c r="C423" s="2" t="s">
        <v>29</v>
      </c>
      <c r="H423" s="2" t="e">
        <f>(1/COUNT(D423:G423))*SQRT(SUMSQ(D423:G423))</f>
        <v>#DIV/0!</v>
      </c>
    </row>
    <row r="424" spans="2:10" x14ac:dyDescent="0.55000000000000004">
      <c r="C424" s="2" t="s">
        <v>30</v>
      </c>
      <c r="H424" s="2" t="e">
        <f>AVERAGE(D424:G424)</f>
        <v>#DIV/0!</v>
      </c>
      <c r="I424" s="2" t="e">
        <f xml:space="preserve"> _xlfn.STDEV.S(D424:G424) / SQRT(COUNT(D424:G424))</f>
        <v>#DIV/0!</v>
      </c>
      <c r="J424" s="2" t="e">
        <f>I424*$J$2</f>
        <v>#DIV/0!</v>
      </c>
    </row>
    <row r="425" spans="2:10" x14ac:dyDescent="0.55000000000000004">
      <c r="C425" s="2" t="s">
        <v>31</v>
      </c>
      <c r="H425" s="2" t="e">
        <f>(1/COUNT(D425:G425))*SQRT(SUMSQ(D425:G425))</f>
        <v>#DIV/0!</v>
      </c>
    </row>
    <row r="426" spans="2:10" x14ac:dyDescent="0.55000000000000004">
      <c r="B426" s="2" t="s">
        <v>36</v>
      </c>
      <c r="C426" s="2" t="s">
        <v>22</v>
      </c>
      <c r="D426" s="2">
        <v>0.98469799999999996</v>
      </c>
      <c r="E426" s="2">
        <v>0.96575999999999995</v>
      </c>
      <c r="F426" s="2">
        <v>0.99255800000000005</v>
      </c>
      <c r="G426" s="2">
        <v>0.99266699999999997</v>
      </c>
      <c r="H426" s="2">
        <f t="shared" ref="H426:H444" si="20">AVERAGE(D426:G426)</f>
        <v>0.98392075000000001</v>
      </c>
      <c r="I426" s="2">
        <f xml:space="preserve"> _xlfn.STDEV.S(D426:G426) / SQRT(COUNT(D426:G426))</f>
        <v>6.3345345445291797E-3</v>
      </c>
      <c r="J426" s="2">
        <f>I426*$J$2</f>
        <v>7.9167625793291809E-3</v>
      </c>
    </row>
    <row r="427" spans="2:10" x14ac:dyDescent="0.55000000000000004">
      <c r="C427" s="2" t="s">
        <v>24</v>
      </c>
      <c r="D427" s="2">
        <v>0.18507799999999999</v>
      </c>
      <c r="E427" s="2">
        <v>0.26334099999999999</v>
      </c>
      <c r="F427" s="2">
        <v>0.23149800000000001</v>
      </c>
      <c r="G427" s="2">
        <v>0.22083800000000001</v>
      </c>
      <c r="H427" s="2">
        <f t="shared" si="20"/>
        <v>0.22518874999999999</v>
      </c>
      <c r="I427" s="2">
        <f t="shared" ref="I427:I440" si="21" xml:space="preserve"> _xlfn.STDEV.S(D427:G427) / SQRT(COUNT(D427:G427))</f>
        <v>1.6132787800909303E-2</v>
      </c>
      <c r="J427" s="2">
        <f t="shared" ref="J427:J440" si="22">I427*$J$2</f>
        <v>2.0162404966723561E-2</v>
      </c>
    </row>
    <row r="428" spans="2:10" x14ac:dyDescent="0.55000000000000004">
      <c r="C428" s="2" t="s">
        <v>26</v>
      </c>
      <c r="D428" s="2">
        <v>0.87576500000000002</v>
      </c>
      <c r="E428" s="2">
        <v>0.83635700000000002</v>
      </c>
      <c r="F428" s="2">
        <v>0.91492399999999996</v>
      </c>
      <c r="G428" s="2">
        <v>0.93763300000000005</v>
      </c>
      <c r="H428" s="2">
        <f t="shared" si="20"/>
        <v>0.89116974999999998</v>
      </c>
      <c r="I428" s="2">
        <f t="shared" si="21"/>
        <v>2.2295070230041888E-2</v>
      </c>
      <c r="J428" s="2">
        <f t="shared" si="22"/>
        <v>2.7863890623684419E-2</v>
      </c>
    </row>
    <row r="429" spans="2:10" x14ac:dyDescent="0.55000000000000004">
      <c r="C429" s="2" t="s">
        <v>28</v>
      </c>
      <c r="D429" s="2">
        <v>1.2205349999999999</v>
      </c>
      <c r="E429" s="2">
        <v>1.739932</v>
      </c>
      <c r="F429" s="2">
        <v>1.682553</v>
      </c>
      <c r="G429" s="2">
        <v>1.5663450000000001</v>
      </c>
      <c r="H429" s="2">
        <f t="shared" si="20"/>
        <v>1.55234125</v>
      </c>
      <c r="I429" s="2">
        <f t="shared" si="21"/>
        <v>0.11634606492298123</v>
      </c>
      <c r="J429" s="2">
        <f t="shared" si="22"/>
        <v>0.14540676454751605</v>
      </c>
    </row>
    <row r="430" spans="2:10" x14ac:dyDescent="0.55000000000000004">
      <c r="C430" s="2" t="s">
        <v>30</v>
      </c>
      <c r="D430" s="2">
        <v>18.336282000000001</v>
      </c>
      <c r="E430" s="2">
        <v>24.783935</v>
      </c>
      <c r="F430" s="2">
        <v>19.130728999999999</v>
      </c>
      <c r="G430" s="2">
        <v>28.178083000000001</v>
      </c>
      <c r="H430" s="2">
        <f t="shared" si="20"/>
        <v>22.60725725</v>
      </c>
      <c r="I430" s="2">
        <f t="shared" si="21"/>
        <v>2.3469750712951174</v>
      </c>
      <c r="J430" s="2">
        <f t="shared" si="22"/>
        <v>2.93319805716343</v>
      </c>
    </row>
    <row r="431" spans="2:10" x14ac:dyDescent="0.55000000000000004">
      <c r="B431" s="2" t="s">
        <v>37</v>
      </c>
      <c r="C431" s="2" t="s">
        <v>22</v>
      </c>
      <c r="D431" s="2">
        <v>0.97924699999999998</v>
      </c>
      <c r="E431" s="2">
        <v>0.92338799999999999</v>
      </c>
      <c r="F431" s="2">
        <v>0.98393399999999998</v>
      </c>
      <c r="G431" s="2">
        <v>0.97971600000000003</v>
      </c>
      <c r="H431" s="2">
        <f t="shared" si="20"/>
        <v>0.9665712500000001</v>
      </c>
      <c r="I431" s="2">
        <f t="shared" si="21"/>
        <v>1.4432940502977902E-2</v>
      </c>
      <c r="J431" s="2">
        <f t="shared" si="22"/>
        <v>1.8037973031869006E-2</v>
      </c>
    </row>
    <row r="432" spans="2:10" x14ac:dyDescent="0.55000000000000004">
      <c r="C432" s="2" t="s">
        <v>24</v>
      </c>
      <c r="D432" s="2">
        <v>0.21206700000000001</v>
      </c>
      <c r="E432" s="2">
        <v>0.38031300000000001</v>
      </c>
      <c r="F432" s="2">
        <v>0.28282299999999999</v>
      </c>
      <c r="G432" s="2">
        <v>0.28661700000000001</v>
      </c>
      <c r="H432" s="2">
        <f t="shared" si="20"/>
        <v>0.29045500000000002</v>
      </c>
      <c r="I432" s="2">
        <f t="shared" si="21"/>
        <v>3.4511008359652401E-2</v>
      </c>
      <c r="J432" s="2">
        <f t="shared" si="22"/>
        <v>4.3131102630512168E-2</v>
      </c>
    </row>
    <row r="433" spans="1:20" x14ac:dyDescent="0.55000000000000004">
      <c r="C433" s="2" t="s">
        <v>26</v>
      </c>
      <c r="D433" s="2">
        <v>0.85281600000000002</v>
      </c>
      <c r="E433" s="2">
        <v>0.77625699999999997</v>
      </c>
      <c r="F433" s="2">
        <v>0.877417</v>
      </c>
      <c r="G433" s="2">
        <v>0.90174299999999996</v>
      </c>
      <c r="H433" s="2">
        <f t="shared" si="20"/>
        <v>0.85205825000000002</v>
      </c>
      <c r="I433" s="2">
        <f t="shared" si="21"/>
        <v>2.7169290677083076E-2</v>
      </c>
      <c r="J433" s="2">
        <f t="shared" si="22"/>
        <v>3.3955584617501755E-2</v>
      </c>
    </row>
    <row r="434" spans="1:20" x14ac:dyDescent="0.55000000000000004">
      <c r="C434" s="2" t="s">
        <v>28</v>
      </c>
      <c r="D434" s="2">
        <v>1.590176</v>
      </c>
      <c r="E434" s="2">
        <v>2.7287080000000001</v>
      </c>
      <c r="F434" s="2">
        <v>2.531819</v>
      </c>
      <c r="G434" s="2">
        <v>2.333294</v>
      </c>
      <c r="H434" s="2">
        <f t="shared" si="20"/>
        <v>2.2959992500000004</v>
      </c>
      <c r="I434" s="2">
        <f t="shared" si="21"/>
        <v>0.24873432537460913</v>
      </c>
      <c r="J434" s="2">
        <f t="shared" si="22"/>
        <v>0.31086271382339664</v>
      </c>
    </row>
    <row r="435" spans="1:20" x14ac:dyDescent="0.55000000000000004">
      <c r="C435" s="2" t="s">
        <v>30</v>
      </c>
      <c r="D435" s="2">
        <v>24.773349</v>
      </c>
      <c r="E435" s="2">
        <v>30.709233000000001</v>
      </c>
      <c r="F435" s="2">
        <v>25.019877000000001</v>
      </c>
      <c r="G435" s="2">
        <v>37.44979</v>
      </c>
      <c r="H435" s="2">
        <f t="shared" si="20"/>
        <v>29.488062249999999</v>
      </c>
      <c r="I435" s="2">
        <f t="shared" si="21"/>
        <v>2.9871051653150089</v>
      </c>
      <c r="J435" s="2">
        <f t="shared" si="22"/>
        <v>3.7332186330423505</v>
      </c>
      <c r="P435" s="2" t="s">
        <v>38</v>
      </c>
      <c r="Q435" s="2" cm="1">
        <f t="array" ref="Q435:T435">D432:G432/D435:G435</f>
        <v>8.560287912627397E-3</v>
      </c>
      <c r="R435" s="2">
        <v>1.2384321028141602E-2</v>
      </c>
      <c r="S435" s="2">
        <v>1.130393246937225E-2</v>
      </c>
      <c r="T435" s="2">
        <v>7.6533673486553601E-3</v>
      </c>
    </row>
    <row r="436" spans="1:20" x14ac:dyDescent="0.55000000000000004">
      <c r="B436" s="2" t="s">
        <v>39</v>
      </c>
      <c r="C436" s="2" t="s">
        <v>22</v>
      </c>
      <c r="D436" s="2">
        <v>0.98709199999999997</v>
      </c>
      <c r="E436" s="2">
        <v>0.97493099999999999</v>
      </c>
      <c r="F436" s="2">
        <v>0.99266200000000004</v>
      </c>
      <c r="G436" s="2">
        <v>0.99203399999999997</v>
      </c>
      <c r="H436" s="2">
        <f t="shared" si="20"/>
        <v>0.98667974999999997</v>
      </c>
      <c r="I436" s="2">
        <f t="shared" si="21"/>
        <v>4.1095253654365857E-3</v>
      </c>
      <c r="J436" s="2">
        <f t="shared" si="22"/>
        <v>5.135994823801308E-3</v>
      </c>
    </row>
    <row r="437" spans="1:20" x14ac:dyDescent="0.55000000000000004">
      <c r="C437" s="2" t="s">
        <v>24</v>
      </c>
      <c r="D437" s="2">
        <v>0.172014</v>
      </c>
      <c r="E437" s="2">
        <v>0.229825</v>
      </c>
      <c r="F437" s="2">
        <v>0.23443700000000001</v>
      </c>
      <c r="G437" s="2">
        <v>0.22628499999999999</v>
      </c>
      <c r="H437" s="2">
        <f t="shared" si="20"/>
        <v>0.21564025000000001</v>
      </c>
      <c r="I437" s="2">
        <f t="shared" si="21"/>
        <v>1.46375240812497E-2</v>
      </c>
      <c r="J437" s="2">
        <f t="shared" si="22"/>
        <v>1.8293657108642451E-2</v>
      </c>
    </row>
    <row r="438" spans="1:20" x14ac:dyDescent="0.55000000000000004">
      <c r="C438" s="2" t="s">
        <v>26</v>
      </c>
      <c r="D438" s="2">
        <v>0.88439900000000005</v>
      </c>
      <c r="E438" s="2">
        <v>0.85646800000000001</v>
      </c>
      <c r="F438" s="2">
        <v>0.91512099999999996</v>
      </c>
      <c r="G438" s="2">
        <v>0.93547000000000002</v>
      </c>
      <c r="H438" s="2">
        <f t="shared" si="20"/>
        <v>0.89786450000000007</v>
      </c>
      <c r="I438" s="2">
        <f t="shared" si="21"/>
        <v>1.7337219896800059E-2</v>
      </c>
      <c r="J438" s="2">
        <f t="shared" si="22"/>
        <v>2.1667677829167103E-2</v>
      </c>
    </row>
    <row r="439" spans="1:20" x14ac:dyDescent="0.55000000000000004">
      <c r="C439" s="2" t="s">
        <v>28</v>
      </c>
      <c r="D439" s="2">
        <v>1.084268</v>
      </c>
      <c r="E439" s="2">
        <v>1.5021610000000001</v>
      </c>
      <c r="F439" s="2">
        <v>1.7435309999999999</v>
      </c>
      <c r="G439" s="2">
        <v>1.662002</v>
      </c>
      <c r="H439" s="2">
        <f t="shared" si="20"/>
        <v>1.4979905</v>
      </c>
      <c r="I439" s="2">
        <f t="shared" si="21"/>
        <v>0.14673491102125866</v>
      </c>
      <c r="J439" s="2">
        <f t="shared" si="22"/>
        <v>0.18338607903836754</v>
      </c>
    </row>
    <row r="440" spans="1:20" x14ac:dyDescent="0.55000000000000004">
      <c r="C440" s="2" t="s">
        <v>30</v>
      </c>
      <c r="D440" s="2">
        <v>16.022756999999999</v>
      </c>
      <c r="E440" s="2">
        <v>22.965610000000002</v>
      </c>
      <c r="F440" s="2">
        <v>19.522888999999999</v>
      </c>
      <c r="G440" s="2">
        <v>29.324748</v>
      </c>
      <c r="H440" s="2">
        <f t="shared" si="20"/>
        <v>21.959001000000001</v>
      </c>
      <c r="I440" s="2">
        <f t="shared" si="21"/>
        <v>2.8349180624692072</v>
      </c>
      <c r="J440" s="2">
        <f t="shared" si="22"/>
        <v>3.5430185240372278</v>
      </c>
    </row>
    <row r="441" spans="1:20" x14ac:dyDescent="0.55000000000000004">
      <c r="B441" s="2" t="s">
        <v>61</v>
      </c>
      <c r="C441" s="2" t="s">
        <v>22</v>
      </c>
      <c r="D441" s="2">
        <v>0.96440999999999999</v>
      </c>
      <c r="E441" s="2">
        <v>0.91005100000000005</v>
      </c>
      <c r="F441" s="2">
        <v>0.97749699999999995</v>
      </c>
      <c r="G441" s="2">
        <v>0.97284999999999999</v>
      </c>
      <c r="H441" s="2">
        <f t="shared" si="20"/>
        <v>0.956202</v>
      </c>
      <c r="I441" s="2">
        <f xml:space="preserve"> _xlfn.STDEV.S(D441:G441) / SQRT(COUNT(D441:G441))</f>
        <v>1.5620283272079268E-2</v>
      </c>
      <c r="J441" s="2">
        <f>I441*$J$2</f>
        <v>1.9521888027861412E-2</v>
      </c>
    </row>
    <row r="442" spans="1:20" x14ac:dyDescent="0.55000000000000004">
      <c r="C442" s="2" t="s">
        <v>24</v>
      </c>
      <c r="D442" s="2">
        <v>0.28047299999999997</v>
      </c>
      <c r="E442" s="2">
        <v>0.42550399999999999</v>
      </c>
      <c r="F442" s="2">
        <v>0.34874699999999997</v>
      </c>
      <c r="G442" s="2">
        <v>0.34175299999999997</v>
      </c>
      <c r="H442" s="2">
        <f t="shared" si="20"/>
        <v>0.34911924999999999</v>
      </c>
      <c r="I442" s="2">
        <f t="shared" ref="I442:I443" si="23" xml:space="preserve"> _xlfn.STDEV.S(D442:G442) / SQRT(COUNT(D442:G442))</f>
        <v>2.972279972337448E-2</v>
      </c>
      <c r="J442" s="2">
        <f t="shared" ref="J442:J443" si="24">I442*$J$2</f>
        <v>3.7146904314561024E-2</v>
      </c>
    </row>
    <row r="443" spans="1:20" x14ac:dyDescent="0.55000000000000004">
      <c r="C443" s="2" t="s">
        <v>26</v>
      </c>
      <c r="D443" s="2">
        <v>0.81008100000000005</v>
      </c>
      <c r="E443" s="2">
        <v>0.75793999999999995</v>
      </c>
      <c r="F443" s="2">
        <v>0.85023800000000005</v>
      </c>
      <c r="G443" s="2">
        <v>0.88303500000000001</v>
      </c>
      <c r="H443" s="2">
        <f t="shared" si="20"/>
        <v>0.82532349999999999</v>
      </c>
      <c r="I443" s="2">
        <f t="shared" si="23"/>
        <v>2.6963276601394984E-2</v>
      </c>
      <c r="J443" s="2">
        <f t="shared" si="24"/>
        <v>3.369811273637812E-2</v>
      </c>
    </row>
    <row r="444" spans="1:20" x14ac:dyDescent="0.55000000000000004">
      <c r="A444" s="2" t="s">
        <v>20</v>
      </c>
      <c r="B444" s="2" t="s">
        <v>21</v>
      </c>
      <c r="C444" s="2" t="s">
        <v>22</v>
      </c>
      <c r="D444" s="2">
        <v>0.98650099999999996</v>
      </c>
      <c r="E444" s="2">
        <v>0.97445800000000005</v>
      </c>
      <c r="F444" s="2">
        <v>0.99275599999999997</v>
      </c>
      <c r="G444" s="2">
        <v>0.992116</v>
      </c>
      <c r="H444" s="2">
        <f t="shared" si="20"/>
        <v>0.98645775000000002</v>
      </c>
      <c r="I444" s="2">
        <f xml:space="preserve"> _xlfn.STDEV.S(D444:G444) / SQRT(COUNT(D444:G444))</f>
        <v>4.2394930588259272E-3</v>
      </c>
      <c r="J444" s="2">
        <f>I444*$J$2</f>
        <v>5.2984256013609782E-3</v>
      </c>
    </row>
    <row r="445" spans="1:20" x14ac:dyDescent="0.55000000000000004">
      <c r="A445" s="2">
        <v>1.8</v>
      </c>
      <c r="C445" s="2" t="s">
        <v>23</v>
      </c>
      <c r="D445" s="2">
        <v>4.6E-5</v>
      </c>
      <c r="E445" s="2">
        <v>4.7699999999999999E-4</v>
      </c>
      <c r="F445" s="2">
        <v>3.8000000000000002E-5</v>
      </c>
      <c r="G445" s="2">
        <v>5.0000000000000002E-5</v>
      </c>
      <c r="H445" s="2">
        <f>(1/COUNT(D445:G445))*SQRT(SUMSQ(D445:G445))</f>
        <v>1.2082761480721202E-4</v>
      </c>
    </row>
    <row r="446" spans="1:20" x14ac:dyDescent="0.55000000000000004">
      <c r="C446" s="2" t="s">
        <v>24</v>
      </c>
      <c r="D446" s="2">
        <v>0.175091</v>
      </c>
      <c r="E446" s="2">
        <v>0.22928599999999999</v>
      </c>
      <c r="F446" s="2">
        <v>0.22783100000000001</v>
      </c>
      <c r="G446" s="2">
        <v>0.22128999999999999</v>
      </c>
      <c r="H446" s="2">
        <f>AVERAGE(D446:G446)</f>
        <v>0.21337449999999999</v>
      </c>
      <c r="I446" s="2">
        <f xml:space="preserve"> _xlfn.STDEV.S(D446:G446) / SQRT(COUNT(D446:G446))</f>
        <v>1.2879077791130839E-2</v>
      </c>
      <c r="J446" s="2">
        <f>I446*$J$2</f>
        <v>1.6095989436374993E-2</v>
      </c>
    </row>
    <row r="447" spans="1:20" x14ac:dyDescent="0.55000000000000004">
      <c r="C447" s="2" t="s">
        <v>25</v>
      </c>
      <c r="D447" s="2">
        <v>2.8699999999999998E-4</v>
      </c>
      <c r="E447" s="2">
        <v>1.6230000000000001E-3</v>
      </c>
      <c r="F447" s="2">
        <v>3.3599999999999998E-4</v>
      </c>
      <c r="G447" s="2">
        <v>5.4299999999999997E-4</v>
      </c>
      <c r="H447" s="2">
        <f>(1/COUNT(D447:G447))*SQRT(SUMSQ(D447:G447))</f>
        <v>4.4188820701620906E-4</v>
      </c>
    </row>
    <row r="448" spans="1:20" x14ac:dyDescent="0.55000000000000004">
      <c r="C448" s="2" t="s">
        <v>26</v>
      </c>
      <c r="D448" s="2">
        <v>0.88222199999999995</v>
      </c>
      <c r="E448" s="2">
        <v>0.85681700000000005</v>
      </c>
      <c r="F448" s="2">
        <v>0.91587300000000005</v>
      </c>
      <c r="G448" s="2">
        <v>0.93649099999999996</v>
      </c>
      <c r="H448" s="2">
        <f>AVERAGE(D448:G448)</f>
        <v>0.89785074999999992</v>
      </c>
      <c r="I448" s="2">
        <f xml:space="preserve"> _xlfn.STDEV.S(D448:G448) / SQRT(COUNT(D448:G448))</f>
        <v>1.7667995737939066E-2</v>
      </c>
      <c r="J448" s="2">
        <f>I448*$J$2</f>
        <v>2.2081074233096583E-2</v>
      </c>
    </row>
    <row r="449" spans="2:10" x14ac:dyDescent="0.55000000000000004">
      <c r="C449" s="2" t="s">
        <v>27</v>
      </c>
      <c r="D449" s="2">
        <v>1.9900000000000001E-4</v>
      </c>
      <c r="E449" s="2">
        <v>9.3300000000000002E-4</v>
      </c>
      <c r="F449" s="2">
        <v>1.8799999999999999E-4</v>
      </c>
      <c r="G449" s="2">
        <v>1.6799999999999999E-4</v>
      </c>
      <c r="H449" s="2">
        <f>(1/COUNT(D449:G449))*SQRT(SUMSQ(D449:G449))</f>
        <v>2.4668527519898709E-4</v>
      </c>
    </row>
    <row r="450" spans="2:10" x14ac:dyDescent="0.55000000000000004">
      <c r="C450" s="2" t="s">
        <v>28</v>
      </c>
      <c r="D450" s="2">
        <v>1.1065640000000001</v>
      </c>
      <c r="E450" s="2">
        <v>1.454963</v>
      </c>
      <c r="F450" s="2">
        <v>1.567895</v>
      </c>
      <c r="G450" s="2">
        <v>1.5723670000000001</v>
      </c>
      <c r="H450" s="2">
        <f>AVERAGE(D450:G450)</f>
        <v>1.4254472499999999</v>
      </c>
      <c r="I450" s="2">
        <f xml:space="preserve"> _xlfn.STDEV.S(D450:G450) / SQRT(COUNT(D450:G450))</f>
        <v>0.10970964749766823</v>
      </c>
      <c r="J450" s="2">
        <f>I450*$J$2</f>
        <v>0.13711271535349889</v>
      </c>
    </row>
    <row r="451" spans="2:10" x14ac:dyDescent="0.55000000000000004">
      <c r="C451" s="2" t="s">
        <v>29</v>
      </c>
      <c r="D451" s="2">
        <v>2.826E-3</v>
      </c>
      <c r="E451" s="2">
        <v>1.0571000000000001E-2</v>
      </c>
      <c r="F451" s="2">
        <v>8.5679999999999992E-3</v>
      </c>
      <c r="G451" s="2">
        <v>8.6599999999999993E-3</v>
      </c>
      <c r="H451" s="2">
        <f>(1/COUNT(D451:G451))*SQRT(SUMSQ(D451:G451))</f>
        <v>4.093734091572143E-3</v>
      </c>
    </row>
    <row r="452" spans="2:10" x14ac:dyDescent="0.55000000000000004">
      <c r="C452" s="2" t="s">
        <v>30</v>
      </c>
      <c r="D452" s="2">
        <v>16.572008</v>
      </c>
      <c r="E452" s="2">
        <v>22.085571999999999</v>
      </c>
      <c r="F452" s="2">
        <v>18.231950000000001</v>
      </c>
      <c r="G452" s="2">
        <v>28.417839000000001</v>
      </c>
      <c r="H452" s="2">
        <f>AVERAGE(D452:G452)</f>
        <v>21.326842249999999</v>
      </c>
      <c r="I452" s="2">
        <f xml:space="preserve"> _xlfn.STDEV.S(D452:G452) / SQRT(COUNT(D452:G452))</f>
        <v>2.6306639296023282</v>
      </c>
      <c r="J452" s="2">
        <f>I452*$J$2</f>
        <v>3.2877461809176549</v>
      </c>
    </row>
    <row r="453" spans="2:10" x14ac:dyDescent="0.55000000000000004">
      <c r="C453" s="2" t="s">
        <v>31</v>
      </c>
      <c r="D453" s="2">
        <v>7.6255000000000003E-2</v>
      </c>
      <c r="E453" s="2">
        <v>9.9476999999999996E-2</v>
      </c>
      <c r="F453" s="2">
        <v>6.2132E-2</v>
      </c>
      <c r="G453" s="2">
        <v>7.9699999999999993E-2</v>
      </c>
      <c r="H453" s="2">
        <f>(1/COUNT(D453:G453))*SQRT(SUMSQ(D453:G453))</f>
        <v>4.0251532562437915E-2</v>
      </c>
    </row>
    <row r="454" spans="2:10" x14ac:dyDescent="0.55000000000000004">
      <c r="B454" s="2" t="s">
        <v>32</v>
      </c>
      <c r="C454" s="2" t="s">
        <v>22</v>
      </c>
      <c r="D454" s="2">
        <v>0.98642600000000003</v>
      </c>
      <c r="E454" s="2">
        <v>0.975715</v>
      </c>
      <c r="F454" s="2">
        <v>0.99192499999999995</v>
      </c>
      <c r="G454" s="2">
        <v>0.99116700000000002</v>
      </c>
      <c r="H454" s="2">
        <f>AVERAGE(D454:G454)</f>
        <v>0.98630825</v>
      </c>
      <c r="I454" s="2">
        <f xml:space="preserve"> _xlfn.STDEV.S(D454:G454) / SQRT(COUNT(D454:G454))</f>
        <v>3.7348152871549932E-3</v>
      </c>
      <c r="J454" s="2">
        <f>I454*$J$2</f>
        <v>4.6676903722296876E-3</v>
      </c>
    </row>
    <row r="455" spans="2:10" x14ac:dyDescent="0.55000000000000004">
      <c r="C455" s="2" t="s">
        <v>23</v>
      </c>
      <c r="D455" s="2">
        <v>1.6200000000000001E-4</v>
      </c>
      <c r="E455" s="2">
        <v>6.1600000000000001E-4</v>
      </c>
      <c r="F455" s="2">
        <v>1.6200000000000001E-4</v>
      </c>
      <c r="G455" s="2">
        <v>1.5300000000000001E-4</v>
      </c>
      <c r="H455" s="2">
        <f>(1/COUNT(D455:G455))*SQRT(SUMSQ(D455:G455))</f>
        <v>1.6869962210983166E-4</v>
      </c>
    </row>
    <row r="456" spans="2:10" x14ac:dyDescent="0.55000000000000004">
      <c r="C456" s="2" t="s">
        <v>24</v>
      </c>
      <c r="D456" s="2">
        <v>0.175292</v>
      </c>
      <c r="E456" s="2">
        <v>0.22573099999999999</v>
      </c>
      <c r="F456" s="2">
        <v>0.23064499999999999</v>
      </c>
      <c r="G456" s="2">
        <v>0.22579299999999999</v>
      </c>
      <c r="H456" s="2">
        <f>AVERAGE(D456:G456)</f>
        <v>0.21436525000000001</v>
      </c>
      <c r="I456" s="2">
        <f xml:space="preserve"> _xlfn.STDEV.S(D456:G456) / SQRT(COUNT(D456:G456))</f>
        <v>1.3075176444794123E-2</v>
      </c>
      <c r="J456" s="2">
        <f>I456*$J$2</f>
        <v>1.6341069240149858E-2</v>
      </c>
    </row>
    <row r="457" spans="2:10" x14ac:dyDescent="0.55000000000000004">
      <c r="C457" s="2" t="s">
        <v>25</v>
      </c>
      <c r="D457" s="2">
        <v>9.0399999999999996E-4</v>
      </c>
      <c r="E457" s="2">
        <v>2.4130000000000002E-3</v>
      </c>
      <c r="F457" s="2">
        <v>9.6199999999999996E-4</v>
      </c>
      <c r="G457" s="2">
        <v>1.0820000000000001E-3</v>
      </c>
      <c r="H457" s="2">
        <f>(1/COUNT(D457:G457))*SQRT(SUMSQ(D457:G457))</f>
        <v>7.3891614037047539E-4</v>
      </c>
    </row>
    <row r="458" spans="2:10" x14ac:dyDescent="0.55000000000000004">
      <c r="C458" s="2" t="s">
        <v>26</v>
      </c>
      <c r="D458" s="2">
        <v>0.88154500000000002</v>
      </c>
      <c r="E458" s="2">
        <v>0.85891799999999996</v>
      </c>
      <c r="F458" s="2">
        <v>0.91183800000000004</v>
      </c>
      <c r="G458" s="2">
        <v>0.93330599999999997</v>
      </c>
      <c r="H458" s="2">
        <f>AVERAGE(D458:G458)</f>
        <v>0.89640175</v>
      </c>
      <c r="I458" s="2">
        <f xml:space="preserve"> _xlfn.STDEV.S(D458:G458) / SQRT(COUNT(D458:G458))</f>
        <v>1.639602598383218E-2</v>
      </c>
      <c r="J458" s="2">
        <f>I458*$J$2</f>
        <v>2.0491394284149301E-2</v>
      </c>
    </row>
    <row r="459" spans="2:10" x14ac:dyDescent="0.55000000000000004">
      <c r="C459" s="2" t="s">
        <v>27</v>
      </c>
      <c r="D459" s="2">
        <v>7.18E-4</v>
      </c>
      <c r="E459" s="2">
        <v>1.4009999999999999E-3</v>
      </c>
      <c r="F459" s="2">
        <v>8.4699999999999999E-4</v>
      </c>
      <c r="G459" s="2">
        <v>5.2300000000000003E-4</v>
      </c>
      <c r="H459" s="2">
        <f>(1/COUNT(D459:G459))*SQRT(SUMSQ(D459:G459))</f>
        <v>4.6564894233746521E-4</v>
      </c>
    </row>
    <row r="460" spans="2:10" x14ac:dyDescent="0.55000000000000004">
      <c r="C460" s="2" t="s">
        <v>28</v>
      </c>
      <c r="D460" s="2">
        <v>1.1145</v>
      </c>
      <c r="E460" s="2">
        <v>1.4888760000000001</v>
      </c>
      <c r="F460" s="2">
        <v>1.6203810000000001</v>
      </c>
      <c r="G460" s="2">
        <v>1.6158650000000001</v>
      </c>
      <c r="H460" s="2">
        <f>AVERAGE(D460:G460)</f>
        <v>1.4599055000000001</v>
      </c>
      <c r="I460" s="2">
        <f xml:space="preserve"> _xlfn.STDEV.S(D460:G460) / SQRT(COUNT(D460:G460))</f>
        <v>0.11910079801055094</v>
      </c>
      <c r="J460" s="2">
        <f>I460*$J$2</f>
        <v>0.14884956964557125</v>
      </c>
    </row>
    <row r="461" spans="2:10" x14ac:dyDescent="0.55000000000000004">
      <c r="C461" s="2" t="s">
        <v>29</v>
      </c>
      <c r="D461" s="2">
        <v>7.11E-3</v>
      </c>
      <c r="E461" s="2">
        <v>1.6695000000000002E-2</v>
      </c>
      <c r="F461" s="2">
        <v>1.9755999999999999E-2</v>
      </c>
      <c r="G461" s="2">
        <v>1.1697000000000001E-2</v>
      </c>
      <c r="H461" s="2">
        <f>(1/COUNT(D461:G461))*SQRT(SUMSQ(D461:G461))</f>
        <v>7.316054563424196E-3</v>
      </c>
    </row>
    <row r="462" spans="2:10" x14ac:dyDescent="0.55000000000000004">
      <c r="C462" s="2" t="s">
        <v>30</v>
      </c>
      <c r="D462" s="2">
        <v>16.977319999999999</v>
      </c>
      <c r="E462" s="2">
        <v>22.722047</v>
      </c>
      <c r="F462" s="2">
        <v>18.439347000000001</v>
      </c>
      <c r="G462" s="2">
        <v>28.744609000000001</v>
      </c>
      <c r="H462" s="2">
        <f>AVERAGE(D462:G462)</f>
        <v>21.720830749999998</v>
      </c>
      <c r="I462" s="2">
        <f xml:space="preserve"> _xlfn.STDEV.S(D462:G462) / SQRT(COUNT(D462:G462))</f>
        <v>2.6395221272248834</v>
      </c>
      <c r="J462" s="2">
        <f>I462*$J$2</f>
        <v>3.2988169623563821</v>
      </c>
    </row>
    <row r="463" spans="2:10" x14ac:dyDescent="0.55000000000000004">
      <c r="C463" s="2" t="s">
        <v>31</v>
      </c>
      <c r="D463" s="2">
        <v>0.164355</v>
      </c>
      <c r="E463" s="2">
        <v>9.5471E-2</v>
      </c>
      <c r="F463" s="2">
        <v>0.119283</v>
      </c>
      <c r="G463" s="2">
        <v>0.10357</v>
      </c>
      <c r="H463" s="2">
        <f>(1/COUNT(D463:G463))*SQRT(SUMSQ(D463:G463))</f>
        <v>6.178716333865393E-2</v>
      </c>
    </row>
    <row r="464" spans="2:10" x14ac:dyDescent="0.55000000000000004">
      <c r="B464" s="2" t="s">
        <v>33</v>
      </c>
      <c r="C464" s="2" t="s">
        <v>22</v>
      </c>
      <c r="D464" s="2">
        <v>0.98652399999999996</v>
      </c>
      <c r="E464" s="2">
        <v>0.97404299999999999</v>
      </c>
      <c r="F464" s="2">
        <v>0.99285400000000001</v>
      </c>
      <c r="G464" s="2">
        <v>0.99209700000000001</v>
      </c>
      <c r="H464" s="2">
        <f>AVERAGE(D464:G464)</f>
        <v>0.98637949999999996</v>
      </c>
      <c r="I464" s="2">
        <f xml:space="preserve"> _xlfn.STDEV.S(D464:G464) / SQRT(COUNT(D464:G464))</f>
        <v>4.3475957819619536E-3</v>
      </c>
      <c r="J464" s="2">
        <f>I464*$J$2</f>
        <v>5.4335300178308529E-3</v>
      </c>
    </row>
    <row r="465" spans="2:10" x14ac:dyDescent="0.55000000000000004">
      <c r="C465" s="2" t="s">
        <v>23</v>
      </c>
      <c r="D465" s="2">
        <v>1.2999999999999999E-5</v>
      </c>
      <c r="E465" s="2">
        <v>2.52E-4</v>
      </c>
      <c r="F465" s="2">
        <v>2.0999999999999999E-5</v>
      </c>
      <c r="G465" s="2">
        <v>2.3E-5</v>
      </c>
      <c r="H465" s="2">
        <f>(1/COUNT(D465:G465))*SQRT(SUMSQ(D465:G465))</f>
        <v>6.3562469272362287E-5</v>
      </c>
    </row>
    <row r="466" spans="2:10" x14ac:dyDescent="0.55000000000000004">
      <c r="C466" s="2" t="s">
        <v>24</v>
      </c>
      <c r="D466" s="2">
        <v>0.17500599999999999</v>
      </c>
      <c r="E466" s="2">
        <v>0.23042000000000001</v>
      </c>
      <c r="F466" s="2">
        <v>0.229321</v>
      </c>
      <c r="G466" s="2">
        <v>0.22176499999999999</v>
      </c>
      <c r="H466" s="2">
        <f>AVERAGE(D466:G466)</f>
        <v>0.21412799999999999</v>
      </c>
      <c r="I466" s="2">
        <f xml:space="preserve"> _xlfn.STDEV.S(D466:G466) / SQRT(COUNT(D466:G466))</f>
        <v>1.3181777719007972E-2</v>
      </c>
      <c r="J466" s="2">
        <f>I466*$J$2</f>
        <v>1.647429717863097E-2</v>
      </c>
    </row>
    <row r="467" spans="2:10" x14ac:dyDescent="0.55000000000000004">
      <c r="C467" s="2" t="s">
        <v>25</v>
      </c>
      <c r="D467" s="2">
        <v>7.4999999999999993E-5</v>
      </c>
      <c r="E467" s="2">
        <v>1.029E-3</v>
      </c>
      <c r="F467" s="2">
        <v>1.8699999999999999E-4</v>
      </c>
      <c r="G467" s="2">
        <v>1.6100000000000001E-4</v>
      </c>
      <c r="H467" s="2">
        <f>(1/COUNT(D467:G467))*SQRT(SUMSQ(D467:G467))</f>
        <v>2.6520699462872393E-4</v>
      </c>
    </row>
    <row r="468" spans="2:10" x14ac:dyDescent="0.55000000000000004">
      <c r="C468" s="2" t="s">
        <v>26</v>
      </c>
      <c r="D468" s="2">
        <v>0.882297</v>
      </c>
      <c r="E468" s="2">
        <v>0.85594599999999998</v>
      </c>
      <c r="F468" s="2">
        <v>0.91694399999999998</v>
      </c>
      <c r="G468" s="2">
        <v>0.93643900000000002</v>
      </c>
      <c r="H468" s="2">
        <f>AVERAGE(D468:G468)</f>
        <v>0.89790649999999994</v>
      </c>
      <c r="I468" s="2">
        <f xml:space="preserve"> _xlfn.STDEV.S(D468:G468) / SQRT(COUNT(D468:G468))</f>
        <v>1.7915356571481727E-2</v>
      </c>
      <c r="J468" s="2">
        <f>I468*$J$2</f>
        <v>2.2390220386900968E-2</v>
      </c>
    </row>
    <row r="469" spans="2:10" x14ac:dyDescent="0.55000000000000004">
      <c r="C469" s="2" t="s">
        <v>27</v>
      </c>
      <c r="D469" s="2">
        <v>5.1999999999999997E-5</v>
      </c>
      <c r="E469" s="2">
        <v>6.1700000000000004E-4</v>
      </c>
      <c r="F469" s="2">
        <v>1.07E-4</v>
      </c>
      <c r="G469" s="2">
        <v>7.8999999999999996E-5</v>
      </c>
      <c r="H469" s="2">
        <f>(1/COUNT(D469:G469))*SQRT(SUMSQ(D469:G469))</f>
        <v>1.5832778499050632E-4</v>
      </c>
    </row>
    <row r="470" spans="2:10" x14ac:dyDescent="0.55000000000000004">
      <c r="C470" s="2" t="s">
        <v>28</v>
      </c>
      <c r="D470" s="2">
        <v>1.105505</v>
      </c>
      <c r="E470" s="2">
        <v>1.4680930000000001</v>
      </c>
      <c r="F470" s="2">
        <v>1.6068800000000001</v>
      </c>
      <c r="G470" s="2">
        <v>1.5840620000000001</v>
      </c>
      <c r="H470" s="2">
        <f>AVERAGE(D470:G470)</f>
        <v>1.4411350000000001</v>
      </c>
      <c r="I470" s="2">
        <f xml:space="preserve"> _xlfn.STDEV.S(D470:G470) / SQRT(COUNT(D470:G470))</f>
        <v>0.11592877231947157</v>
      </c>
      <c r="J470" s="2">
        <f>I470*$J$2</f>
        <v>0.14488524138825737</v>
      </c>
    </row>
    <row r="471" spans="2:10" x14ac:dyDescent="0.55000000000000004">
      <c r="C471" s="2" t="s">
        <v>29</v>
      </c>
      <c r="D471" s="2">
        <v>9.7599999999999998E-4</v>
      </c>
      <c r="E471" s="2">
        <v>8.6339999999999993E-3</v>
      </c>
      <c r="F471" s="2">
        <v>4.1970000000000002E-3</v>
      </c>
      <c r="G471" s="2">
        <v>2.5049999999999998E-3</v>
      </c>
      <c r="H471" s="2">
        <f>(1/COUNT(D471:G471))*SQRT(SUMSQ(D471:G471))</f>
        <v>2.4923428486065074E-3</v>
      </c>
    </row>
    <row r="472" spans="2:10" x14ac:dyDescent="0.55000000000000004">
      <c r="C472" s="2" t="s">
        <v>30</v>
      </c>
      <c r="D472" s="2">
        <v>16.574356999999999</v>
      </c>
      <c r="E472" s="2">
        <v>22.187546000000001</v>
      </c>
      <c r="F472" s="2">
        <v>18.41367</v>
      </c>
      <c r="G472" s="2">
        <v>28.431345</v>
      </c>
      <c r="H472" s="2">
        <f>AVERAGE(D472:G472)</f>
        <v>21.401729500000002</v>
      </c>
      <c r="I472" s="2">
        <f xml:space="preserve"> _xlfn.STDEV.S(D472:G472) / SQRT(COUNT(D472:G472))</f>
        <v>2.6182854835242937</v>
      </c>
      <c r="J472" s="2">
        <f>I472*$J$2</f>
        <v>3.272275870034993</v>
      </c>
    </row>
    <row r="473" spans="2:10" x14ac:dyDescent="0.55000000000000004">
      <c r="C473" s="2" t="s">
        <v>31</v>
      </c>
      <c r="D473" s="2">
        <v>1.9292E-2</v>
      </c>
      <c r="E473" s="2">
        <v>4.8374E-2</v>
      </c>
      <c r="F473" s="2">
        <v>2.0323999999999998E-2</v>
      </c>
      <c r="G473" s="2">
        <v>2.5222000000000001E-2</v>
      </c>
      <c r="H473" s="2">
        <f>(1/COUNT(D473:G473))*SQRT(SUMSQ(D473:G473))</f>
        <v>1.5332643689201154E-2</v>
      </c>
    </row>
    <row r="474" spans="2:10" x14ac:dyDescent="0.55000000000000004">
      <c r="B474" s="2" t="s">
        <v>34</v>
      </c>
      <c r="C474" s="2" t="s">
        <v>22</v>
      </c>
      <c r="D474" s="2">
        <v>0.98648400000000003</v>
      </c>
      <c r="E474" s="2">
        <v>0.97247799999999995</v>
      </c>
      <c r="F474" s="2">
        <v>0.99269700000000005</v>
      </c>
      <c r="G474" s="2">
        <v>0.99145499999999998</v>
      </c>
      <c r="H474" s="2">
        <f>AVERAGE(D474:G474)</f>
        <v>0.98577850000000011</v>
      </c>
      <c r="I474" s="2">
        <f xml:space="preserve"> _xlfn.STDEV.S(D474:G474) / SQRT(COUNT(D474:G474))</f>
        <v>4.6322180162423421E-3</v>
      </c>
      <c r="J474" s="2">
        <f>I474*$J$2</f>
        <v>5.7892446544401191E-3</v>
      </c>
    </row>
    <row r="475" spans="2:10" x14ac:dyDescent="0.55000000000000004">
      <c r="C475" s="2" t="s">
        <v>23</v>
      </c>
      <c r="D475" s="2">
        <v>1.4999999999999999E-4</v>
      </c>
      <c r="E475" s="2">
        <v>2.0439999999999998E-3</v>
      </c>
      <c r="F475" s="2">
        <v>5.8999999999999998E-5</v>
      </c>
      <c r="G475" s="2">
        <v>3.77E-4</v>
      </c>
      <c r="H475" s="2">
        <f>(1/COUNT(D475:G475))*SQRT(SUMSQ(D475:G475))</f>
        <v>5.2117931175364198E-4</v>
      </c>
    </row>
    <row r="476" spans="2:10" x14ac:dyDescent="0.55000000000000004">
      <c r="C476" s="2" t="s">
        <v>24</v>
      </c>
      <c r="D476" s="2">
        <v>0.174732</v>
      </c>
      <c r="E476" s="2">
        <v>0.23776700000000001</v>
      </c>
      <c r="F476" s="2">
        <v>0.228965</v>
      </c>
      <c r="G476" s="2">
        <v>0.22717499999999999</v>
      </c>
      <c r="H476" s="2">
        <f>AVERAGE(D476:G476)</f>
        <v>0.21715975000000001</v>
      </c>
      <c r="I476" s="2">
        <f xml:space="preserve"> _xlfn.STDEV.S(D476:G476) / SQRT(COUNT(D476:G476))</f>
        <v>1.4330741672915282E-2</v>
      </c>
      <c r="J476" s="2">
        <f>I476*$J$2</f>
        <v>1.791024717169673E-2</v>
      </c>
    </row>
    <row r="477" spans="2:10" x14ac:dyDescent="0.55000000000000004">
      <c r="C477" s="2" t="s">
        <v>25</v>
      </c>
      <c r="D477" s="2">
        <v>8.4900000000000004E-4</v>
      </c>
      <c r="E477" s="2">
        <v>6.8469999999999998E-3</v>
      </c>
      <c r="F477" s="2">
        <v>4.8799999999999999E-4</v>
      </c>
      <c r="G477" s="2">
        <v>2.588E-3</v>
      </c>
      <c r="H477" s="2">
        <f>(1/COUNT(D477:G477))*SQRT(SUMSQ(D477:G477))</f>
        <v>1.8462478503711249E-3</v>
      </c>
    </row>
    <row r="478" spans="2:10" x14ac:dyDescent="0.55000000000000004">
      <c r="C478" s="2" t="s">
        <v>26</v>
      </c>
      <c r="D478" s="2">
        <v>0.88157799999999997</v>
      </c>
      <c r="E478" s="2">
        <v>0.85105600000000003</v>
      </c>
      <c r="F478" s="2">
        <v>0.916412</v>
      </c>
      <c r="G478" s="2">
        <v>0.93421500000000002</v>
      </c>
      <c r="H478" s="2">
        <f>AVERAGE(D478:G478)</f>
        <v>0.89581525000000006</v>
      </c>
      <c r="I478" s="2">
        <f xml:space="preserve"> _xlfn.STDEV.S(D478:G478) / SQRT(COUNT(D478:G478))</f>
        <v>1.8495172024860073E-2</v>
      </c>
      <c r="J478" s="2">
        <f>I478*$J$2</f>
        <v>2.3114861045493137E-2</v>
      </c>
    </row>
    <row r="479" spans="2:10" x14ac:dyDescent="0.55000000000000004">
      <c r="C479" s="2" t="s">
        <v>27</v>
      </c>
      <c r="D479" s="2">
        <v>6.4899999999999995E-4</v>
      </c>
      <c r="E479" s="2">
        <v>3.862E-3</v>
      </c>
      <c r="F479" s="2">
        <v>3.4099999999999999E-4</v>
      </c>
      <c r="G479" s="2">
        <v>1.1590000000000001E-3</v>
      </c>
      <c r="H479" s="2">
        <f>(1/COUNT(D479:G479))*SQRT(SUMSQ(D479:G479))</f>
        <v>1.0245671952097627E-3</v>
      </c>
    </row>
    <row r="480" spans="2:10" x14ac:dyDescent="0.55000000000000004">
      <c r="C480" s="2" t="s">
        <v>28</v>
      </c>
      <c r="D480" s="2">
        <v>1.110247</v>
      </c>
      <c r="E480" s="2">
        <v>1.5418769999999999</v>
      </c>
      <c r="F480" s="2">
        <v>1.613399</v>
      </c>
      <c r="G480" s="2">
        <v>1.645394</v>
      </c>
      <c r="H480" s="2">
        <f>AVERAGE(D480:G480)</f>
        <v>1.4777292499999999</v>
      </c>
      <c r="I480" s="2">
        <f xml:space="preserve"> _xlfn.STDEV.S(D480:G480) / SQRT(COUNT(D480:G480))</f>
        <v>0.12439047637471792</v>
      </c>
      <c r="J480" s="2">
        <f>I480*$J$2</f>
        <v>0.15546049384777511</v>
      </c>
    </row>
    <row r="481" spans="2:10" x14ac:dyDescent="0.55000000000000004">
      <c r="C481" s="2" t="s">
        <v>29</v>
      </c>
      <c r="D481" s="2">
        <v>8.2769999999999996E-3</v>
      </c>
      <c r="E481" s="2">
        <v>4.3189999999999999E-2</v>
      </c>
      <c r="F481" s="2">
        <v>8.8540000000000008E-3</v>
      </c>
      <c r="G481" s="2">
        <v>3.0498000000000001E-2</v>
      </c>
      <c r="H481" s="2">
        <f>(1/COUNT(D481:G481))*SQRT(SUMSQ(D481:G481))</f>
        <v>1.3560987586178965E-2</v>
      </c>
    </row>
    <row r="482" spans="2:10" x14ac:dyDescent="0.55000000000000004">
      <c r="C482" s="2" t="s">
        <v>30</v>
      </c>
      <c r="D482" s="2">
        <v>17.007209</v>
      </c>
      <c r="E482" s="2">
        <v>22.719757000000001</v>
      </c>
      <c r="F482" s="2">
        <v>18.874222</v>
      </c>
      <c r="G482" s="2">
        <v>28.633824000000001</v>
      </c>
      <c r="H482" s="2">
        <f>AVERAGE(D482:G482)</f>
        <v>21.808753000000003</v>
      </c>
      <c r="I482" s="2">
        <f xml:space="preserve"> _xlfn.STDEV.S(D482:G482) / SQRT(COUNT(D482:G482))</f>
        <v>2.5670641372482526</v>
      </c>
      <c r="J482" s="2">
        <f>I482*$J$2</f>
        <v>3.2082605529488717</v>
      </c>
    </row>
    <row r="483" spans="2:10" x14ac:dyDescent="0.55000000000000004">
      <c r="C483" s="2" t="s">
        <v>31</v>
      </c>
      <c r="D483" s="2">
        <v>0.19733999999999999</v>
      </c>
      <c r="E483" s="2">
        <v>0.14176</v>
      </c>
      <c r="F483" s="2">
        <v>6.0997999999999997E-2</v>
      </c>
      <c r="G483" s="2">
        <v>0.23025999999999999</v>
      </c>
      <c r="H483" s="2">
        <f>(1/COUNT(D483:G483))*SQRT(SUMSQ(D483:G483))</f>
        <v>8.506592913881561E-2</v>
      </c>
    </row>
    <row r="484" spans="2:10" x14ac:dyDescent="0.55000000000000004">
      <c r="B484" s="2" t="s">
        <v>35</v>
      </c>
      <c r="C484" s="2" t="s">
        <v>22</v>
      </c>
      <c r="D484" s="2">
        <v>0.98279300000000003</v>
      </c>
      <c r="E484" s="2">
        <v>0.95720799999999995</v>
      </c>
      <c r="F484" s="2">
        <v>0.99242699999999995</v>
      </c>
      <c r="G484" s="2">
        <v>0.99167400000000006</v>
      </c>
      <c r="H484" s="2">
        <f>AVERAGE(D484:G484)</f>
        <v>0.98102549999999999</v>
      </c>
      <c r="I484" s="2">
        <f xml:space="preserve"> _xlfn.STDEV.S(D484:G484) / SQRT(COUNT(D484:G484))</f>
        <v>8.2349970501917526E-3</v>
      </c>
      <c r="J484" s="2">
        <f>I484*$J$2</f>
        <v>1.0291919008342847E-2</v>
      </c>
    </row>
    <row r="485" spans="2:10" x14ac:dyDescent="0.55000000000000004">
      <c r="C485" s="2" t="s">
        <v>23</v>
      </c>
      <c r="D485" s="2">
        <v>1.3899999999999999E-4</v>
      </c>
      <c r="E485" s="2">
        <v>6.5799999999999995E-4</v>
      </c>
      <c r="F485" s="2">
        <v>1.03E-4</v>
      </c>
      <c r="G485" s="2">
        <v>1.18E-4</v>
      </c>
      <c r="H485" s="2">
        <f>(1/COUNT(D485:G485))*SQRT(SUMSQ(D485:G485))</f>
        <v>1.7263002346057884E-4</v>
      </c>
    </row>
    <row r="486" spans="2:10" x14ac:dyDescent="0.55000000000000004">
      <c r="C486" s="2" t="s">
        <v>24</v>
      </c>
      <c r="D486" s="2">
        <v>0.19293099999999999</v>
      </c>
      <c r="E486" s="2">
        <v>0.28990100000000002</v>
      </c>
      <c r="F486" s="2">
        <v>0.23566599999999999</v>
      </c>
      <c r="G486" s="2">
        <v>0.22874800000000001</v>
      </c>
      <c r="H486" s="2">
        <f>AVERAGE(D486:G486)</f>
        <v>0.23681150000000001</v>
      </c>
      <c r="I486" s="2">
        <f xml:space="preserve"> _xlfn.STDEV.S(D486:G486) / SQRT(COUNT(D486:G486))</f>
        <v>2.0021499887620763E-2</v>
      </c>
      <c r="J486" s="2">
        <f>I486*$J$2</f>
        <v>2.5022432189473608E-2</v>
      </c>
    </row>
    <row r="487" spans="2:10" x14ac:dyDescent="0.55000000000000004">
      <c r="C487" s="2" t="s">
        <v>25</v>
      </c>
      <c r="D487" s="2">
        <v>5.9999999999999995E-4</v>
      </c>
      <c r="E487" s="2">
        <v>2.1099999999999999E-3</v>
      </c>
      <c r="F487" s="2">
        <v>7.7999999999999999E-4</v>
      </c>
      <c r="G487" s="2">
        <v>7.4600000000000003E-4</v>
      </c>
      <c r="H487" s="2">
        <f>(1/COUNT(D487:G487))*SQRT(SUMSQ(D487:G487))</f>
        <v>6.1119841295605463E-4</v>
      </c>
    </row>
    <row r="488" spans="2:10" x14ac:dyDescent="0.55000000000000004">
      <c r="C488" s="2" t="s">
        <v>26</v>
      </c>
      <c r="D488" s="2">
        <v>0.86843099999999995</v>
      </c>
      <c r="E488" s="2">
        <v>0.82319699999999996</v>
      </c>
      <c r="F488" s="2">
        <v>0.91451099999999996</v>
      </c>
      <c r="G488" s="2">
        <v>0.93387299999999995</v>
      </c>
      <c r="H488" s="2">
        <f>AVERAGE(D488:G488)</f>
        <v>0.88500299999999998</v>
      </c>
      <c r="I488" s="2">
        <f xml:space="preserve"> _xlfn.STDEV.S(D488:G488) / SQRT(COUNT(D488:G488))</f>
        <v>2.4754817349356469E-2</v>
      </c>
      <c r="J488" s="2">
        <f>I488*$J$2</f>
        <v>3.0938028717322333E-2</v>
      </c>
    </row>
    <row r="489" spans="2:10" x14ac:dyDescent="0.55000000000000004">
      <c r="C489" s="2" t="s">
        <v>27</v>
      </c>
      <c r="D489" s="2">
        <v>5.1699999999999999E-4</v>
      </c>
      <c r="E489" s="2">
        <v>1.2719999999999999E-3</v>
      </c>
      <c r="F489" s="2">
        <v>4.9100000000000001E-4</v>
      </c>
      <c r="G489" s="2">
        <v>3.6999999999999999E-4</v>
      </c>
      <c r="H489" s="2">
        <f>(1/COUNT(D489:G489))*SQRT(SUMSQ(D489:G489))</f>
        <v>3.7610287821286345E-4</v>
      </c>
    </row>
    <row r="490" spans="2:10" x14ac:dyDescent="0.55000000000000004">
      <c r="C490" s="2" t="s">
        <v>28</v>
      </c>
      <c r="D490" s="2">
        <v>1.2819640000000001</v>
      </c>
      <c r="E490" s="2">
        <v>1.894244</v>
      </c>
      <c r="F490" s="2">
        <v>1.734402</v>
      </c>
      <c r="G490" s="2">
        <v>1.679621</v>
      </c>
      <c r="H490" s="2">
        <f>AVERAGE(D490:G490)</f>
        <v>1.64755775</v>
      </c>
      <c r="I490" s="2">
        <f xml:space="preserve"> _xlfn.STDEV.S(D490:G490) / SQRT(COUNT(D490:G490))</f>
        <v>0.13009063242497212</v>
      </c>
      <c r="J490" s="2">
        <f>I490*$J$2</f>
        <v>0.16258442407465548</v>
      </c>
    </row>
    <row r="491" spans="2:10" x14ac:dyDescent="0.55000000000000004">
      <c r="C491" s="2" t="s">
        <v>29</v>
      </c>
      <c r="D491" s="2">
        <v>6.4190000000000002E-3</v>
      </c>
      <c r="E491" s="2">
        <v>1.8783999999999999E-2</v>
      </c>
      <c r="F491" s="2">
        <v>1.4012999999999999E-2</v>
      </c>
      <c r="G491" s="2">
        <v>9.0030000000000006E-3</v>
      </c>
      <c r="H491" s="2">
        <f>(1/COUNT(D491:G491))*SQRT(SUMSQ(D491:G491))</f>
        <v>6.4781382115157125E-3</v>
      </c>
    </row>
    <row r="492" spans="2:10" x14ac:dyDescent="0.55000000000000004">
      <c r="C492" s="2" t="s">
        <v>30</v>
      </c>
      <c r="D492" s="2">
        <v>20.514856000000002</v>
      </c>
      <c r="E492" s="2">
        <v>25.647197999999999</v>
      </c>
      <c r="F492" s="2">
        <v>19.018522999999998</v>
      </c>
      <c r="G492" s="2">
        <v>29.313776000000001</v>
      </c>
      <c r="H492" s="2">
        <f>AVERAGE(D492:G492)</f>
        <v>23.623588250000001</v>
      </c>
      <c r="I492" s="2">
        <f xml:space="preserve"> _xlfn.STDEV.S(D492:G492) / SQRT(COUNT(D492:G492))</f>
        <v>2.3689673419989798</v>
      </c>
      <c r="J492" s="2">
        <f>I492*$J$2</f>
        <v>2.9606835155690812</v>
      </c>
    </row>
    <row r="493" spans="2:10" x14ac:dyDescent="0.55000000000000004">
      <c r="C493" s="2" t="s">
        <v>31</v>
      </c>
      <c r="D493" s="2">
        <v>0.13719300000000001</v>
      </c>
      <c r="E493" s="2">
        <v>0.160526</v>
      </c>
      <c r="F493" s="2">
        <v>8.2147999999999999E-2</v>
      </c>
      <c r="G493" s="2">
        <v>8.7022000000000002E-2</v>
      </c>
      <c r="H493" s="2">
        <f>(1/COUNT(D493:G493))*SQRT(SUMSQ(D493:G493))</f>
        <v>6.067929955563512E-2</v>
      </c>
    </row>
    <row r="494" spans="2:10" x14ac:dyDescent="0.55000000000000004">
      <c r="B494" s="2" t="s">
        <v>45</v>
      </c>
      <c r="C494" s="2" t="s">
        <v>22</v>
      </c>
      <c r="D494" s="2">
        <v>0.98342799999999997</v>
      </c>
      <c r="E494" s="2">
        <v>0.963781</v>
      </c>
      <c r="F494" s="2">
        <v>0.993259</v>
      </c>
      <c r="G494" s="2">
        <v>0.99197599999999997</v>
      </c>
      <c r="H494" s="2">
        <f>AVERAGE(D494:G494)</f>
        <v>0.98311100000000007</v>
      </c>
      <c r="I494" s="2">
        <f xml:space="preserve"> _xlfn.STDEV.S(D494:G494) / SQRT(COUNT(D494:G494))</f>
        <v>6.8026925919079982E-3</v>
      </c>
      <c r="J494" s="2">
        <f>I494*$J$2</f>
        <v>8.5018562566383359E-3</v>
      </c>
    </row>
    <row r="495" spans="2:10" x14ac:dyDescent="0.55000000000000004">
      <c r="C495" s="2" t="s">
        <v>23</v>
      </c>
      <c r="D495" s="2">
        <v>4.7699999999999999E-4</v>
      </c>
      <c r="E495" s="2">
        <v>1.9350000000000001E-3</v>
      </c>
      <c r="F495" s="2">
        <v>1.1400000000000001E-4</v>
      </c>
      <c r="G495" s="2">
        <v>2.6899999999999998E-4</v>
      </c>
      <c r="H495" s="2">
        <f>(1/COUNT(D495:G495))*SQRT(SUMSQ(D495:G495))</f>
        <v>5.0355678676788777E-4</v>
      </c>
    </row>
    <row r="496" spans="2:10" x14ac:dyDescent="0.55000000000000004">
      <c r="C496" s="2" t="s">
        <v>24</v>
      </c>
      <c r="D496" s="2">
        <v>0.18928500000000001</v>
      </c>
      <c r="E496" s="2">
        <v>0.26962999999999998</v>
      </c>
      <c r="F496" s="2">
        <v>0.22204399999999999</v>
      </c>
      <c r="G496" s="2">
        <v>0.220579</v>
      </c>
      <c r="H496" s="2">
        <f>AVERAGE(D496:G496)</f>
        <v>0.22538449999999999</v>
      </c>
      <c r="I496" s="2">
        <f xml:space="preserve"> _xlfn.STDEV.S(D496:G496) / SQRT(COUNT(D496:G496))</f>
        <v>1.6570782371893814E-2</v>
      </c>
      <c r="J496" s="2">
        <f>I496*$J$2</f>
        <v>2.0709800991663422E-2</v>
      </c>
    </row>
    <row r="497" spans="2:10" x14ac:dyDescent="0.55000000000000004">
      <c r="C497" s="2" t="s">
        <v>25</v>
      </c>
      <c r="D497" s="2">
        <v>2.1540000000000001E-3</v>
      </c>
      <c r="E497" s="2">
        <v>6.3200000000000001E-3</v>
      </c>
      <c r="F497" s="2">
        <v>2.0730000000000002E-3</v>
      </c>
      <c r="G497" s="2">
        <v>2.3540000000000002E-3</v>
      </c>
      <c r="H497" s="2">
        <f>(1/COUNT(D497:G497))*SQRT(SUMSQ(D497:G497))</f>
        <v>1.8442607089291904E-3</v>
      </c>
    </row>
    <row r="498" spans="2:10" x14ac:dyDescent="0.55000000000000004">
      <c r="C498" s="2" t="s">
        <v>26</v>
      </c>
      <c r="D498" s="2">
        <v>0.87106099999999997</v>
      </c>
      <c r="E498" s="2">
        <v>0.83436900000000003</v>
      </c>
      <c r="F498" s="2">
        <v>0.91933500000000001</v>
      </c>
      <c r="G498" s="2">
        <v>0.93675399999999998</v>
      </c>
      <c r="H498" s="2">
        <f>AVERAGE(D498:G498)</f>
        <v>0.89037975000000003</v>
      </c>
      <c r="I498" s="2">
        <f xml:space="preserve"> _xlfn.STDEV.S(D498:G498) / SQRT(COUNT(D498:G498))</f>
        <v>2.3272651658742424E-2</v>
      </c>
      <c r="J498" s="2">
        <f>I498*$J$2</f>
        <v>2.9085650489161449E-2</v>
      </c>
    </row>
    <row r="499" spans="2:10" x14ac:dyDescent="0.55000000000000004">
      <c r="C499" s="2" t="s">
        <v>27</v>
      </c>
      <c r="D499" s="2">
        <v>1.879E-3</v>
      </c>
      <c r="E499" s="2">
        <v>3.3600000000000001E-3</v>
      </c>
      <c r="F499" s="2">
        <v>4.9100000000000001E-4</v>
      </c>
      <c r="G499" s="2">
        <v>8.0599999999999997E-4</v>
      </c>
      <c r="H499" s="2">
        <f>(1/COUNT(D499:G499))*SQRT(SUMSQ(D499:G499))</f>
        <v>9.9092627122304103E-4</v>
      </c>
    </row>
    <row r="500" spans="2:10" x14ac:dyDescent="0.55000000000000004">
      <c r="C500" s="2" t="s">
        <v>28</v>
      </c>
      <c r="D500" s="2">
        <v>1.256</v>
      </c>
      <c r="E500" s="2">
        <v>1.8198859999999999</v>
      </c>
      <c r="F500" s="2">
        <v>1.476234</v>
      </c>
      <c r="G500" s="2">
        <v>1.5219400000000001</v>
      </c>
      <c r="H500" s="2">
        <f>AVERAGE(D500:G500)</f>
        <v>1.5185149999999998</v>
      </c>
      <c r="I500" s="2">
        <f xml:space="preserve"> _xlfn.STDEV.S(D500:G500) / SQRT(COUNT(D500:G500))</f>
        <v>0.11602371110107947</v>
      </c>
      <c r="J500" s="2">
        <f>I500*$J$2</f>
        <v>0.14500389379882944</v>
      </c>
    </row>
    <row r="501" spans="2:10" x14ac:dyDescent="0.55000000000000004">
      <c r="C501" s="2" t="s">
        <v>29</v>
      </c>
      <c r="D501" s="2">
        <v>1.6965999999999998E-2</v>
      </c>
      <c r="E501" s="2">
        <v>3.5890999999999999E-2</v>
      </c>
      <c r="F501" s="2">
        <v>4.2639999999999997E-2</v>
      </c>
      <c r="G501" s="2">
        <v>3.3959999999999997E-2</v>
      </c>
      <c r="H501" s="2">
        <f>(1/COUNT(D501:G501))*SQRT(SUMSQ(D501:G501))</f>
        <v>1.6858714803107026E-2</v>
      </c>
    </row>
    <row r="502" spans="2:10" x14ac:dyDescent="0.55000000000000004">
      <c r="C502" s="2" t="s">
        <v>30</v>
      </c>
      <c r="D502" s="2">
        <v>21.400803</v>
      </c>
      <c r="E502" s="2">
        <v>26.70093</v>
      </c>
      <c r="F502" s="2">
        <v>17.848068999999999</v>
      </c>
      <c r="G502" s="2">
        <v>27.717386000000001</v>
      </c>
      <c r="H502" s="2">
        <f>AVERAGE(D502:G502)</f>
        <v>23.416796999999999</v>
      </c>
      <c r="I502" s="2">
        <f xml:space="preserve"> _xlfn.STDEV.S(D502:G502) / SQRT(COUNT(D502:G502))</f>
        <v>2.3158072504462024</v>
      </c>
      <c r="J502" s="2">
        <f>I502*$J$2</f>
        <v>2.8942451970848579</v>
      </c>
    </row>
    <row r="503" spans="2:10" x14ac:dyDescent="0.55000000000000004">
      <c r="C503" s="2" t="s">
        <v>31</v>
      </c>
      <c r="D503" s="2">
        <v>0.29117700000000002</v>
      </c>
      <c r="E503" s="2">
        <v>0.31055100000000002</v>
      </c>
      <c r="F503" s="2">
        <v>0.28449999999999998</v>
      </c>
      <c r="G503" s="2">
        <v>0.374807</v>
      </c>
      <c r="H503" s="2">
        <f>(1/COUNT(D503:G503))*SQRT(SUMSQ(D503:G503))</f>
        <v>0.15863608239044324</v>
      </c>
    </row>
    <row r="504" spans="2:10" x14ac:dyDescent="0.55000000000000004">
      <c r="B504" s="2" t="s">
        <v>46</v>
      </c>
      <c r="C504" s="2" t="s">
        <v>22</v>
      </c>
      <c r="H504" s="2" t="e">
        <f>AVERAGE(D504:G504)</f>
        <v>#DIV/0!</v>
      </c>
      <c r="I504" s="2" t="e">
        <f xml:space="preserve"> _xlfn.STDEV.S(D504:G504) / SQRT(COUNT(D504:G504))</f>
        <v>#DIV/0!</v>
      </c>
      <c r="J504" s="2" t="e">
        <f>I504*$J$2</f>
        <v>#DIV/0!</v>
      </c>
    </row>
    <row r="505" spans="2:10" x14ac:dyDescent="0.55000000000000004">
      <c r="C505" s="2" t="s">
        <v>23</v>
      </c>
      <c r="H505" s="2" t="e">
        <f>(1/COUNT(D505:G505))*SQRT(SUMSQ(D505:G505))</f>
        <v>#DIV/0!</v>
      </c>
    </row>
    <row r="506" spans="2:10" x14ac:dyDescent="0.55000000000000004">
      <c r="C506" s="2" t="s">
        <v>24</v>
      </c>
      <c r="H506" s="2" t="e">
        <f>AVERAGE(D506:G506)</f>
        <v>#DIV/0!</v>
      </c>
      <c r="I506" s="2" t="e">
        <f xml:space="preserve"> _xlfn.STDEV.S(D506:G506) / SQRT(COUNT(D506:G506))</f>
        <v>#DIV/0!</v>
      </c>
      <c r="J506" s="2" t="e">
        <f>I506*$J$2</f>
        <v>#DIV/0!</v>
      </c>
    </row>
    <row r="507" spans="2:10" x14ac:dyDescent="0.55000000000000004">
      <c r="C507" s="2" t="s">
        <v>25</v>
      </c>
      <c r="H507" s="2" t="e">
        <f>(1/COUNT(D507:G507))*SQRT(SUMSQ(D507:G507))</f>
        <v>#DIV/0!</v>
      </c>
    </row>
    <row r="508" spans="2:10" x14ac:dyDescent="0.55000000000000004">
      <c r="C508" s="2" t="s">
        <v>26</v>
      </c>
      <c r="H508" s="2" t="e">
        <f>AVERAGE(D508:G508)</f>
        <v>#DIV/0!</v>
      </c>
      <c r="I508" s="2" t="e">
        <f xml:space="preserve"> _xlfn.STDEV.S(D508:G508) / SQRT(COUNT(D508:G508))</f>
        <v>#DIV/0!</v>
      </c>
      <c r="J508" s="2" t="e">
        <f>I508*$J$2</f>
        <v>#DIV/0!</v>
      </c>
    </row>
    <row r="509" spans="2:10" x14ac:dyDescent="0.55000000000000004">
      <c r="C509" s="2" t="s">
        <v>27</v>
      </c>
      <c r="H509" s="2" t="e">
        <f>(1/COUNT(D509:G509))*SQRT(SUMSQ(D509:G509))</f>
        <v>#DIV/0!</v>
      </c>
    </row>
    <row r="510" spans="2:10" x14ac:dyDescent="0.55000000000000004">
      <c r="C510" s="2" t="s">
        <v>28</v>
      </c>
      <c r="H510" s="2" t="e">
        <f>AVERAGE(D510:G510)</f>
        <v>#DIV/0!</v>
      </c>
      <c r="I510" s="2" t="e">
        <f xml:space="preserve"> _xlfn.STDEV.S(D510:G510) / SQRT(COUNT(D510:G510))</f>
        <v>#DIV/0!</v>
      </c>
      <c r="J510" s="2" t="e">
        <f>I510*$J$2</f>
        <v>#DIV/0!</v>
      </c>
    </row>
    <row r="511" spans="2:10" x14ac:dyDescent="0.55000000000000004">
      <c r="C511" s="2" t="s">
        <v>29</v>
      </c>
      <c r="H511" s="2" t="e">
        <f>(1/COUNT(D511:G511))*SQRT(SUMSQ(D511:G511))</f>
        <v>#DIV/0!</v>
      </c>
    </row>
    <row r="512" spans="2:10" x14ac:dyDescent="0.55000000000000004">
      <c r="C512" s="2" t="s">
        <v>30</v>
      </c>
      <c r="H512" s="2" t="e">
        <f>AVERAGE(D512:G512)</f>
        <v>#DIV/0!</v>
      </c>
      <c r="I512" s="2" t="e">
        <f xml:space="preserve"> _xlfn.STDEV.S(D512:G512) / SQRT(COUNT(D512:G512))</f>
        <v>#DIV/0!</v>
      </c>
      <c r="J512" s="2" t="e">
        <f>I512*$J$2</f>
        <v>#DIV/0!</v>
      </c>
    </row>
    <row r="513" spans="2:20" x14ac:dyDescent="0.55000000000000004">
      <c r="C513" s="2" t="s">
        <v>31</v>
      </c>
      <c r="H513" s="2" t="e">
        <f>(1/COUNT(D513:G513))*SQRT(SUMSQ(D513:G513))</f>
        <v>#DIV/0!</v>
      </c>
    </row>
    <row r="514" spans="2:20" x14ac:dyDescent="0.55000000000000004">
      <c r="B514" s="2" t="s">
        <v>36</v>
      </c>
      <c r="C514" s="2" t="s">
        <v>22</v>
      </c>
      <c r="D514" s="2">
        <v>0.98398600000000003</v>
      </c>
      <c r="E514" s="2">
        <v>0.965171</v>
      </c>
      <c r="F514" s="2">
        <v>0.99279799999999996</v>
      </c>
      <c r="G514" s="2">
        <v>0.99257600000000001</v>
      </c>
      <c r="H514" s="2">
        <f t="shared" ref="H514:H532" si="25">AVERAGE(D514:G514)</f>
        <v>0.98363275000000006</v>
      </c>
      <c r="I514" s="2">
        <f xml:space="preserve"> _xlfn.STDEV.S(D514:G514) / SQRT(COUNT(D514:G514))</f>
        <v>6.4868105076763228E-3</v>
      </c>
      <c r="J514" s="2">
        <f>I514*$J$2</f>
        <v>8.1070737439933281E-3</v>
      </c>
    </row>
    <row r="515" spans="2:20" x14ac:dyDescent="0.55000000000000004">
      <c r="C515" s="2" t="s">
        <v>24</v>
      </c>
      <c r="D515" s="2">
        <v>0.18771399999999999</v>
      </c>
      <c r="E515" s="2">
        <v>0.26527099999999998</v>
      </c>
      <c r="F515" s="2">
        <v>0.22866800000000001</v>
      </c>
      <c r="G515" s="2">
        <v>0.21743499999999999</v>
      </c>
      <c r="H515" s="2">
        <f t="shared" si="25"/>
        <v>0.22477199999999997</v>
      </c>
      <c r="I515" s="2">
        <f t="shared" ref="I515:I528" si="26" xml:space="preserve"> _xlfn.STDEV.S(D515:G515) / SQRT(COUNT(D515:G515))</f>
        <v>1.602725478156931E-2</v>
      </c>
      <c r="J515" s="2">
        <f t="shared" ref="J515:J528" si="27">I515*$J$2</f>
        <v>2.0030512109794389E-2</v>
      </c>
    </row>
    <row r="516" spans="2:20" x14ac:dyDescent="0.55000000000000004">
      <c r="C516" s="2" t="s">
        <v>26</v>
      </c>
      <c r="D516" s="2">
        <v>0.87332900000000002</v>
      </c>
      <c r="E516" s="2">
        <v>0.83508599999999999</v>
      </c>
      <c r="F516" s="2">
        <v>0.91645500000000002</v>
      </c>
      <c r="G516" s="2">
        <v>0.93812200000000001</v>
      </c>
      <c r="H516" s="2">
        <f t="shared" si="25"/>
        <v>0.89074799999999998</v>
      </c>
      <c r="I516" s="2">
        <f t="shared" si="26"/>
        <v>2.2925287221028805E-2</v>
      </c>
      <c r="J516" s="2">
        <f t="shared" si="27"/>
        <v>2.8651522020439791E-2</v>
      </c>
    </row>
    <row r="517" spans="2:20" x14ac:dyDescent="0.55000000000000004">
      <c r="C517" s="2" t="s">
        <v>28</v>
      </c>
      <c r="D517" s="2">
        <v>1.258173</v>
      </c>
      <c r="E517" s="2">
        <v>1.7494749999999999</v>
      </c>
      <c r="F517" s="2">
        <v>1.590692</v>
      </c>
      <c r="G517" s="2">
        <v>1.503657</v>
      </c>
      <c r="H517" s="2">
        <f t="shared" si="25"/>
        <v>1.5254992499999998</v>
      </c>
      <c r="I517" s="2">
        <f t="shared" si="26"/>
        <v>0.10261401750603714</v>
      </c>
      <c r="J517" s="2">
        <f t="shared" si="27"/>
        <v>0.1282447523485413</v>
      </c>
    </row>
    <row r="518" spans="2:20" x14ac:dyDescent="0.55000000000000004">
      <c r="C518" s="2" t="s">
        <v>30</v>
      </c>
      <c r="D518" s="2">
        <v>19.032805</v>
      </c>
      <c r="E518" s="2">
        <v>24.757442000000001</v>
      </c>
      <c r="F518" s="2">
        <v>18.882542000000001</v>
      </c>
      <c r="G518" s="2">
        <v>27.730433000000001</v>
      </c>
      <c r="H518" s="2">
        <f t="shared" si="25"/>
        <v>22.6008055</v>
      </c>
      <c r="I518" s="2">
        <f t="shared" si="26"/>
        <v>2.1893733940963034</v>
      </c>
      <c r="J518" s="2">
        <f t="shared" si="27"/>
        <v>2.7362309316838385</v>
      </c>
    </row>
    <row r="519" spans="2:20" ht="14.25" customHeight="1" x14ac:dyDescent="0.55000000000000004">
      <c r="B519" s="2" t="s">
        <v>37</v>
      </c>
      <c r="C519" s="2" t="s">
        <v>22</v>
      </c>
      <c r="D519" s="2">
        <v>0.98062400000000005</v>
      </c>
      <c r="E519" s="2">
        <v>0.91557999999999995</v>
      </c>
      <c r="F519" s="2">
        <v>0.986174</v>
      </c>
      <c r="G519" s="2">
        <v>0.98298700000000006</v>
      </c>
      <c r="H519" s="2">
        <f t="shared" si="25"/>
        <v>0.96634125000000004</v>
      </c>
      <c r="I519" s="2">
        <f t="shared" si="26"/>
        <v>1.695857800335376E-2</v>
      </c>
      <c r="J519" s="2">
        <f t="shared" si="27"/>
        <v>2.1194459481089598E-2</v>
      </c>
    </row>
    <row r="520" spans="2:20" x14ac:dyDescent="0.55000000000000004">
      <c r="C520" s="2" t="s">
        <v>24</v>
      </c>
      <c r="D520" s="2">
        <v>0.204295</v>
      </c>
      <c r="E520" s="2">
        <v>0.40050000000000002</v>
      </c>
      <c r="F520" s="2">
        <v>0.26466699999999999</v>
      </c>
      <c r="G520" s="2">
        <v>0.266764</v>
      </c>
      <c r="H520" s="2">
        <f t="shared" si="25"/>
        <v>0.28405649999999999</v>
      </c>
      <c r="I520" s="2">
        <f t="shared" si="26"/>
        <v>4.1428622192271926E-2</v>
      </c>
      <c r="J520" s="2">
        <f t="shared" si="27"/>
        <v>5.1776584937595023E-2</v>
      </c>
    </row>
    <row r="521" spans="2:20" x14ac:dyDescent="0.55000000000000004">
      <c r="C521" s="2" t="s">
        <v>26</v>
      </c>
      <c r="D521" s="2">
        <v>0.85852799999999996</v>
      </c>
      <c r="E521" s="2">
        <v>0.767424</v>
      </c>
      <c r="F521" s="2">
        <v>0.88422199999999995</v>
      </c>
      <c r="G521" s="2">
        <v>0.90809700000000004</v>
      </c>
      <c r="H521" s="2">
        <f t="shared" si="25"/>
        <v>0.85456774999999996</v>
      </c>
      <c r="I521" s="2">
        <f t="shared" si="26"/>
        <v>3.0760461489751745E-2</v>
      </c>
      <c r="J521" s="2">
        <f t="shared" si="27"/>
        <v>3.8443751270609429E-2</v>
      </c>
    </row>
    <row r="522" spans="2:20" x14ac:dyDescent="0.55000000000000004">
      <c r="C522" s="2" t="s">
        <v>28</v>
      </c>
      <c r="D522" s="2">
        <v>1.4185270000000001</v>
      </c>
      <c r="E522" s="2">
        <v>2.9520819999999999</v>
      </c>
      <c r="F522" s="2">
        <v>2.195557</v>
      </c>
      <c r="G522" s="2">
        <v>2.0503719999999999</v>
      </c>
      <c r="H522" s="2">
        <f t="shared" si="25"/>
        <v>2.1541345000000001</v>
      </c>
      <c r="I522" s="2">
        <f t="shared" si="26"/>
        <v>0.31494987520834161</v>
      </c>
      <c r="J522" s="2">
        <f t="shared" si="27"/>
        <v>0.39361745821833188</v>
      </c>
    </row>
    <row r="523" spans="2:20" x14ac:dyDescent="0.55000000000000004">
      <c r="C523" s="2" t="s">
        <v>30</v>
      </c>
      <c r="D523" s="2">
        <v>21.185942000000001</v>
      </c>
      <c r="E523" s="2">
        <v>31.563241000000001</v>
      </c>
      <c r="F523" s="2">
        <v>22.151289999999999</v>
      </c>
      <c r="G523" s="2">
        <v>32.666508</v>
      </c>
      <c r="H523" s="2">
        <f t="shared" si="25"/>
        <v>26.89174525</v>
      </c>
      <c r="I523" s="2">
        <f t="shared" si="26"/>
        <v>3.0303858949262938</v>
      </c>
      <c r="J523" s="2">
        <f t="shared" si="27"/>
        <v>3.7873099412803972</v>
      </c>
      <c r="P523" s="2" t="s">
        <v>38</v>
      </c>
      <c r="Q523" s="2" cm="1">
        <f t="array" ref="Q523:T523">D520:G520/D523:G523</f>
        <v>9.6429509719227965E-3</v>
      </c>
      <c r="R523" s="2">
        <v>1.2688811012785411E-2</v>
      </c>
      <c r="S523" s="2">
        <v>1.1948152906670447E-2</v>
      </c>
      <c r="T523" s="2">
        <v>8.1662845627699168E-3</v>
      </c>
    </row>
    <row r="524" spans="2:20" x14ac:dyDescent="0.55000000000000004">
      <c r="B524" s="2" t="s">
        <v>39</v>
      </c>
      <c r="C524" s="2" t="s">
        <v>22</v>
      </c>
      <c r="D524" s="2">
        <v>0.98702100000000004</v>
      </c>
      <c r="E524" s="2">
        <v>0.97532300000000005</v>
      </c>
      <c r="F524" s="2">
        <v>0.992031</v>
      </c>
      <c r="G524" s="2">
        <v>0.99171600000000004</v>
      </c>
      <c r="H524" s="2">
        <f t="shared" si="25"/>
        <v>0.98652275</v>
      </c>
      <c r="I524" s="2">
        <f t="shared" si="26"/>
        <v>3.9050535287624344E-3</v>
      </c>
      <c r="J524" s="2">
        <f t="shared" si="27"/>
        <v>4.8804503992300238E-3</v>
      </c>
    </row>
    <row r="525" spans="2:20" x14ac:dyDescent="0.55000000000000004">
      <c r="C525" s="2" t="s">
        <v>24</v>
      </c>
      <c r="D525" s="2">
        <v>0.17335500000000001</v>
      </c>
      <c r="E525" s="2">
        <v>0.23105999999999999</v>
      </c>
      <c r="F525" s="2">
        <v>0.233151</v>
      </c>
      <c r="G525" s="2">
        <v>0.22763900000000001</v>
      </c>
      <c r="H525" s="2">
        <f t="shared" si="25"/>
        <v>0.21630125</v>
      </c>
      <c r="I525" s="2">
        <f t="shared" si="26"/>
        <v>1.4360419390202463E-2</v>
      </c>
      <c r="J525" s="2">
        <f t="shared" si="27"/>
        <v>1.7947337732969616E-2</v>
      </c>
    </row>
    <row r="526" spans="2:20" x14ac:dyDescent="0.55000000000000004">
      <c r="C526" s="2" t="s">
        <v>26</v>
      </c>
      <c r="D526" s="2">
        <v>0.88394799999999996</v>
      </c>
      <c r="E526" s="2">
        <v>0.85550899999999996</v>
      </c>
      <c r="F526" s="2">
        <v>0.91178700000000001</v>
      </c>
      <c r="G526" s="2">
        <v>0.93466000000000005</v>
      </c>
      <c r="H526" s="2">
        <f t="shared" si="25"/>
        <v>0.89647599999999994</v>
      </c>
      <c r="I526" s="2">
        <f t="shared" si="26"/>
        <v>1.7145675961205708E-2</v>
      </c>
      <c r="J526" s="2">
        <f t="shared" si="27"/>
        <v>2.1428290412309391E-2</v>
      </c>
    </row>
    <row r="527" spans="2:20" x14ac:dyDescent="0.55000000000000004">
      <c r="C527" s="2" t="s">
        <v>28</v>
      </c>
      <c r="D527" s="2">
        <v>1.1166959999999999</v>
      </c>
      <c r="E527" s="2">
        <v>1.571261</v>
      </c>
      <c r="F527" s="2">
        <v>1.686042</v>
      </c>
      <c r="G527" s="2">
        <v>1.6536169999999999</v>
      </c>
      <c r="H527" s="2">
        <f t="shared" si="25"/>
        <v>1.5069039999999998</v>
      </c>
      <c r="I527" s="2">
        <f t="shared" si="26"/>
        <v>0.13229362359476526</v>
      </c>
      <c r="J527" s="2">
        <f t="shared" si="27"/>
        <v>0.16533767420424447</v>
      </c>
    </row>
    <row r="528" spans="2:20" x14ac:dyDescent="0.55000000000000004">
      <c r="C528" s="2" t="s">
        <v>30</v>
      </c>
      <c r="D528" s="2">
        <v>16.548535999999999</v>
      </c>
      <c r="E528" s="2">
        <v>22.702054</v>
      </c>
      <c r="F528" s="2">
        <v>19.189952999999999</v>
      </c>
      <c r="G528" s="2">
        <v>28.559073999999999</v>
      </c>
      <c r="H528" s="2">
        <f t="shared" si="25"/>
        <v>21.74990425</v>
      </c>
      <c r="I528" s="2">
        <f t="shared" si="26"/>
        <v>2.5961343683963527</v>
      </c>
      <c r="J528" s="2">
        <f t="shared" si="27"/>
        <v>3.2445918913460221</v>
      </c>
    </row>
    <row r="529" spans="1:10" x14ac:dyDescent="0.55000000000000004">
      <c r="B529" s="2" t="s">
        <v>61</v>
      </c>
      <c r="C529" s="2" t="s">
        <v>22</v>
      </c>
      <c r="D529" s="2">
        <v>0.96689000000000003</v>
      </c>
      <c r="E529" s="2">
        <v>0.90983999999999998</v>
      </c>
      <c r="F529" s="2">
        <v>0.98658400000000002</v>
      </c>
      <c r="G529" s="2">
        <v>0.98293699999999995</v>
      </c>
      <c r="H529" s="2">
        <f t="shared" si="25"/>
        <v>0.96156274999999991</v>
      </c>
      <c r="I529" s="2">
        <f xml:space="preserve"> _xlfn.STDEV.S(D529:G529) / SQRT(COUNT(D529:G529))</f>
        <v>1.77635956728689E-2</v>
      </c>
      <c r="J529" s="2">
        <f>I529*$J$2</f>
        <v>2.220055293861449E-2</v>
      </c>
    </row>
    <row r="530" spans="1:10" x14ac:dyDescent="0.55000000000000004">
      <c r="C530" s="2" t="s">
        <v>24</v>
      </c>
      <c r="D530" s="2">
        <v>0.27277299999999999</v>
      </c>
      <c r="E530" s="2">
        <v>0.42500199999999999</v>
      </c>
      <c r="F530" s="2">
        <v>0.28337899999999999</v>
      </c>
      <c r="G530" s="2">
        <v>0.28756700000000002</v>
      </c>
      <c r="H530" s="2">
        <f t="shared" si="25"/>
        <v>0.31718025000000005</v>
      </c>
      <c r="I530" s="2">
        <f t="shared" ref="I530:I531" si="28" xml:space="preserve"> _xlfn.STDEV.S(D530:G530) / SQRT(COUNT(D530:G530))</f>
        <v>3.6075156158994252E-2</v>
      </c>
      <c r="J530" s="2">
        <f t="shared" ref="J530:J531" si="29">I530*$J$2</f>
        <v>4.5085940303165511E-2</v>
      </c>
    </row>
    <row r="531" spans="1:10" x14ac:dyDescent="0.55000000000000004">
      <c r="C531" s="2" t="s">
        <v>26</v>
      </c>
      <c r="D531" s="2">
        <v>0.81913000000000002</v>
      </c>
      <c r="E531" s="2">
        <v>0.76485800000000004</v>
      </c>
      <c r="F531" s="2">
        <v>0.88748199999999999</v>
      </c>
      <c r="G531" s="2">
        <v>0.90628600000000004</v>
      </c>
      <c r="H531" s="2">
        <f t="shared" si="25"/>
        <v>0.84443900000000005</v>
      </c>
      <c r="I531" s="2">
        <f t="shared" si="28"/>
        <v>3.2469770941600432E-2</v>
      </c>
      <c r="J531" s="2">
        <f t="shared" si="29"/>
        <v>4.058000879825626E-2</v>
      </c>
    </row>
    <row r="532" spans="1:10" x14ac:dyDescent="0.55000000000000004">
      <c r="A532" s="2" t="s">
        <v>20</v>
      </c>
      <c r="B532" s="2" t="s">
        <v>21</v>
      </c>
      <c r="C532" s="2" t="s">
        <v>22</v>
      </c>
      <c r="D532" s="2">
        <v>0.98610900000000001</v>
      </c>
      <c r="E532" s="2">
        <v>0.97402599999999995</v>
      </c>
      <c r="F532" s="2">
        <v>0.99257099999999998</v>
      </c>
      <c r="G532" s="2">
        <v>0.99209800000000004</v>
      </c>
      <c r="H532" s="2">
        <f t="shared" si="25"/>
        <v>0.98620099999999999</v>
      </c>
      <c r="I532" s="2">
        <f xml:space="preserve"> _xlfn.STDEV.S(D532:G532) / SQRT(COUNT(D532:G532))</f>
        <v>4.3165437369883626E-3</v>
      </c>
      <c r="J532" s="2">
        <f>I532*$J$2</f>
        <v>5.3947218519063518E-3</v>
      </c>
    </row>
    <row r="533" spans="1:10" x14ac:dyDescent="0.55000000000000004">
      <c r="A533" s="2">
        <v>2.1</v>
      </c>
      <c r="C533" s="2" t="s">
        <v>23</v>
      </c>
      <c r="D533" s="2">
        <v>4.1999999999999998E-5</v>
      </c>
      <c r="E533" s="2">
        <v>4.1199999999999999E-4</v>
      </c>
      <c r="F533" s="2">
        <v>4.8000000000000001E-5</v>
      </c>
      <c r="G533" s="2">
        <v>3.3000000000000003E-5</v>
      </c>
      <c r="H533" s="2">
        <f>(1/COUNT(D533:G533))*SQRT(SUMSQ(D533:G533))</f>
        <v>1.0455291722376758E-4</v>
      </c>
    </row>
    <row r="534" spans="1:10" x14ac:dyDescent="0.55000000000000004">
      <c r="C534" s="2" t="s">
        <v>24</v>
      </c>
      <c r="D534" s="2">
        <v>0.17680299999999999</v>
      </c>
      <c r="E534" s="2">
        <v>0.23144799999999999</v>
      </c>
      <c r="F534" s="2">
        <v>0.22778200000000001</v>
      </c>
      <c r="G534" s="2">
        <v>0.22139200000000001</v>
      </c>
      <c r="H534" s="2">
        <f>AVERAGE(D534:G534)</f>
        <v>0.21435625</v>
      </c>
      <c r="I534" s="2">
        <f xml:space="preserve"> _xlfn.STDEV.S(D534:G534) / SQRT(COUNT(D534:G534))</f>
        <v>1.2688994722297701E-2</v>
      </c>
      <c r="J534" s="2">
        <f>I534*$J$2</f>
        <v>1.5858427778809813E-2</v>
      </c>
    </row>
    <row r="535" spans="1:10" x14ac:dyDescent="0.55000000000000004">
      <c r="C535" s="2" t="s">
        <v>25</v>
      </c>
      <c r="D535" s="2">
        <v>2.4899999999999998E-4</v>
      </c>
      <c r="E535" s="2">
        <v>1.4450000000000001E-3</v>
      </c>
      <c r="F535" s="2">
        <v>4.7699999999999999E-4</v>
      </c>
      <c r="G535" s="2">
        <v>5.8399999999999999E-4</v>
      </c>
      <c r="H535" s="2">
        <f>(1/COUNT(D535:G535))*SQRT(SUMSQ(D535:G535))</f>
        <v>4.1220527349853254E-4</v>
      </c>
    </row>
    <row r="536" spans="1:10" x14ac:dyDescent="0.55000000000000004">
      <c r="C536" s="2" t="s">
        <v>26</v>
      </c>
      <c r="D536" s="2">
        <v>0.88075300000000001</v>
      </c>
      <c r="E536" s="2">
        <v>0.85536599999999996</v>
      </c>
      <c r="F536" s="2">
        <v>0.91551199999999999</v>
      </c>
      <c r="G536" s="2">
        <v>0.93662100000000004</v>
      </c>
      <c r="H536" s="2">
        <f>AVERAGE(D536:G536)</f>
        <v>0.89706300000000005</v>
      </c>
      <c r="I536" s="2">
        <f xml:space="preserve"> _xlfn.STDEV.S(D536:G536) / SQRT(COUNT(D536:G536))</f>
        <v>1.8050523708930639E-2</v>
      </c>
      <c r="J536" s="2">
        <f>I536*$J$2</f>
        <v>2.2559149315804636E-2</v>
      </c>
    </row>
    <row r="537" spans="1:10" x14ac:dyDescent="0.55000000000000004">
      <c r="C537" s="2" t="s">
        <v>27</v>
      </c>
      <c r="D537" s="2">
        <v>1.46E-4</v>
      </c>
      <c r="E537" s="2">
        <v>8.9499999999999996E-4</v>
      </c>
      <c r="F537" s="2">
        <v>2.0000000000000001E-4</v>
      </c>
      <c r="G537" s="2">
        <v>1.3999999999999999E-4</v>
      </c>
      <c r="H537" s="2">
        <f>(1/COUNT(D537:G537))*SQRT(SUMSQ(D537:G537))</f>
        <v>2.3477928464836926E-4</v>
      </c>
    </row>
    <row r="538" spans="1:10" x14ac:dyDescent="0.55000000000000004">
      <c r="C538" s="2" t="s">
        <v>28</v>
      </c>
      <c r="D538" s="2">
        <v>1.1427</v>
      </c>
      <c r="E538" s="2">
        <v>1.472475</v>
      </c>
      <c r="F538" s="2">
        <v>1.5598959999999999</v>
      </c>
      <c r="G538" s="2">
        <v>1.580665</v>
      </c>
      <c r="H538" s="2">
        <f>AVERAGE(D538:G538)</f>
        <v>1.4389339999999999</v>
      </c>
      <c r="I538" s="2">
        <f xml:space="preserve"> _xlfn.STDEV.S(D538:G538) / SQRT(COUNT(D538:G538))</f>
        <v>0.1014885310605754</v>
      </c>
      <c r="J538" s="2">
        <f>I538*$J$2</f>
        <v>0.12683814403149152</v>
      </c>
    </row>
    <row r="539" spans="1:10" x14ac:dyDescent="0.55000000000000004">
      <c r="C539" s="2" t="s">
        <v>29</v>
      </c>
      <c r="D539" s="2">
        <v>3.9050000000000001E-3</v>
      </c>
      <c r="E539" s="2">
        <v>7.1500000000000001E-3</v>
      </c>
      <c r="F539" s="2">
        <v>1.0477999999999999E-2</v>
      </c>
      <c r="G539" s="2">
        <v>8.8780000000000005E-3</v>
      </c>
      <c r="H539" s="2">
        <f>(1/COUNT(D539:G539))*SQRT(SUMSQ(D539:G539))</f>
        <v>3.9920146307973374E-3</v>
      </c>
    </row>
    <row r="540" spans="1:10" x14ac:dyDescent="0.55000000000000004">
      <c r="C540" s="2" t="s">
        <v>30</v>
      </c>
      <c r="D540" s="2">
        <v>17.219000000000001</v>
      </c>
      <c r="E540" s="2">
        <v>22.104955</v>
      </c>
      <c r="F540" s="2">
        <v>18.330618999999999</v>
      </c>
      <c r="G540" s="2">
        <v>28.314612</v>
      </c>
      <c r="H540" s="2">
        <f>AVERAGE(D540:G540)</f>
        <v>21.492296499999998</v>
      </c>
      <c r="I540" s="2">
        <f xml:space="preserve"> _xlfn.STDEV.S(D540:G540) / SQRT(COUNT(D540:G540))</f>
        <v>2.5029417160959695</v>
      </c>
      <c r="J540" s="2">
        <f>I540*$J$2</f>
        <v>3.128121754951029</v>
      </c>
    </row>
    <row r="541" spans="1:10" x14ac:dyDescent="0.55000000000000004">
      <c r="C541" s="2" t="s">
        <v>31</v>
      </c>
      <c r="D541" s="2">
        <v>5.4504999999999998E-2</v>
      </c>
      <c r="E541" s="2">
        <v>0.116829</v>
      </c>
      <c r="F541" s="2">
        <v>4.0188000000000001E-2</v>
      </c>
      <c r="G541" s="2">
        <v>5.9810000000000002E-2</v>
      </c>
      <c r="H541" s="2">
        <f>(1/COUNT(D541:G541))*SQRT(SUMSQ(D541:G541))</f>
        <v>3.6922318546849138E-2</v>
      </c>
    </row>
    <row r="542" spans="1:10" x14ac:dyDescent="0.55000000000000004">
      <c r="B542" s="2" t="s">
        <v>32</v>
      </c>
      <c r="C542" s="2" t="s">
        <v>22</v>
      </c>
      <c r="D542" s="2">
        <v>0.98638899999999996</v>
      </c>
      <c r="E542" s="2">
        <v>0.975715</v>
      </c>
      <c r="F542" s="2">
        <v>0.99212800000000001</v>
      </c>
      <c r="G542" s="2">
        <v>0.99118899999999999</v>
      </c>
      <c r="H542" s="2">
        <f>AVERAGE(D542:G542)</f>
        <v>0.98635525000000002</v>
      </c>
      <c r="I542" s="2">
        <f xml:space="preserve"> _xlfn.STDEV.S(D542:G542) / SQRT(COUNT(D542:G542))</f>
        <v>3.7628207587526675E-3</v>
      </c>
      <c r="J542" s="2">
        <f>I542*$J$2</f>
        <v>4.7026909974535909E-3</v>
      </c>
    </row>
    <row r="543" spans="1:10" x14ac:dyDescent="0.55000000000000004">
      <c r="C543" s="2" t="s">
        <v>23</v>
      </c>
      <c r="D543" s="2">
        <v>1.76E-4</v>
      </c>
      <c r="E543" s="2">
        <v>6.9300000000000004E-4</v>
      </c>
      <c r="F543" s="2">
        <v>1.6200000000000001E-4</v>
      </c>
      <c r="G543" s="2">
        <v>1.55E-4</v>
      </c>
      <c r="H543" s="2">
        <f>(1/COUNT(D543:G543))*SQRT(SUMSQ(D543:G543))</f>
        <v>1.8733225830059274E-4</v>
      </c>
    </row>
    <row r="544" spans="1:10" x14ac:dyDescent="0.55000000000000004">
      <c r="C544" s="2" t="s">
        <v>24</v>
      </c>
      <c r="D544" s="2">
        <v>0.17541999999999999</v>
      </c>
      <c r="E544" s="2">
        <v>0.22627</v>
      </c>
      <c r="F544" s="2">
        <v>0.23064899999999999</v>
      </c>
      <c r="G544" s="2">
        <v>0.22586899999999999</v>
      </c>
      <c r="H544" s="2">
        <f>AVERAGE(D544:G544)</f>
        <v>0.21455199999999999</v>
      </c>
      <c r="I544" s="2">
        <f xml:space="preserve"> _xlfn.STDEV.S(D544:G544) / SQRT(COUNT(D544:G544))</f>
        <v>1.3088840176526919E-2</v>
      </c>
      <c r="J544" s="2">
        <f>I544*$J$2</f>
        <v>1.6358145872902557E-2</v>
      </c>
    </row>
    <row r="545" spans="2:10" x14ac:dyDescent="0.55000000000000004">
      <c r="C545" s="2" t="s">
        <v>25</v>
      </c>
      <c r="D545" s="2">
        <v>1.0510000000000001E-3</v>
      </c>
      <c r="E545" s="2">
        <v>2.6900000000000001E-3</v>
      </c>
      <c r="F545" s="2">
        <v>1.214E-3</v>
      </c>
      <c r="G545" s="2">
        <v>7.3499999999999998E-4</v>
      </c>
      <c r="H545" s="2">
        <f>(1/COUNT(D545:G545))*SQRT(SUMSQ(D545:G545))</f>
        <v>8.0446884650681161E-4</v>
      </c>
    </row>
    <row r="546" spans="2:10" x14ac:dyDescent="0.55000000000000004">
      <c r="C546" s="2" t="s">
        <v>26</v>
      </c>
      <c r="D546" s="2">
        <v>0.88184099999999999</v>
      </c>
      <c r="E546" s="2">
        <v>0.85872199999999999</v>
      </c>
      <c r="F546" s="2">
        <v>0.91359500000000005</v>
      </c>
      <c r="G546" s="2">
        <v>0.93342499999999995</v>
      </c>
      <c r="H546" s="2">
        <f>AVERAGE(D546:G546)</f>
        <v>0.89689574999999988</v>
      </c>
      <c r="I546" s="2">
        <f xml:space="preserve"> _xlfn.STDEV.S(D546:G546) / SQRT(COUNT(D546:G546))</f>
        <v>1.6575915617621246E-2</v>
      </c>
      <c r="J546" s="2">
        <f>I546*$J$2</f>
        <v>2.0716216409781323E-2</v>
      </c>
    </row>
    <row r="547" spans="2:10" x14ac:dyDescent="0.55000000000000004">
      <c r="C547" s="2" t="s">
        <v>27</v>
      </c>
      <c r="D547" s="2">
        <v>6.78E-4</v>
      </c>
      <c r="E547" s="2">
        <v>1.557E-3</v>
      </c>
      <c r="F547" s="2">
        <v>9.1100000000000003E-4</v>
      </c>
      <c r="G547" s="2">
        <v>4.6900000000000002E-4</v>
      </c>
      <c r="H547" s="2">
        <f>(1/COUNT(D547:G547))*SQRT(SUMSQ(D547:G547))</f>
        <v>4.9584618330687997E-4</v>
      </c>
    </row>
    <row r="548" spans="2:10" x14ac:dyDescent="0.55000000000000004">
      <c r="C548" s="2" t="s">
        <v>28</v>
      </c>
      <c r="D548" s="2">
        <v>1.1312409999999999</v>
      </c>
      <c r="E548" s="2">
        <v>1.501825</v>
      </c>
      <c r="F548" s="2">
        <v>1.6230720000000001</v>
      </c>
      <c r="G548" s="2">
        <v>1.6186750000000001</v>
      </c>
      <c r="H548" s="2">
        <f>AVERAGE(D548:G548)</f>
        <v>1.4687032499999999</v>
      </c>
      <c r="I548" s="2">
        <f xml:space="preserve"> _xlfn.STDEV.S(D548:G548) / SQRT(COUNT(D548:G548))</f>
        <v>0.11593786312530789</v>
      </c>
      <c r="J548" s="2">
        <f>I548*$J$2</f>
        <v>0.14489660287834871</v>
      </c>
    </row>
    <row r="549" spans="2:10" x14ac:dyDescent="0.55000000000000004">
      <c r="C549" s="2" t="s">
        <v>29</v>
      </c>
      <c r="D549" s="2">
        <v>1.2311000000000001E-2</v>
      </c>
      <c r="E549" s="2">
        <v>1.7673000000000001E-2</v>
      </c>
      <c r="F549" s="2">
        <v>2.4031E-2</v>
      </c>
      <c r="G549" s="2">
        <v>9.4380000000000002E-3</v>
      </c>
      <c r="H549" s="2">
        <f>(1/COUNT(D549:G549))*SQRT(SUMSQ(D549:G549))</f>
        <v>8.4055801963636035E-3</v>
      </c>
    </row>
    <row r="550" spans="2:10" x14ac:dyDescent="0.55000000000000004">
      <c r="C550" s="2" t="s">
        <v>30</v>
      </c>
      <c r="D550" s="2">
        <v>17.490023000000001</v>
      </c>
      <c r="E550" s="2">
        <v>22.882451</v>
      </c>
      <c r="F550" s="2">
        <v>18.654858999999998</v>
      </c>
      <c r="G550" s="2">
        <v>28.645056</v>
      </c>
      <c r="H550" s="2">
        <f>AVERAGE(D550:G550)</f>
        <v>21.918097249999999</v>
      </c>
      <c r="I550" s="2">
        <f xml:space="preserve"> _xlfn.STDEV.S(D550:G550) / SQRT(COUNT(D550:G550))</f>
        <v>2.523861420177373</v>
      </c>
      <c r="J550" s="2">
        <f>I550*$J$2</f>
        <v>3.1542667430757416</v>
      </c>
    </row>
    <row r="551" spans="2:10" x14ac:dyDescent="0.55000000000000004">
      <c r="C551" s="2" t="s">
        <v>31</v>
      </c>
      <c r="D551" s="2">
        <v>0.248446</v>
      </c>
      <c r="E551" s="2">
        <v>8.8921E-2</v>
      </c>
      <c r="F551" s="2">
        <v>0.146813</v>
      </c>
      <c r="G551" s="2">
        <v>0.107435</v>
      </c>
      <c r="H551" s="2">
        <f>(1/COUNT(D551:G551))*SQRT(SUMSQ(D551:G551))</f>
        <v>8.0128293750943561E-2</v>
      </c>
    </row>
    <row r="552" spans="2:10" x14ac:dyDescent="0.55000000000000004">
      <c r="B552" s="2" t="s">
        <v>33</v>
      </c>
      <c r="C552" s="2" t="s">
        <v>22</v>
      </c>
      <c r="D552" s="2">
        <v>0.98629100000000003</v>
      </c>
      <c r="E552" s="2">
        <v>0.97390500000000002</v>
      </c>
      <c r="F552" s="2">
        <v>0.99255199999999999</v>
      </c>
      <c r="G552" s="2">
        <v>0.99204899999999996</v>
      </c>
      <c r="H552" s="2">
        <f>AVERAGE(D552:G552)</f>
        <v>0.98619925000000008</v>
      </c>
      <c r="I552" s="2">
        <f xml:space="preserve"> _xlfn.STDEV.S(D552:G552) / SQRT(COUNT(D552:G552))</f>
        <v>4.3371842704493478E-3</v>
      </c>
      <c r="J552" s="2">
        <f>I552*$J$2</f>
        <v>5.4205179387020967E-3</v>
      </c>
    </row>
    <row r="553" spans="2:10" x14ac:dyDescent="0.55000000000000004">
      <c r="C553" s="2" t="s">
        <v>23</v>
      </c>
      <c r="D553" s="2">
        <v>1.5999999999999999E-5</v>
      </c>
      <c r="E553" s="2">
        <v>1.7699999999999999E-4</v>
      </c>
      <c r="F553" s="2">
        <v>1.5E-5</v>
      </c>
      <c r="G553" s="2">
        <v>1.8E-5</v>
      </c>
      <c r="H553" s="2">
        <f>(1/COUNT(D553:G553))*SQRT(SUMSQ(D553:G553))</f>
        <v>4.4814897076753384E-5</v>
      </c>
    </row>
    <row r="554" spans="2:10" x14ac:dyDescent="0.55000000000000004">
      <c r="C554" s="2" t="s">
        <v>24</v>
      </c>
      <c r="D554" s="2">
        <v>0.17632200000000001</v>
      </c>
      <c r="E554" s="2">
        <v>0.231798</v>
      </c>
      <c r="F554" s="2">
        <v>0.227938</v>
      </c>
      <c r="G554" s="2">
        <v>0.22171199999999999</v>
      </c>
      <c r="H554" s="2">
        <f>AVERAGE(D554:G554)</f>
        <v>0.21444250000000001</v>
      </c>
      <c r="I554" s="2">
        <f xml:space="preserve"> _xlfn.STDEV.S(D554:G554) / SQRT(COUNT(D554:G554))</f>
        <v>1.2875558405366186E-2</v>
      </c>
      <c r="J554" s="2">
        <f>I554*$J$2</f>
        <v>1.6091590985103165E-2</v>
      </c>
    </row>
    <row r="555" spans="2:10" x14ac:dyDescent="0.55000000000000004">
      <c r="C555" s="2" t="s">
        <v>25</v>
      </c>
      <c r="D555" s="2">
        <v>9.3999999999999994E-5</v>
      </c>
      <c r="E555" s="2">
        <v>6.5200000000000002E-4</v>
      </c>
      <c r="F555" s="2">
        <v>1.76E-4</v>
      </c>
      <c r="G555" s="2">
        <v>1.3300000000000001E-4</v>
      </c>
      <c r="H555" s="2">
        <f>(1/COUNT(D555:G555))*SQRT(SUMSQ(D555:G555))</f>
        <v>1.7367444400371633E-4</v>
      </c>
    </row>
    <row r="556" spans="2:10" x14ac:dyDescent="0.55000000000000004">
      <c r="C556" s="2" t="s">
        <v>26</v>
      </c>
      <c r="D556" s="2">
        <v>0.88134000000000001</v>
      </c>
      <c r="E556" s="2">
        <v>0.85514500000000004</v>
      </c>
      <c r="F556" s="2">
        <v>0.91556300000000002</v>
      </c>
      <c r="G556" s="2">
        <v>0.93641799999999997</v>
      </c>
      <c r="H556" s="2">
        <f>AVERAGE(D556:G556)</f>
        <v>0.89711650000000009</v>
      </c>
      <c r="I556" s="2">
        <f xml:space="preserve"> _xlfn.STDEV.S(D556:G556) / SQRT(COUNT(D556:G556))</f>
        <v>1.801708917713031E-2</v>
      </c>
      <c r="J556" s="2">
        <f>I556*$J$2</f>
        <v>2.2517363570008549E-2</v>
      </c>
    </row>
    <row r="557" spans="2:10" x14ac:dyDescent="0.55000000000000004">
      <c r="C557" s="2" t="s">
        <v>27</v>
      </c>
      <c r="D557" s="2">
        <v>6.6000000000000005E-5</v>
      </c>
      <c r="E557" s="2">
        <v>3.8999999999999999E-4</v>
      </c>
      <c r="F557" s="2">
        <v>8.7000000000000001E-5</v>
      </c>
      <c r="G557" s="2">
        <v>5.8999999999999998E-5</v>
      </c>
      <c r="H557" s="2">
        <f>(1/COUNT(D557:G557))*SQRT(SUMSQ(D557:G557))</f>
        <v>1.0231874217366044E-4</v>
      </c>
    </row>
    <row r="558" spans="2:10" x14ac:dyDescent="0.55000000000000004">
      <c r="C558" s="2" t="s">
        <v>28</v>
      </c>
      <c r="D558" s="2">
        <v>1.133883</v>
      </c>
      <c r="E558" s="2">
        <v>1.476556</v>
      </c>
      <c r="F558" s="2">
        <v>1.5643659999999999</v>
      </c>
      <c r="G558" s="2">
        <v>1.5863499999999999</v>
      </c>
      <c r="H558" s="2">
        <f>AVERAGE(D558:G558)</f>
        <v>1.4402887500000001</v>
      </c>
      <c r="I558" s="2">
        <f xml:space="preserve"> _xlfn.STDEV.S(D558:G558) / SQRT(COUNT(D558:G558))</f>
        <v>0.10485261472448952</v>
      </c>
      <c r="J558" s="2">
        <f>I558*$J$2</f>
        <v>0.13104250213815136</v>
      </c>
    </row>
    <row r="559" spans="2:10" x14ac:dyDescent="0.55000000000000004">
      <c r="C559" s="2" t="s">
        <v>29</v>
      </c>
      <c r="D559" s="2">
        <v>1.5039999999999999E-3</v>
      </c>
      <c r="E559" s="2">
        <v>5.8700000000000002E-3</v>
      </c>
      <c r="F559" s="2">
        <v>4.4070000000000003E-3</v>
      </c>
      <c r="G559" s="2">
        <v>1.97E-3</v>
      </c>
      <c r="H559" s="2">
        <f>(1/COUNT(D559:G559))*SQRT(SUMSQ(D559:G559))</f>
        <v>1.9368380320770244E-3</v>
      </c>
    </row>
    <row r="560" spans="2:10" x14ac:dyDescent="0.55000000000000004">
      <c r="C560" s="2" t="s">
        <v>30</v>
      </c>
      <c r="D560" s="2">
        <v>17.068017000000001</v>
      </c>
      <c r="E560" s="2">
        <v>22.182731</v>
      </c>
      <c r="F560" s="2">
        <v>18.361505999999999</v>
      </c>
      <c r="G560" s="2">
        <v>28.358606000000002</v>
      </c>
      <c r="H560" s="2">
        <f>AVERAGE(D560:G560)</f>
        <v>21.492715</v>
      </c>
      <c r="I560" s="2">
        <f xml:space="preserve"> _xlfn.STDEV.S(D560:G560) / SQRT(COUNT(D560:G560))</f>
        <v>2.5330976342714955</v>
      </c>
      <c r="J560" s="2">
        <f>I560*$J$2</f>
        <v>3.165809961223975</v>
      </c>
    </row>
    <row r="561" spans="2:10" x14ac:dyDescent="0.55000000000000004">
      <c r="C561" s="2" t="s">
        <v>31</v>
      </c>
      <c r="D561" s="2">
        <v>2.5624999999999998E-2</v>
      </c>
      <c r="E561" s="2">
        <v>3.9992E-2</v>
      </c>
      <c r="F561" s="2">
        <v>2.2107999999999999E-2</v>
      </c>
      <c r="G561" s="2">
        <v>1.6537E-2</v>
      </c>
      <c r="H561" s="2">
        <f>(1/COUNT(D561:G561))*SQRT(SUMSQ(D561:G561))</f>
        <v>1.3734620312371215E-2</v>
      </c>
    </row>
    <row r="562" spans="2:10" x14ac:dyDescent="0.55000000000000004">
      <c r="B562" s="2" t="s">
        <v>34</v>
      </c>
      <c r="C562" s="2" t="s">
        <v>22</v>
      </c>
      <c r="D562" s="2">
        <v>0.98605299999999996</v>
      </c>
      <c r="E562" s="2">
        <v>0.97245499999999996</v>
      </c>
      <c r="F562" s="2">
        <v>0.9929</v>
      </c>
      <c r="G562" s="2">
        <v>0.99180000000000001</v>
      </c>
      <c r="H562" s="2">
        <f>AVERAGE(D562:G562)</f>
        <v>0.98580199999999996</v>
      </c>
      <c r="I562" s="2">
        <f xml:space="preserve"> _xlfn.STDEV.S(D562:G562) / SQRT(COUNT(D562:G562))</f>
        <v>4.695414589433693E-3</v>
      </c>
      <c r="J562" s="2">
        <f>I562*$J$2</f>
        <v>5.8682263479277992E-3</v>
      </c>
    </row>
    <row r="563" spans="2:10" x14ac:dyDescent="0.55000000000000004">
      <c r="C563" s="2" t="s">
        <v>23</v>
      </c>
      <c r="D563" s="2">
        <v>1.7200000000000001E-4</v>
      </c>
      <c r="E563" s="2">
        <v>1.598E-3</v>
      </c>
      <c r="F563" s="2">
        <v>1.6200000000000001E-4</v>
      </c>
      <c r="G563" s="2">
        <v>3.2200000000000002E-4</v>
      </c>
      <c r="H563" s="2">
        <f>(1/COUNT(D563:G563))*SQRT(SUMSQ(D563:G563))</f>
        <v>4.1178847725501015E-4</v>
      </c>
    </row>
    <row r="564" spans="2:10" x14ac:dyDescent="0.55000000000000004">
      <c r="C564" s="2" t="s">
        <v>24</v>
      </c>
      <c r="D564" s="2">
        <v>0.17707899999999999</v>
      </c>
      <c r="E564" s="2">
        <v>0.23814199999999999</v>
      </c>
      <c r="F564" s="2">
        <v>0.231542</v>
      </c>
      <c r="G564" s="2">
        <v>0.22544600000000001</v>
      </c>
      <c r="H564" s="2">
        <f>AVERAGE(D564:G564)</f>
        <v>0.21805225</v>
      </c>
      <c r="I564" s="2">
        <f xml:space="preserve"> _xlfn.STDEV.S(D564:G564) / SQRT(COUNT(D564:G564))</f>
        <v>1.3901577142989877E-2</v>
      </c>
      <c r="J564" s="2">
        <f>I564*$J$2</f>
        <v>1.7373886738739082E-2</v>
      </c>
    </row>
    <row r="565" spans="2:10" x14ac:dyDescent="0.55000000000000004">
      <c r="C565" s="2" t="s">
        <v>25</v>
      </c>
      <c r="D565" s="2">
        <v>8.7900000000000001E-4</v>
      </c>
      <c r="E565" s="2">
        <v>5.4400000000000004E-3</v>
      </c>
      <c r="F565" s="2">
        <v>1.3209999999999999E-3</v>
      </c>
      <c r="G565" s="2">
        <v>2.2680000000000001E-3</v>
      </c>
      <c r="H565" s="2">
        <f>(1/COUNT(D565:G565))*SQRT(SUMSQ(D565:G565))</f>
        <v>1.5259240233379905E-3</v>
      </c>
    </row>
    <row r="566" spans="2:10" x14ac:dyDescent="0.55000000000000004">
      <c r="C566" s="2" t="s">
        <v>26</v>
      </c>
      <c r="D566" s="2">
        <v>0.88034599999999996</v>
      </c>
      <c r="E566" s="2">
        <v>0.85123499999999996</v>
      </c>
      <c r="F566" s="2">
        <v>0.917462</v>
      </c>
      <c r="G566" s="2">
        <v>0.93520599999999998</v>
      </c>
      <c r="H566" s="2">
        <f>AVERAGE(D566:G566)</f>
        <v>0.89606224999999995</v>
      </c>
      <c r="I566" s="2">
        <f xml:space="preserve"> _xlfn.STDEV.S(D566:G566) / SQRT(COUNT(D566:G566))</f>
        <v>1.8811931764950853E-2</v>
      </c>
      <c r="J566" s="2">
        <f>I566*$J$2</f>
        <v>2.3510740433214609E-2</v>
      </c>
    </row>
    <row r="567" spans="2:10" x14ac:dyDescent="0.55000000000000004">
      <c r="C567" s="2" t="s">
        <v>27</v>
      </c>
      <c r="D567" s="2">
        <v>6.3500000000000004E-4</v>
      </c>
      <c r="E567" s="2">
        <v>3.0170000000000002E-3</v>
      </c>
      <c r="F567" s="2">
        <v>8.3299999999999997E-4</v>
      </c>
      <c r="G567" s="2">
        <v>1.039E-3</v>
      </c>
      <c r="H567" s="2">
        <f>(1/COUNT(D567:G567))*SQRT(SUMSQ(D567:G567))</f>
        <v>8.3960273344004779E-4</v>
      </c>
    </row>
    <row r="568" spans="2:10" x14ac:dyDescent="0.55000000000000004">
      <c r="C568" s="2" t="s">
        <v>28</v>
      </c>
      <c r="D568" s="2">
        <v>1.127831</v>
      </c>
      <c r="E568" s="2">
        <v>1.537874</v>
      </c>
      <c r="F568" s="2">
        <v>1.6611590000000001</v>
      </c>
      <c r="G568" s="2">
        <v>1.62839</v>
      </c>
      <c r="H568" s="2">
        <f>AVERAGE(D568:G568)</f>
        <v>1.4888135</v>
      </c>
      <c r="I568" s="2">
        <f xml:space="preserve"> _xlfn.STDEV.S(D568:G568) / SQRT(COUNT(D568:G568))</f>
        <v>0.12311913901075577</v>
      </c>
      <c r="J568" s="2">
        <f>I568*$J$2</f>
        <v>0.15387160424618457</v>
      </c>
    </row>
    <row r="569" spans="2:10" x14ac:dyDescent="0.55000000000000004">
      <c r="C569" s="2" t="s">
        <v>29</v>
      </c>
      <c r="D569" s="2">
        <v>7.071E-3</v>
      </c>
      <c r="E569" s="2">
        <v>3.2846E-2</v>
      </c>
      <c r="F569" s="2">
        <v>2.1894E-2</v>
      </c>
      <c r="G569" s="2">
        <v>2.8250000000000001E-2</v>
      </c>
      <c r="H569" s="2">
        <f>(1/COUNT(D569:G569))*SQRT(SUMSQ(D569:G569))</f>
        <v>1.226343266840488E-2</v>
      </c>
    </row>
    <row r="570" spans="2:10" x14ac:dyDescent="0.55000000000000004">
      <c r="C570" s="2" t="s">
        <v>30</v>
      </c>
      <c r="D570" s="2">
        <v>17.413636</v>
      </c>
      <c r="E570" s="2">
        <v>22.77251</v>
      </c>
      <c r="F570" s="2">
        <v>19.000001000000001</v>
      </c>
      <c r="G570" s="2">
        <v>28.591439999999999</v>
      </c>
      <c r="H570" s="2">
        <f>AVERAGE(D570:G570)</f>
        <v>21.944396750000003</v>
      </c>
      <c r="I570" s="2">
        <f xml:space="preserve"> _xlfn.STDEV.S(D570:G570) / SQRT(COUNT(D570:G570))</f>
        <v>2.4843881679492434</v>
      </c>
      <c r="J570" s="2">
        <f>I570*$J$2</f>
        <v>3.1049339367065714</v>
      </c>
    </row>
    <row r="571" spans="2:10" x14ac:dyDescent="0.55000000000000004">
      <c r="C571" s="2" t="s">
        <v>31</v>
      </c>
      <c r="D571" s="2">
        <v>0.202652</v>
      </c>
      <c r="E571" s="2">
        <v>0.17141200000000001</v>
      </c>
      <c r="F571" s="2">
        <v>7.4329000000000006E-2</v>
      </c>
      <c r="G571" s="2">
        <v>0.234488</v>
      </c>
      <c r="H571" s="2">
        <f>(1/COUNT(D571:G571))*SQRT(SUMSQ(D571:G571))</f>
        <v>9.0470758132462345E-2</v>
      </c>
    </row>
    <row r="572" spans="2:10" x14ac:dyDescent="0.55000000000000004">
      <c r="B572" s="2" t="s">
        <v>35</v>
      </c>
      <c r="C572" s="2" t="s">
        <v>22</v>
      </c>
      <c r="D572" s="2">
        <v>0.98276200000000002</v>
      </c>
      <c r="E572" s="2">
        <v>0.95667199999999997</v>
      </c>
      <c r="F572" s="2">
        <v>0.99236100000000005</v>
      </c>
      <c r="G572" s="2">
        <v>0.99138499999999996</v>
      </c>
      <c r="H572" s="2">
        <f>AVERAGE(D572:G572)</f>
        <v>0.98079500000000008</v>
      </c>
      <c r="I572" s="2">
        <f xml:space="preserve"> _xlfn.STDEV.S(D572:G572) / SQRT(COUNT(D572:G572))</f>
        <v>8.3252060735255571E-3</v>
      </c>
      <c r="J572" s="2">
        <f>I572*$J$2</f>
        <v>1.0404660270581867E-2</v>
      </c>
    </row>
    <row r="573" spans="2:10" x14ac:dyDescent="0.55000000000000004">
      <c r="C573" s="2" t="s">
        <v>23</v>
      </c>
      <c r="D573" s="2">
        <v>1.6000000000000001E-4</v>
      </c>
      <c r="E573" s="2">
        <v>6.4400000000000004E-4</v>
      </c>
      <c r="F573" s="2">
        <v>1E-4</v>
      </c>
      <c r="G573" s="2">
        <v>1.1400000000000001E-4</v>
      </c>
      <c r="H573" s="2">
        <f>(1/COUNT(D573:G573))*SQRT(SUMSQ(D573:G573))</f>
        <v>1.7017123728762157E-4</v>
      </c>
    </row>
    <row r="574" spans="2:10" x14ac:dyDescent="0.55000000000000004">
      <c r="C574" s="2" t="s">
        <v>24</v>
      </c>
      <c r="D574" s="2">
        <v>0.192908</v>
      </c>
      <c r="E574" s="2">
        <v>0.29103499999999999</v>
      </c>
      <c r="F574" s="2">
        <v>0.23506099999999999</v>
      </c>
      <c r="G574" s="2">
        <v>0.23008700000000001</v>
      </c>
      <c r="H574" s="2">
        <f>AVERAGE(D574:G574)</f>
        <v>0.23727275</v>
      </c>
      <c r="I574" s="2">
        <f xml:space="preserve"> _xlfn.STDEV.S(D574:G574) / SQRT(COUNT(D574:G574))</f>
        <v>2.0238448163396802E-2</v>
      </c>
      <c r="J574" s="2">
        <f>I574*$J$2</f>
        <v>2.529356939446321E-2</v>
      </c>
    </row>
    <row r="575" spans="2:10" x14ac:dyDescent="0.55000000000000004">
      <c r="C575" s="2" t="s">
        <v>25</v>
      </c>
      <c r="D575" s="2">
        <v>6.78E-4</v>
      </c>
      <c r="E575" s="2">
        <v>1.8730000000000001E-3</v>
      </c>
      <c r="F575" s="2">
        <v>6.1700000000000004E-4</v>
      </c>
      <c r="G575" s="2">
        <v>6.7199999999999996E-4</v>
      </c>
      <c r="H575" s="2">
        <f>(1/COUNT(D575:G575))*SQRT(SUMSQ(D575:G575))</f>
        <v>5.4772746416443282E-4</v>
      </c>
    </row>
    <row r="576" spans="2:10" x14ac:dyDescent="0.55000000000000004">
      <c r="C576" s="2" t="s">
        <v>26</v>
      </c>
      <c r="D576" s="2">
        <v>0.86821199999999998</v>
      </c>
      <c r="E576" s="2">
        <v>0.82231399999999999</v>
      </c>
      <c r="F576" s="2">
        <v>0.91462100000000002</v>
      </c>
      <c r="G576" s="2">
        <v>0.933172</v>
      </c>
      <c r="H576" s="2">
        <f>AVERAGE(D576:G576)</f>
        <v>0.88457975</v>
      </c>
      <c r="I576" s="2">
        <f xml:space="preserve"> _xlfn.STDEV.S(D576:G576) / SQRT(COUNT(D576:G576))</f>
        <v>2.4847217021814874E-2</v>
      </c>
      <c r="J576" s="2">
        <f>I576*$J$2</f>
        <v>3.1053507804873086E-2</v>
      </c>
    </row>
    <row r="577" spans="2:10" x14ac:dyDescent="0.55000000000000004">
      <c r="C577" s="2" t="s">
        <v>27</v>
      </c>
      <c r="D577" s="2">
        <v>5.4699999999999996E-4</v>
      </c>
      <c r="E577" s="2">
        <v>1.129E-3</v>
      </c>
      <c r="F577" s="2">
        <v>4.9100000000000001E-4</v>
      </c>
      <c r="G577" s="2">
        <v>3.3500000000000001E-4</v>
      </c>
      <c r="H577" s="2">
        <f>(1/COUNT(D577:G577))*SQRT(SUMSQ(D577:G577))</f>
        <v>3.4705511089739053E-4</v>
      </c>
    </row>
    <row r="578" spans="2:10" x14ac:dyDescent="0.55000000000000004">
      <c r="C578" s="2" t="s">
        <v>28</v>
      </c>
      <c r="D578" s="2">
        <v>1.277603</v>
      </c>
      <c r="E578" s="2">
        <v>1.897276</v>
      </c>
      <c r="F578" s="2">
        <v>1.7174179999999999</v>
      </c>
      <c r="G578" s="2">
        <v>1.6909719999999999</v>
      </c>
      <c r="H578" s="2">
        <f>AVERAGE(D578:G578)</f>
        <v>1.6458172499999999</v>
      </c>
      <c r="I578" s="2">
        <f xml:space="preserve"> _xlfn.STDEV.S(D578:G578) / SQRT(COUNT(D578:G578))</f>
        <v>0.13101490236570779</v>
      </c>
      <c r="J578" s="2">
        <f>I578*$J$2</f>
        <v>0.16373955640972726</v>
      </c>
    </row>
    <row r="579" spans="2:10" x14ac:dyDescent="0.55000000000000004">
      <c r="C579" s="2" t="s">
        <v>29</v>
      </c>
      <c r="D579" s="2">
        <v>7.6119999999999998E-3</v>
      </c>
      <c r="E579" s="2">
        <v>1.7028000000000001E-2</v>
      </c>
      <c r="F579" s="2">
        <v>1.0553999999999999E-2</v>
      </c>
      <c r="G579" s="2">
        <v>7.3699999999999998E-3</v>
      </c>
      <c r="H579" s="2">
        <f>(1/COUNT(D579:G579))*SQRT(SUMSQ(D579:G579))</f>
        <v>5.6656814682789925E-3</v>
      </c>
    </row>
    <row r="580" spans="2:10" x14ac:dyDescent="0.55000000000000004">
      <c r="C580" s="2" t="s">
        <v>30</v>
      </c>
      <c r="D580" s="2">
        <v>20.424969999999998</v>
      </c>
      <c r="E580" s="2">
        <v>25.657319000000001</v>
      </c>
      <c r="F580" s="2">
        <v>18.824003000000001</v>
      </c>
      <c r="G580" s="2">
        <v>29.359135999999999</v>
      </c>
      <c r="H580" s="2">
        <f>AVERAGE(D580:G580)</f>
        <v>23.566357000000004</v>
      </c>
      <c r="I580" s="2">
        <f xml:space="preserve"> _xlfn.STDEV.S(D580:G580) / SQRT(COUNT(D580:G580))</f>
        <v>2.4201694908512983</v>
      </c>
      <c r="J580" s="2">
        <f>I580*$J$2</f>
        <v>3.0246748401353605</v>
      </c>
    </row>
    <row r="581" spans="2:10" x14ac:dyDescent="0.55000000000000004">
      <c r="C581" s="2" t="s">
        <v>31</v>
      </c>
      <c r="D581" s="2">
        <v>0.171404</v>
      </c>
      <c r="E581" s="2">
        <v>0.18442</v>
      </c>
      <c r="F581" s="2">
        <v>5.9512000000000002E-2</v>
      </c>
      <c r="G581" s="2">
        <v>7.3718000000000006E-2</v>
      </c>
      <c r="H581" s="2">
        <f>(1/COUNT(D581:G581))*SQRT(SUMSQ(D581:G581))</f>
        <v>6.7252364867341277E-2</v>
      </c>
    </row>
    <row r="582" spans="2:10" x14ac:dyDescent="0.55000000000000004">
      <c r="B582" s="2" t="s">
        <v>45</v>
      </c>
      <c r="C582" s="2" t="s">
        <v>22</v>
      </c>
      <c r="D582" s="2">
        <v>0.98339500000000002</v>
      </c>
      <c r="E582" s="2">
        <v>0.95934399999999997</v>
      </c>
      <c r="F582" s="2">
        <v>0.99316599999999999</v>
      </c>
      <c r="G582" s="2">
        <v>0.99242200000000003</v>
      </c>
      <c r="H582" s="2">
        <f>AVERAGE(D582:G582)</f>
        <v>0.98208174999999998</v>
      </c>
      <c r="I582" s="2">
        <f xml:space="preserve"> _xlfn.STDEV.S(D582:G582) / SQRT(COUNT(D582:G582))</f>
        <v>7.8978439502499741E-3</v>
      </c>
      <c r="J582" s="2">
        <f>I582*$J$2</f>
        <v>9.8705524459915331E-3</v>
      </c>
    </row>
    <row r="583" spans="2:10" x14ac:dyDescent="0.55000000000000004">
      <c r="C583" s="2" t="s">
        <v>23</v>
      </c>
      <c r="D583" s="2">
        <v>4.0400000000000001E-4</v>
      </c>
      <c r="E583" s="2">
        <v>3.2629999999999998E-3</v>
      </c>
      <c r="F583" s="2">
        <v>1.1E-4</v>
      </c>
      <c r="G583" s="2">
        <v>3.1199999999999999E-4</v>
      </c>
      <c r="H583" s="2">
        <f>(1/COUNT(D583:G583))*SQRT(SUMSQ(D583:G583))</f>
        <v>8.2612911369833709E-4</v>
      </c>
    </row>
    <row r="584" spans="2:10" x14ac:dyDescent="0.55000000000000004">
      <c r="C584" s="2" t="s">
        <v>24</v>
      </c>
      <c r="D584" s="2">
        <v>0.18967700000000001</v>
      </c>
      <c r="E584" s="2">
        <v>0.28193600000000002</v>
      </c>
      <c r="F584" s="2">
        <v>0.224967</v>
      </c>
      <c r="G584" s="2">
        <v>0.216755</v>
      </c>
      <c r="H584" s="2">
        <f>AVERAGE(D584:G584)</f>
        <v>0.22833375000000003</v>
      </c>
      <c r="I584" s="2">
        <f xml:space="preserve"> _xlfn.STDEV.S(D584:G584) / SQRT(COUNT(D584:G584))</f>
        <v>1.9392756342575344E-2</v>
      </c>
      <c r="J584" s="2">
        <f>I584*$J$2</f>
        <v>2.4236642273194869E-2</v>
      </c>
    </row>
    <row r="585" spans="2:10" x14ac:dyDescent="0.55000000000000004">
      <c r="C585" s="2" t="s">
        <v>25</v>
      </c>
      <c r="D585" s="2">
        <v>1.588E-3</v>
      </c>
      <c r="E585" s="2">
        <v>1.0248999999999999E-2</v>
      </c>
      <c r="F585" s="2">
        <v>1.72E-3</v>
      </c>
      <c r="G585" s="2">
        <v>2.4529999999999999E-3</v>
      </c>
      <c r="H585" s="2">
        <f>(1/COUNT(D585:G585))*SQRT(SUMSQ(D585:G585))</f>
        <v>2.6988348643442409E-3</v>
      </c>
    </row>
    <row r="586" spans="2:10" x14ac:dyDescent="0.55000000000000004">
      <c r="C586" s="2" t="s">
        <v>26</v>
      </c>
      <c r="D586" s="2">
        <v>0.87039</v>
      </c>
      <c r="E586" s="2">
        <v>0.82712399999999997</v>
      </c>
      <c r="F586" s="2">
        <v>0.91890700000000003</v>
      </c>
      <c r="G586" s="2">
        <v>0.93818999999999997</v>
      </c>
      <c r="H586" s="2">
        <f>AVERAGE(D586:G586)</f>
        <v>0.88865274999999999</v>
      </c>
      <c r="I586" s="2">
        <f xml:space="preserve"> _xlfn.STDEV.S(D586:G586) / SQRT(COUNT(D586:G586))</f>
        <v>2.4980949232615245E-2</v>
      </c>
      <c r="J586" s="2">
        <f>I586*$J$2</f>
        <v>3.1220643393869079E-2</v>
      </c>
    </row>
    <row r="587" spans="2:10" x14ac:dyDescent="0.55000000000000004">
      <c r="C587" s="2" t="s">
        <v>27</v>
      </c>
      <c r="D587" s="2">
        <v>1.2359999999999999E-3</v>
      </c>
      <c r="E587" s="2">
        <v>5.1029999999999999E-3</v>
      </c>
      <c r="F587" s="2">
        <v>8.4900000000000004E-4</v>
      </c>
      <c r="G587" s="2">
        <v>9.4799999999999995E-4</v>
      </c>
      <c r="H587" s="2">
        <f>(1/COUNT(D587:G587))*SQRT(SUMSQ(D587:G587))</f>
        <v>1.350643596586457E-3</v>
      </c>
    </row>
    <row r="588" spans="2:10" x14ac:dyDescent="0.55000000000000004">
      <c r="C588" s="2" t="s">
        <v>28</v>
      </c>
      <c r="D588" s="2">
        <v>1.2543260000000001</v>
      </c>
      <c r="E588" s="2">
        <v>1.9596499999999999</v>
      </c>
      <c r="F588" s="2">
        <v>1.5200389999999999</v>
      </c>
      <c r="G588" s="2">
        <v>1.482504</v>
      </c>
      <c r="H588" s="2">
        <f>AVERAGE(D588:G588)</f>
        <v>1.55412975</v>
      </c>
      <c r="I588" s="2">
        <f xml:space="preserve"> _xlfn.STDEV.S(D588:G588) / SQRT(COUNT(D588:G588))</f>
        <v>0.14737180558391236</v>
      </c>
      <c r="J588" s="2">
        <f>I588*$J$2</f>
        <v>0.18418205591798684</v>
      </c>
    </row>
    <row r="589" spans="2:10" x14ac:dyDescent="0.55000000000000004">
      <c r="C589" s="2" t="s">
        <v>29</v>
      </c>
      <c r="D589" s="2">
        <v>1.4298E-2</v>
      </c>
      <c r="E589" s="2">
        <v>8.7114999999999998E-2</v>
      </c>
      <c r="F589" s="2">
        <v>4.1756000000000001E-2</v>
      </c>
      <c r="G589" s="2">
        <v>4.2224999999999999E-2</v>
      </c>
      <c r="H589" s="2">
        <f>(1/COUNT(D589:G589))*SQRT(SUMSQ(D589:G589))</f>
        <v>2.6598837133886135E-2</v>
      </c>
    </row>
    <row r="590" spans="2:10" x14ac:dyDescent="0.55000000000000004">
      <c r="C590" s="2" t="s">
        <v>30</v>
      </c>
      <c r="D590" s="2">
        <v>21.688057000000001</v>
      </c>
      <c r="E590" s="2">
        <v>28.910865999999999</v>
      </c>
      <c r="F590" s="2">
        <v>18.579452</v>
      </c>
      <c r="G590" s="2">
        <v>27.254013</v>
      </c>
      <c r="H590" s="2">
        <f>AVERAGE(D590:G590)</f>
        <v>24.108097000000001</v>
      </c>
      <c r="I590" s="2">
        <f xml:space="preserve"> _xlfn.STDEV.S(D590:G590) / SQRT(COUNT(D590:G590))</f>
        <v>2.4046116575593155</v>
      </c>
      <c r="J590" s="2">
        <f>I590*$J$2</f>
        <v>3.0052310007252836</v>
      </c>
    </row>
    <row r="591" spans="2:10" x14ac:dyDescent="0.55000000000000004">
      <c r="C591" s="2" t="s">
        <v>31</v>
      </c>
      <c r="D591" s="2">
        <v>0.18645200000000001</v>
      </c>
      <c r="E591" s="2">
        <v>0.92534400000000006</v>
      </c>
      <c r="F591" s="2">
        <v>0.11119900000000001</v>
      </c>
      <c r="G591" s="2">
        <v>0.47322799999999998</v>
      </c>
      <c r="H591" s="2">
        <f>(1/COUNT(D591:G591))*SQRT(SUMSQ(D591:G591))</f>
        <v>0.26544017972805567</v>
      </c>
    </row>
    <row r="592" spans="2:10" x14ac:dyDescent="0.55000000000000004">
      <c r="B592" s="2" t="s">
        <v>46</v>
      </c>
      <c r="C592" s="2" t="s">
        <v>22</v>
      </c>
      <c r="H592" s="2" t="e">
        <f>AVERAGE(D592:G592)</f>
        <v>#DIV/0!</v>
      </c>
      <c r="I592" s="2" t="e">
        <f xml:space="preserve"> _xlfn.STDEV.S(D592:G592) / SQRT(COUNT(D592:G592))</f>
        <v>#DIV/0!</v>
      </c>
      <c r="J592" s="2" t="e">
        <f>I592*$J$2</f>
        <v>#DIV/0!</v>
      </c>
    </row>
    <row r="593" spans="2:10" x14ac:dyDescent="0.55000000000000004">
      <c r="C593" s="2" t="s">
        <v>23</v>
      </c>
      <c r="H593" s="2" t="e">
        <f>(1/COUNT(D593:G593))*SQRT(SUMSQ(D593:G593))</f>
        <v>#DIV/0!</v>
      </c>
    </row>
    <row r="594" spans="2:10" x14ac:dyDescent="0.55000000000000004">
      <c r="C594" s="2" t="s">
        <v>24</v>
      </c>
      <c r="H594" s="2" t="e">
        <f>AVERAGE(D594:G594)</f>
        <v>#DIV/0!</v>
      </c>
      <c r="I594" s="2" t="e">
        <f xml:space="preserve"> _xlfn.STDEV.S(D594:G594) / SQRT(COUNT(D594:G594))</f>
        <v>#DIV/0!</v>
      </c>
      <c r="J594" s="2" t="e">
        <f>I594*$J$2</f>
        <v>#DIV/0!</v>
      </c>
    </row>
    <row r="595" spans="2:10" x14ac:dyDescent="0.55000000000000004">
      <c r="C595" s="2" t="s">
        <v>25</v>
      </c>
      <c r="H595" s="2" t="e">
        <f>(1/COUNT(D595:G595))*SQRT(SUMSQ(D595:G595))</f>
        <v>#DIV/0!</v>
      </c>
    </row>
    <row r="596" spans="2:10" x14ac:dyDescent="0.55000000000000004">
      <c r="C596" s="2" t="s">
        <v>26</v>
      </c>
      <c r="H596" s="2" t="e">
        <f>AVERAGE(D596:G596)</f>
        <v>#DIV/0!</v>
      </c>
      <c r="I596" s="2" t="e">
        <f xml:space="preserve"> _xlfn.STDEV.S(D596:G596) / SQRT(COUNT(D596:G596))</f>
        <v>#DIV/0!</v>
      </c>
      <c r="J596" s="2" t="e">
        <f>I596*$J$2</f>
        <v>#DIV/0!</v>
      </c>
    </row>
    <row r="597" spans="2:10" x14ac:dyDescent="0.55000000000000004">
      <c r="C597" s="2" t="s">
        <v>27</v>
      </c>
      <c r="H597" s="2" t="e">
        <f>(1/COUNT(D597:G597))*SQRT(SUMSQ(D597:G597))</f>
        <v>#DIV/0!</v>
      </c>
    </row>
    <row r="598" spans="2:10" x14ac:dyDescent="0.55000000000000004">
      <c r="C598" s="2" t="s">
        <v>28</v>
      </c>
      <c r="H598" s="2" t="e">
        <f>AVERAGE(D598:G598)</f>
        <v>#DIV/0!</v>
      </c>
      <c r="I598" s="2" t="e">
        <f xml:space="preserve"> _xlfn.STDEV.S(D598:G598) / SQRT(COUNT(D598:G598))</f>
        <v>#DIV/0!</v>
      </c>
      <c r="J598" s="2" t="e">
        <f>I598*$J$2</f>
        <v>#DIV/0!</v>
      </c>
    </row>
    <row r="599" spans="2:10" x14ac:dyDescent="0.55000000000000004">
      <c r="C599" s="2" t="s">
        <v>29</v>
      </c>
      <c r="H599" s="2" t="e">
        <f>(1/COUNT(D599:G599))*SQRT(SUMSQ(D599:G599))</f>
        <v>#DIV/0!</v>
      </c>
    </row>
    <row r="600" spans="2:10" x14ac:dyDescent="0.55000000000000004">
      <c r="C600" s="2" t="s">
        <v>30</v>
      </c>
      <c r="H600" s="2" t="e">
        <f>AVERAGE(D600:G600)</f>
        <v>#DIV/0!</v>
      </c>
      <c r="I600" s="2" t="e">
        <f xml:space="preserve"> _xlfn.STDEV.S(D600:G600) / SQRT(COUNT(D600:G600))</f>
        <v>#DIV/0!</v>
      </c>
      <c r="J600" s="2" t="e">
        <f>I600*$J$2</f>
        <v>#DIV/0!</v>
      </c>
    </row>
    <row r="601" spans="2:10" x14ac:dyDescent="0.55000000000000004">
      <c r="C601" s="2" t="s">
        <v>31</v>
      </c>
      <c r="H601" s="2" t="e">
        <f>(1/COUNT(D601:G601))*SQRT(SUMSQ(D601:G601))</f>
        <v>#DIV/0!</v>
      </c>
    </row>
    <row r="602" spans="2:10" x14ac:dyDescent="0.55000000000000004">
      <c r="B602" s="2" t="s">
        <v>36</v>
      </c>
      <c r="C602" s="2" t="s">
        <v>22</v>
      </c>
      <c r="D602" s="2">
        <v>0.98374399999999995</v>
      </c>
      <c r="E602" s="2">
        <v>0.96491700000000002</v>
      </c>
      <c r="F602" s="2">
        <v>0.99304000000000003</v>
      </c>
      <c r="G602" s="2">
        <v>0.99229699999999998</v>
      </c>
      <c r="H602" s="2">
        <f t="shared" ref="H602:H620" si="30">AVERAGE(D602:G602)</f>
        <v>0.98349949999999997</v>
      </c>
      <c r="I602" s="2">
        <f xml:space="preserve"> _xlfn.STDEV.S(D602:G602) / SQRT(COUNT(D602:G602))</f>
        <v>6.543356892044527E-3</v>
      </c>
      <c r="J602" s="2">
        <f>I602*$J$2</f>
        <v>8.1777441770955021E-3</v>
      </c>
    </row>
    <row r="603" spans="2:10" x14ac:dyDescent="0.55000000000000004">
      <c r="C603" s="2" t="s">
        <v>24</v>
      </c>
      <c r="D603" s="2">
        <v>0.19023999999999999</v>
      </c>
      <c r="E603" s="2">
        <v>0.26581199999999999</v>
      </c>
      <c r="F603" s="2">
        <v>0.22706999999999999</v>
      </c>
      <c r="G603" s="2">
        <v>0.22047700000000001</v>
      </c>
      <c r="H603" s="2">
        <f t="shared" si="30"/>
        <v>0.22589975000000001</v>
      </c>
      <c r="I603" s="2">
        <f t="shared" ref="I603:I616" si="31" xml:space="preserve"> _xlfn.STDEV.S(D603:G603) / SQRT(COUNT(D603:G603))</f>
        <v>1.553324706543458E-2</v>
      </c>
      <c r="J603" s="2">
        <f t="shared" ref="J603:J616" si="32">I603*$J$2</f>
        <v>1.9413112082451733E-2</v>
      </c>
    </row>
    <row r="604" spans="2:10" x14ac:dyDescent="0.55000000000000004">
      <c r="C604" s="2" t="s">
        <v>26</v>
      </c>
      <c r="D604" s="2">
        <v>0.87137699999999996</v>
      </c>
      <c r="E604" s="2">
        <v>0.83504400000000001</v>
      </c>
      <c r="F604" s="2">
        <v>0.91794299999999995</v>
      </c>
      <c r="G604" s="2">
        <v>0.93744000000000005</v>
      </c>
      <c r="H604" s="2">
        <f t="shared" si="30"/>
        <v>0.89045099999999999</v>
      </c>
      <c r="I604" s="2">
        <f t="shared" si="31"/>
        <v>2.3089552669984758E-2</v>
      </c>
      <c r="J604" s="2">
        <f t="shared" si="32"/>
        <v>2.8856817381958392E-2</v>
      </c>
    </row>
    <row r="605" spans="2:10" x14ac:dyDescent="0.55000000000000004">
      <c r="C605" s="2" t="s">
        <v>28</v>
      </c>
      <c r="D605" s="2">
        <v>1.327491</v>
      </c>
      <c r="E605" s="2">
        <v>1.7543260000000001</v>
      </c>
      <c r="F605" s="2">
        <v>1.5749150000000001</v>
      </c>
      <c r="G605" s="2">
        <v>1.5402070000000001</v>
      </c>
      <c r="H605" s="2">
        <f t="shared" si="30"/>
        <v>1.5492347500000001</v>
      </c>
      <c r="I605" s="2">
        <f t="shared" si="31"/>
        <v>8.7546981197121634E-2</v>
      </c>
      <c r="J605" s="2">
        <f t="shared" si="32"/>
        <v>0.10941430026191806</v>
      </c>
    </row>
    <row r="606" spans="2:10" x14ac:dyDescent="0.55000000000000004">
      <c r="C606" s="2" t="s">
        <v>30</v>
      </c>
      <c r="D606" s="2">
        <v>19.754183000000001</v>
      </c>
      <c r="E606" s="2">
        <v>24.737894000000001</v>
      </c>
      <c r="F606" s="2">
        <v>18.723192000000001</v>
      </c>
      <c r="G606" s="2">
        <v>27.724152</v>
      </c>
      <c r="H606" s="2">
        <f t="shared" si="30"/>
        <v>22.734855250000003</v>
      </c>
      <c r="I606" s="2">
        <f t="shared" si="31"/>
        <v>2.1190228759753547</v>
      </c>
      <c r="J606" s="2">
        <f t="shared" si="32"/>
        <v>2.6483083944585335</v>
      </c>
    </row>
    <row r="607" spans="2:10" x14ac:dyDescent="0.55000000000000004">
      <c r="B607" s="2" t="s">
        <v>37</v>
      </c>
      <c r="C607" s="2" t="s">
        <v>22</v>
      </c>
      <c r="D607" s="2">
        <v>0.98039600000000005</v>
      </c>
      <c r="E607" s="2">
        <v>0.91236300000000004</v>
      </c>
      <c r="F607" s="2">
        <v>0.99007999999999996</v>
      </c>
      <c r="G607" s="2">
        <v>0.98849500000000001</v>
      </c>
      <c r="H607" s="2">
        <f t="shared" si="30"/>
        <v>0.96783350000000001</v>
      </c>
      <c r="I607" s="2">
        <f t="shared" si="31"/>
        <v>1.8611370003754863E-2</v>
      </c>
      <c r="J607" s="2">
        <f t="shared" si="32"/>
        <v>2.3260082735364961E-2</v>
      </c>
    </row>
    <row r="608" spans="2:10" x14ac:dyDescent="0.55000000000000004">
      <c r="C608" s="2" t="s">
        <v>24</v>
      </c>
      <c r="D608" s="2">
        <v>0.203648</v>
      </c>
      <c r="E608" s="2">
        <v>0.40952699999999997</v>
      </c>
      <c r="F608" s="2">
        <v>0.232409</v>
      </c>
      <c r="G608" s="2">
        <v>0.22967099999999999</v>
      </c>
      <c r="H608" s="2">
        <f t="shared" si="30"/>
        <v>0.26881375000000002</v>
      </c>
      <c r="I608" s="2">
        <f t="shared" si="31"/>
        <v>4.7349986271337269E-2</v>
      </c>
      <c r="J608" s="2">
        <f t="shared" si="32"/>
        <v>5.9176976115541111E-2</v>
      </c>
    </row>
    <row r="609" spans="1:10" x14ac:dyDescent="0.55000000000000004">
      <c r="C609" s="2" t="s">
        <v>26</v>
      </c>
      <c r="D609" s="2">
        <v>0.85884899999999997</v>
      </c>
      <c r="E609" s="2">
        <v>0.76246400000000003</v>
      </c>
      <c r="F609" s="2">
        <v>0.90230399999999999</v>
      </c>
      <c r="G609" s="2">
        <v>0.92481400000000002</v>
      </c>
      <c r="H609" s="2">
        <f t="shared" si="30"/>
        <v>0.86210774999999995</v>
      </c>
      <c r="I609" s="2">
        <f t="shared" si="31"/>
        <v>3.592504774846049E-2</v>
      </c>
      <c r="J609" s="2">
        <f t="shared" si="32"/>
        <v>4.489833809829908E-2</v>
      </c>
    </row>
    <row r="610" spans="1:10" x14ac:dyDescent="0.55000000000000004">
      <c r="C610" s="2" t="s">
        <v>28</v>
      </c>
      <c r="D610" s="2">
        <v>1.3733340000000001</v>
      </c>
      <c r="E610" s="2">
        <v>3.0442019999999999</v>
      </c>
      <c r="F610" s="2">
        <v>1.642881</v>
      </c>
      <c r="G610" s="2">
        <v>1.589269</v>
      </c>
      <c r="H610" s="2">
        <f t="shared" si="30"/>
        <v>1.9124215</v>
      </c>
      <c r="I610" s="2">
        <f t="shared" si="31"/>
        <v>0.38173093187839741</v>
      </c>
      <c r="J610" s="2">
        <f t="shared" si="32"/>
        <v>0.47707896067555061</v>
      </c>
    </row>
    <row r="611" spans="1:10" x14ac:dyDescent="0.55000000000000004">
      <c r="C611" s="2" t="s">
        <v>30</v>
      </c>
      <c r="D611" s="2">
        <v>21.423117000000001</v>
      </c>
      <c r="E611" s="2">
        <v>32.119706000000001</v>
      </c>
      <c r="F611" s="2">
        <v>20.104828000000001</v>
      </c>
      <c r="G611" s="2">
        <v>28.385480000000001</v>
      </c>
      <c r="H611" s="2">
        <f t="shared" si="30"/>
        <v>25.508282749999999</v>
      </c>
      <c r="I611" s="2">
        <f t="shared" si="31"/>
        <v>2.8559161379832632</v>
      </c>
      <c r="J611" s="2">
        <f t="shared" si="32"/>
        <v>3.5692614590625293</v>
      </c>
    </row>
    <row r="612" spans="1:10" x14ac:dyDescent="0.55000000000000004">
      <c r="B612" s="2" t="s">
        <v>39</v>
      </c>
      <c r="C612" s="2" t="s">
        <v>22</v>
      </c>
      <c r="D612" s="2">
        <v>0.98706499999999997</v>
      </c>
      <c r="E612" s="2">
        <v>0.97397999999999996</v>
      </c>
      <c r="F612" s="2">
        <v>0.99162700000000004</v>
      </c>
      <c r="G612" s="2">
        <v>0.99109400000000003</v>
      </c>
      <c r="H612" s="2">
        <f t="shared" si="30"/>
        <v>0.98594149999999992</v>
      </c>
      <c r="I612" s="2">
        <f t="shared" si="31"/>
        <v>4.1151437905213965E-3</v>
      </c>
      <c r="J612" s="2">
        <f t="shared" si="32"/>
        <v>5.143016608457074E-3</v>
      </c>
    </row>
    <row r="613" spans="1:10" x14ac:dyDescent="0.55000000000000004">
      <c r="C613" s="2" t="s">
        <v>24</v>
      </c>
      <c r="D613" s="2">
        <v>0.17430300000000001</v>
      </c>
      <c r="E613" s="2">
        <v>0.23286100000000001</v>
      </c>
      <c r="F613" s="2">
        <v>0.23027</v>
      </c>
      <c r="G613" s="2">
        <v>0.22873499999999999</v>
      </c>
      <c r="H613" s="2">
        <f t="shared" si="30"/>
        <v>0.21654225000000002</v>
      </c>
      <c r="I613" s="2">
        <f t="shared" si="31"/>
        <v>1.4105466182624513E-2</v>
      </c>
      <c r="J613" s="2">
        <f t="shared" si="32"/>
        <v>1.7628702796330702E-2</v>
      </c>
    </row>
    <row r="614" spans="1:10" x14ac:dyDescent="0.55000000000000004">
      <c r="C614" s="2" t="s">
        <v>26</v>
      </c>
      <c r="D614" s="2">
        <v>0.88321000000000005</v>
      </c>
      <c r="E614" s="2">
        <v>0.85462499999999997</v>
      </c>
      <c r="F614" s="2">
        <v>0.910327</v>
      </c>
      <c r="G614" s="2">
        <v>0.93302600000000002</v>
      </c>
      <c r="H614" s="2">
        <f t="shared" si="30"/>
        <v>0.89529700000000001</v>
      </c>
      <c r="I614" s="2">
        <f t="shared" si="31"/>
        <v>1.6955052083867713E-2</v>
      </c>
      <c r="J614" s="2">
        <f t="shared" si="32"/>
        <v>2.1190052864115825E-2</v>
      </c>
    </row>
    <row r="615" spans="1:10" x14ac:dyDescent="0.55000000000000004">
      <c r="C615" s="2" t="s">
        <v>28</v>
      </c>
      <c r="D615" s="2">
        <v>1.1396109999999999</v>
      </c>
      <c r="E615" s="2">
        <v>1.5820529999999999</v>
      </c>
      <c r="F615" s="2">
        <v>1.6058539999999999</v>
      </c>
      <c r="G615" s="2">
        <v>1.6414960000000001</v>
      </c>
      <c r="H615" s="2">
        <f t="shared" si="30"/>
        <v>1.4922534999999999</v>
      </c>
      <c r="I615" s="2">
        <f t="shared" si="31"/>
        <v>0.11818032845789862</v>
      </c>
      <c r="J615" s="2">
        <f t="shared" si="32"/>
        <v>0.14769918695231665</v>
      </c>
    </row>
    <row r="616" spans="1:10" x14ac:dyDescent="0.55000000000000004">
      <c r="C616" s="2" t="s">
        <v>30</v>
      </c>
      <c r="D616" s="2">
        <v>16.659383999999999</v>
      </c>
      <c r="E616" s="2">
        <v>24.855678999999999</v>
      </c>
      <c r="F616" s="2">
        <v>18.657924999999999</v>
      </c>
      <c r="G616" s="2">
        <v>28.312304999999999</v>
      </c>
      <c r="H616" s="2">
        <f t="shared" si="30"/>
        <v>22.12132325</v>
      </c>
      <c r="I616" s="2">
        <f t="shared" si="31"/>
        <v>2.7023579858644506</v>
      </c>
      <c r="J616" s="2">
        <f t="shared" si="32"/>
        <v>3.3773478426950758</v>
      </c>
    </row>
    <row r="617" spans="1:10" x14ac:dyDescent="0.55000000000000004">
      <c r="B617" s="2" t="s">
        <v>61</v>
      </c>
      <c r="C617" s="2" t="s">
        <v>22</v>
      </c>
      <c r="D617" s="2">
        <v>0.96706000000000003</v>
      </c>
      <c r="E617" s="2">
        <v>0.90923500000000002</v>
      </c>
      <c r="F617" s="2">
        <v>0.993502</v>
      </c>
      <c r="G617" s="2">
        <v>0.99334500000000003</v>
      </c>
      <c r="H617" s="2">
        <f t="shared" si="30"/>
        <v>0.96578550000000007</v>
      </c>
      <c r="I617" s="2">
        <f xml:space="preserve"> _xlfn.STDEV.S(D617:G617) / SQRT(COUNT(D617:G617))</f>
        <v>1.9847992788944679E-2</v>
      </c>
      <c r="J617" s="2">
        <f>I617*$J$2</f>
        <v>2.4805586816480395E-2</v>
      </c>
    </row>
    <row r="618" spans="1:10" x14ac:dyDescent="0.55000000000000004">
      <c r="C618" s="2" t="s">
        <v>24</v>
      </c>
      <c r="D618" s="2">
        <v>0.266648</v>
      </c>
      <c r="E618" s="2">
        <v>0.42503400000000002</v>
      </c>
      <c r="F618" s="2">
        <v>0.21380399999999999</v>
      </c>
      <c r="G618" s="2">
        <v>0.20730399999999999</v>
      </c>
      <c r="H618" s="2">
        <f t="shared" si="30"/>
        <v>0.27819749999999999</v>
      </c>
      <c r="I618" s="2">
        <f t="shared" ref="I618:I619" si="33" xml:space="preserve"> _xlfn.STDEV.S(D618:G618) / SQRT(COUNT(D618:G618))</f>
        <v>5.0717156751110083E-2</v>
      </c>
      <c r="J618" s="2">
        <f t="shared" ref="J618:J619" si="34">I618*$J$2</f>
        <v>6.3385192057075393E-2</v>
      </c>
    </row>
    <row r="619" spans="1:10" x14ac:dyDescent="0.55000000000000004">
      <c r="C619" s="2" t="s">
        <v>26</v>
      </c>
      <c r="D619" s="2">
        <v>0.82001100000000005</v>
      </c>
      <c r="E619" s="2">
        <v>0.76499099999999998</v>
      </c>
      <c r="F619" s="2">
        <v>0.92656499999999997</v>
      </c>
      <c r="G619" s="2">
        <v>0.94372699999999998</v>
      </c>
      <c r="H619" s="2">
        <f t="shared" si="30"/>
        <v>0.86382349999999997</v>
      </c>
      <c r="I619" s="2">
        <f t="shared" si="33"/>
        <v>4.2825677020334421E-2</v>
      </c>
      <c r="J619" s="2">
        <f t="shared" si="34"/>
        <v>5.3522593473238483E-2</v>
      </c>
    </row>
    <row r="620" spans="1:10" x14ac:dyDescent="0.55000000000000004">
      <c r="A620" s="2" t="s">
        <v>40</v>
      </c>
      <c r="B620" s="2" t="s">
        <v>21</v>
      </c>
      <c r="C620" s="2" t="s">
        <v>22</v>
      </c>
      <c r="D620" s="2">
        <f xml:space="preserve"> AVERAGE(D4,D92,D180,D268,D356,D444,D532)</f>
        <v>0.98676028571428565</v>
      </c>
      <c r="E620" s="2">
        <f xml:space="preserve"> AVERAGE(E4,E92,E180,E268,E356,E444,E532)</f>
        <v>0.97564557142857145</v>
      </c>
      <c r="F620" s="2">
        <f xml:space="preserve"> AVERAGE(F4,F92,F180,F268,F356,F444,F532)</f>
        <v>0.99272185714285721</v>
      </c>
      <c r="G620" s="2">
        <f xml:space="preserve"> AVERAGE(G4,G92,G180,G268,G356,G444,G532)</f>
        <v>0.99223542857142866</v>
      </c>
      <c r="H620" s="2">
        <f t="shared" si="30"/>
        <v>0.98684078571428568</v>
      </c>
      <c r="I620" s="2">
        <f xml:space="preserve"> _xlfn.STDEV.S(D620:G620) / SQRT(COUNT(D620:G620))</f>
        <v>3.968925923734953E-3</v>
      </c>
      <c r="J620" s="2">
        <f>I620*$J$2</f>
        <v>4.9602767199827119E-3</v>
      </c>
    </row>
    <row r="621" spans="1:10" x14ac:dyDescent="0.55000000000000004">
      <c r="C621" s="2" t="s">
        <v>23</v>
      </c>
      <c r="D621" s="2">
        <f>(1/COUNT(D5,D93,D181,D269,D357,D445,D533))*SQRT(SUMSQ(D5,D93,D181,D269,D357,D445,D533))</f>
        <v>1.5259657363687522E-5</v>
      </c>
      <c r="E621" s="2">
        <f>(1/COUNT(E5,E93,E181,E269,E357,E445,E533))*SQRT(SUMSQ(E5,E93,E181,E269,E357,E445,E533))</f>
        <v>1.3111289729364801E-4</v>
      </c>
      <c r="F621" s="2">
        <f>(1/COUNT(F5,F93,F181,F269,F357,F445,F533))*SQRT(SUMSQ(F5,F93,F181,F269,F357,F445,F533))</f>
        <v>2.0868881236943024E-5</v>
      </c>
      <c r="G621" s="2">
        <f>(1/COUNT(G5,G93,G181,G269,G357,G445,G533))*SQRT(SUMSQ(G5,G93,G181,G269,G357,G445,G533))</f>
        <v>2.2301276617617882E-5</v>
      </c>
      <c r="H621" s="2">
        <f>(1/COUNT(D621:G621))*SQRT(SUMSQ(D621:G621))</f>
        <v>3.3871361541176068E-5</v>
      </c>
    </row>
    <row r="622" spans="1:10" x14ac:dyDescent="0.55000000000000004">
      <c r="C622" s="2" t="s">
        <v>24</v>
      </c>
      <c r="D622" s="2">
        <f xml:space="preserve"> AVERAGE(D6,D94,D182,D270,D358,D446,D534)</f>
        <v>0.17318071428571427</v>
      </c>
      <c r="E622" s="2">
        <f xml:space="preserve"> AVERAGE(E6,E94,E182,E270,E358,E446,E534)</f>
        <v>0.22450614285714282</v>
      </c>
      <c r="F622" s="2">
        <f xml:space="preserve"> AVERAGE(F6,F94,F182,F270,F358,F446,F534)</f>
        <v>0.22764257142857142</v>
      </c>
      <c r="G622" s="2">
        <f xml:space="preserve"> AVERAGE(G6,G94,G182,G270,G358,G446,G534)</f>
        <v>0.22000671428571428</v>
      </c>
      <c r="H622" s="2">
        <f>AVERAGE(D622:G622)</f>
        <v>0.21133403571428572</v>
      </c>
      <c r="I622" s="2">
        <f xml:space="preserve"> _xlfn.STDEV.S(D622:G622) / SQRT(COUNT(D622:G622))</f>
        <v>1.2813937832695447E-2</v>
      </c>
      <c r="J622" s="2">
        <f>I622*$J$2</f>
        <v>1.6014578942559667E-2</v>
      </c>
    </row>
    <row r="623" spans="1:10" x14ac:dyDescent="0.55000000000000004">
      <c r="C623" s="2" t="s">
        <v>25</v>
      </c>
      <c r="D623" s="2">
        <f>(1/COUNT(D7,D95,D183,D271,D359,D447,D535))*SQRT(SUMSQ(D7,D95,D183,D271,D359,D447,D535))</f>
        <v>8.9446255668201234E-5</v>
      </c>
      <c r="E623" s="2">
        <f>(1/COUNT(E7,E95,E183,E271,E359,E447,E535))*SQRT(SUMSQ(E7,E95,E183,E271,E359,E447,E535))</f>
        <v>4.911406756371397E-4</v>
      </c>
      <c r="F623" s="2">
        <f>(1/COUNT(F7,F95,F183,F271,F359,F447,F535))*SQRT(SUMSQ(F7,F95,F183,F271,F359,F447,F535))</f>
        <v>1.547490397583211E-4</v>
      </c>
      <c r="G623" s="2">
        <f>(1/COUNT(G7,G95,G183,G271,G359,G447,G535))*SQRT(SUMSQ(G7,G95,G183,G271,G359,G447,G535))</f>
        <v>1.8633725185418889E-4</v>
      </c>
      <c r="H623" s="2">
        <f>(1/COUNT(D623:G623))*SQRT(SUMSQ(D623:G623))</f>
        <v>1.387192832335012E-4</v>
      </c>
    </row>
    <row r="624" spans="1:10" x14ac:dyDescent="0.55000000000000004">
      <c r="C624" s="2" t="s">
        <v>26</v>
      </c>
      <c r="D624" s="2">
        <f xml:space="preserve"> AVERAGE(D8,D96,D184,D272,D360,D448,D536)</f>
        <v>0.8834185714285715</v>
      </c>
      <c r="E624" s="2">
        <f xml:space="preserve"> AVERAGE(E8,E96,E184,E272,E360,E448,E536)</f>
        <v>0.85930871428571431</v>
      </c>
      <c r="F624" s="2">
        <f xml:space="preserve"> AVERAGE(F8,F96,F184,F272,F360,F448,F536)</f>
        <v>0.91614142857142866</v>
      </c>
      <c r="G624" s="2">
        <f xml:space="preserve"> AVERAGE(G8,G96,G184,G272,G360,G448,G536)</f>
        <v>0.93680814285714287</v>
      </c>
      <c r="H624" s="2">
        <f>AVERAGE(D624:G624)</f>
        <v>0.89891921428571431</v>
      </c>
      <c r="I624" s="2">
        <f xml:space="preserve"> _xlfn.STDEV.S(D624:G624) / SQRT(COUNT(D624:G624))</f>
        <v>1.7179050256122454E-2</v>
      </c>
      <c r="J624" s="2">
        <f>I624*$J$2</f>
        <v>2.1470000875367261E-2</v>
      </c>
    </row>
    <row r="625" spans="2:14" x14ac:dyDescent="0.55000000000000004">
      <c r="C625" s="2" t="s">
        <v>27</v>
      </c>
      <c r="D625" s="2">
        <f>(1/COUNT(D9,D97,D185,D273,D361,D449,D537))*SQRT(SUMSQ(D9,D97,D185,D273,D361,D449,D537))</f>
        <v>5.7868781898078234E-5</v>
      </c>
      <c r="E625" s="2">
        <f>(1/COUNT(E9,E97,E185,E273,E361,E449,E537))*SQRT(SUMSQ(E9,E97,E185,E273,E361,E449,E537))</f>
        <v>2.9210076539245346E-4</v>
      </c>
      <c r="F625" s="2">
        <f>(1/COUNT(F9,F97,F185,F273,F361,F449,F537))*SQRT(SUMSQ(F9,F97,F185,F273,F361,F449,F537))</f>
        <v>9.8910493448803059E-5</v>
      </c>
      <c r="G625" s="2">
        <f>(1/COUNT(G9,G97,G185,G273,G361,G449,G537))*SQRT(SUMSQ(G9,G97,G185,G273,G361,G449,G537))</f>
        <v>6.8406796416133734E-5</v>
      </c>
      <c r="H625" s="2">
        <f>(1/COUNT(D625:G625))*SQRT(SUMSQ(D625:G625))</f>
        <v>8.0286373599224701E-5</v>
      </c>
    </row>
    <row r="626" spans="2:14" x14ac:dyDescent="0.55000000000000004">
      <c r="C626" s="2" t="s">
        <v>28</v>
      </c>
      <c r="D626" s="2">
        <f xml:space="preserve"> AVERAGE(D10,D98,D186,D274,D362,D450,D538)</f>
        <v>1.087968857142857</v>
      </c>
      <c r="E626" s="2">
        <f xml:space="preserve"> AVERAGE(E10,E98,E186,E274,E362,E450,E538)</f>
        <v>1.400411857142857</v>
      </c>
      <c r="F626" s="2">
        <f xml:space="preserve"> AVERAGE(F10,F98,F186,F274,F362,F450,F538)</f>
        <v>1.5676807142857143</v>
      </c>
      <c r="G626" s="2">
        <f xml:space="preserve"> AVERAGE(G10,G98,G186,G274,G362,G450,G538)</f>
        <v>1.5625595714285712</v>
      </c>
      <c r="H626" s="2">
        <f>AVERAGE(D626:G626)</f>
        <v>1.40465525</v>
      </c>
      <c r="I626" s="2">
        <f xml:space="preserve"> _xlfn.STDEV.S(D626:G626) / SQRT(COUNT(D626:G626))</f>
        <v>0.11247938868047321</v>
      </c>
      <c r="J626" s="2">
        <f>I626*$J$2</f>
        <v>0.14057427724037738</v>
      </c>
    </row>
    <row r="627" spans="2:14" x14ac:dyDescent="0.55000000000000004">
      <c r="C627" s="2" t="s">
        <v>29</v>
      </c>
      <c r="D627" s="2">
        <f>(1/COUNT(D11,D99,D187,D275,D363,D451,D539))*SQRT(SUMSQ(D11,D99,D187,D275,D363,D451,D539))</f>
        <v>9.9401744122997533E-4</v>
      </c>
      <c r="E627" s="2">
        <f>(1/COUNT(E11,E99,E187,E275,E363,E451,E539))*SQRT(SUMSQ(E11,E99,E187,E275,E363,E451,E539))</f>
        <v>3.1397946930150885E-3</v>
      </c>
      <c r="F627" s="2">
        <f>(1/COUNT(F11,F99,F187,F275,F363,F451,F539))*SQRT(SUMSQ(F11,F99,F187,F275,F363,F451,F539))</f>
        <v>3.616738464756469E-3</v>
      </c>
      <c r="G627" s="2">
        <f>(1/COUNT(G11,G99,G187,G275,G363,G451,G539))*SQRT(SUMSQ(G11,G99,G187,G275,G363,G451,G539))</f>
        <v>2.7338839606325799E-3</v>
      </c>
      <c r="H627" s="2">
        <f>(1/COUNT(D627:G627))*SQRT(SUMSQ(D627:G627))</f>
        <v>1.4009215721358245E-3</v>
      </c>
    </row>
    <row r="628" spans="2:14" x14ac:dyDescent="0.55000000000000004">
      <c r="C628" s="2" t="s">
        <v>30</v>
      </c>
      <c r="D628" s="2">
        <f xml:space="preserve"> AVERAGE(D12,D100,D188,D276,D364,D452,D540)</f>
        <v>16.580303285714287</v>
      </c>
      <c r="E628" s="2">
        <f xml:space="preserve"> AVERAGE(E12,E100,E188,E276,E364,E452,E540)</f>
        <v>22.351774142857142</v>
      </c>
      <c r="F628" s="2">
        <f xml:space="preserve"> AVERAGE(F12,F100,F188,F276,F364,F452,F540)</f>
        <v>18.031057857142859</v>
      </c>
      <c r="G628" s="2">
        <f xml:space="preserve"> AVERAGE(G12,G100,G188,G276,G364,G452,G540)</f>
        <v>28.280755857142861</v>
      </c>
      <c r="H628" s="2">
        <f>AVERAGE(D628:G628)</f>
        <v>21.310972785714288</v>
      </c>
      <c r="I628" s="2">
        <f xml:space="preserve"> _xlfn.STDEV.S(D628:G628) / SQRT(COUNT(D628:G628))</f>
        <v>2.6267568626333815</v>
      </c>
      <c r="J628" s="2">
        <f>I628*$J$2</f>
        <v>3.282863214164967</v>
      </c>
    </row>
    <row r="629" spans="2:14" x14ac:dyDescent="0.55000000000000004">
      <c r="C629" s="2" t="s">
        <v>31</v>
      </c>
      <c r="D629" s="2">
        <f>(1/COUNT(D13,D101,D189,D277,D365,D453,D541))*SQRT(SUMSQ(D13,D101,D189,D277,D365,D453,D541))</f>
        <v>1.7413168805738455E-2</v>
      </c>
      <c r="E629" s="2">
        <f>(1/COUNT(E13,E101,E189,E277,E365,E453,E541))*SQRT(SUMSQ(E13,E101,E189,E277,E365,E453,E541))</f>
        <v>3.0013854790202254E-2</v>
      </c>
      <c r="F629" s="2">
        <f>(1/COUNT(F13,F101,F189,F277,F365,F453,F541))*SQRT(SUMSQ(F13,F101,F189,F277,F365,F453,F541))</f>
        <v>2.0873914317117603E-2</v>
      </c>
      <c r="G629" s="2">
        <f>(1/COUNT(G13,G101,G189,G277,G365,G453,G541))*SQRT(SUMSQ(G13,G101,G189,G277,G365,G453,G541))</f>
        <v>2.7856000924946351E-2</v>
      </c>
      <c r="H629" s="2">
        <f>(1/COUNT(D629:G629))*SQRT(SUMSQ(D629:G629))</f>
        <v>1.2287511479326959E-2</v>
      </c>
    </row>
    <row r="630" spans="2:14" x14ac:dyDescent="0.55000000000000004">
      <c r="B630" s="2" t="s">
        <v>32</v>
      </c>
      <c r="C630" s="2" t="s">
        <v>22</v>
      </c>
      <c r="D630" s="2">
        <f xml:space="preserve"> AVERAGE(D14,D102,D190,D278,D366,D454,D542)</f>
        <v>0.9862008571428571</v>
      </c>
      <c r="E630" s="2">
        <f xml:space="preserve"> AVERAGE(E14,E102,E190,E278,E366,E454,E542)</f>
        <v>0.9745910000000001</v>
      </c>
      <c r="F630" s="2">
        <f xml:space="preserve"> AVERAGE(F14,F102,F190,F278,F366,F454,F542)</f>
        <v>0.99250528571428576</v>
      </c>
      <c r="G630" s="2">
        <f xml:space="preserve"> AVERAGE(G14,G102,G190,G278,G366,G454,G542)</f>
        <v>0.99174485714285709</v>
      </c>
      <c r="H630" s="2">
        <f>AVERAGE(D630:G630)</f>
        <v>0.98626049999999998</v>
      </c>
      <c r="I630" s="2">
        <f xml:space="preserve"> _xlfn.STDEV.S(D630:G630) / SQRT(COUNT(D630:G630))</f>
        <v>4.1357819636291381E-3</v>
      </c>
      <c r="J630" s="2">
        <f>I630*$J$2</f>
        <v>5.168809745335015E-3</v>
      </c>
    </row>
    <row r="631" spans="2:14" x14ac:dyDescent="0.55000000000000004">
      <c r="C631" s="2" t="s">
        <v>23</v>
      </c>
      <c r="D631" s="2">
        <f>(1/COUNT(D15,D103,D191,D279,D367,D455,D543))*SQRT(SUMSQ(D15,D103,D191,D279,D367,D455,D543))</f>
        <v>6.1884025831075539E-5</v>
      </c>
      <c r="E631" s="2">
        <f>(1/COUNT(E15,E103,E191,E279,E367,E455,E543))*SQRT(SUMSQ(E15,E103,E191,E279,E367,E455,E543))</f>
        <v>2.9737130641262449E-4</v>
      </c>
      <c r="F631" s="2">
        <f>(1/COUNT(F15,F103,F191,F279,F367,F455,F543))*SQRT(SUMSQ(F15,F103,F191,F279,F367,F455,F543))</f>
        <v>4.2619819093842211E-5</v>
      </c>
      <c r="G631" s="2">
        <f>(1/COUNT(G15,G103,G191,G279,G367,G455,G543))*SQRT(SUMSQ(G15,G103,G191,G279,G367,G455,G543))</f>
        <v>4.5049179475641632E-5</v>
      </c>
      <c r="H631" s="2">
        <f>(1/COUNT(D631:G631))*SQRT(SUMSQ(D631:G631))</f>
        <v>7.7502098391605116E-5</v>
      </c>
      <c r="N631" s="2" t="s">
        <v>41</v>
      </c>
    </row>
    <row r="632" spans="2:14" x14ac:dyDescent="0.55000000000000004">
      <c r="C632" s="2" t="s">
        <v>24</v>
      </c>
      <c r="D632" s="2">
        <f xml:space="preserve"> AVERAGE(D16,D104,D192,D280,D368,D456,D544)</f>
        <v>0.17646328571428568</v>
      </c>
      <c r="E632" s="2">
        <f xml:space="preserve"> AVERAGE(E16,E104,E192,E280,E368,E456,E544)</f>
        <v>0.22967871428571426</v>
      </c>
      <c r="F632" s="2">
        <f xml:space="preserve"> AVERAGE(F16,F104,F192,F280,F368,F456,F544)</f>
        <v>0.2285237142857143</v>
      </c>
      <c r="G632" s="2">
        <f xml:space="preserve"> AVERAGE(G16,G104,G192,G280,G368,G456,G544)</f>
        <v>0.22289328571428571</v>
      </c>
      <c r="H632" s="2">
        <f>AVERAGE(D632:G632)</f>
        <v>0.21438974999999999</v>
      </c>
      <c r="I632" s="2">
        <f xml:space="preserve"> _xlfn.STDEV.S(D632:G632) / SQRT(COUNT(D632:G632))</f>
        <v>1.2728734514931712E-2</v>
      </c>
      <c r="J632" s="2">
        <f>I632*$J$2</f>
        <v>1.5908093701542364E-2</v>
      </c>
    </row>
    <row r="633" spans="2:14" x14ac:dyDescent="0.55000000000000004">
      <c r="C633" s="2" t="s">
        <v>25</v>
      </c>
      <c r="D633" s="2">
        <f>(1/COUNT(D17,D105,D193,D281,D369,D457,D545))*SQRT(SUMSQ(D17,D105,D193,D281,D369,D457,D545))</f>
        <v>3.4885354508499314E-4</v>
      </c>
      <c r="E633" s="2">
        <f>(1/COUNT(E17,E105,E193,E281,E369,E457,E545))*SQRT(SUMSQ(E17,E105,E193,E281,E369,E457,E545))</f>
        <v>1.1284982526005298E-3</v>
      </c>
      <c r="F633" s="2">
        <f>(1/COUNT(F17,F105,F193,F281,F369,F457,F545))*SQRT(SUMSQ(F17,F105,F193,F281,F369,F457,F545))</f>
        <v>3.0236088047367558E-4</v>
      </c>
      <c r="G633" s="2">
        <f>(1/COUNT(G17,G105,G193,G281,G369,G457,G545))*SQRT(SUMSQ(G17,G105,G193,G281,G369,G457,G545))</f>
        <v>2.9292358131395964E-4</v>
      </c>
      <c r="H633" s="2">
        <f>(1/COUNT(D633:G633))*SQRT(SUMSQ(D633:G633))</f>
        <v>3.1349176908766568E-4</v>
      </c>
      <c r="N633" s="2">
        <v>0.314</v>
      </c>
    </row>
    <row r="634" spans="2:14" x14ac:dyDescent="0.55000000000000004">
      <c r="C634" s="2" t="s">
        <v>26</v>
      </c>
      <c r="D634" s="2">
        <f xml:space="preserve"> AVERAGE(D18,D106,D194,D282,D370,D458,D546)</f>
        <v>0.88121757142857138</v>
      </c>
      <c r="E634" s="2">
        <f xml:space="preserve"> AVERAGE(E18,E106,E194,E282,E370,E458,E546)</f>
        <v>0.85697942857142861</v>
      </c>
      <c r="F634" s="2">
        <f xml:space="preserve"> AVERAGE(F18,F106,F194,F282,F370,F458,F546)</f>
        <v>0.91505214285714287</v>
      </c>
      <c r="G634" s="2">
        <f xml:space="preserve"> AVERAGE(G18,G106,G194,G282,G370,G458,G546)</f>
        <v>0.93516571428571427</v>
      </c>
      <c r="H634" s="2">
        <f>AVERAGE(D634:G634)</f>
        <v>0.89710371428571423</v>
      </c>
      <c r="I634" s="2">
        <f xml:space="preserve"> _xlfn.STDEV.S(D634:G634) / SQRT(COUNT(D634:G634))</f>
        <v>1.7400167075689376E-2</v>
      </c>
      <c r="J634" s="2">
        <f>I634*$J$2</f>
        <v>2.1746347835116583E-2</v>
      </c>
      <c r="N634" s="2">
        <v>0.628</v>
      </c>
    </row>
    <row r="635" spans="2:14" x14ac:dyDescent="0.55000000000000004">
      <c r="C635" s="2" t="s">
        <v>27</v>
      </c>
      <c r="D635" s="2">
        <f>(1/COUNT(D19,D107,D195,D283,D371,D459,D547))*SQRT(SUMSQ(D19,D107,D195,D283,D371,D459,D547))</f>
        <v>2.53636369953651E-4</v>
      </c>
      <c r="E635" s="2">
        <f>(1/COUNT(E19,E107,E195,E283,E371,E459,E547))*SQRT(SUMSQ(E19,E107,E195,E283,E371,E459,E547))</f>
        <v>6.4539680880550262E-4</v>
      </c>
      <c r="F635" s="2">
        <f>(1/COUNT(F19,F107,F195,F283,F371,F459,F547))*SQRT(SUMSQ(F19,F107,F195,F283,F371,F459,F547))</f>
        <v>2.3020204080728026E-4</v>
      </c>
      <c r="G635" s="2">
        <f>(1/COUNT(G19,G107,G195,G283,G371,G459,G547))*SQRT(SUMSQ(G19,G107,G195,G283,G371,G459,G547))</f>
        <v>1.4633697483575924E-4</v>
      </c>
      <c r="H635" s="2">
        <f>(1/COUNT(D635:G635))*SQRT(SUMSQ(D635:G635))</f>
        <v>1.8629209906345838E-4</v>
      </c>
      <c r="N635" s="2">
        <v>0.94199999999999995</v>
      </c>
    </row>
    <row r="636" spans="2:14" ht="14.5" customHeight="1" x14ac:dyDescent="0.55000000000000004">
      <c r="C636" s="2" t="s">
        <v>28</v>
      </c>
      <c r="D636" s="2">
        <f xml:space="preserve"> AVERAGE(D20,D108,D196,D284,D372,D460,D548)</f>
        <v>1.1299264285714286</v>
      </c>
      <c r="E636" s="2">
        <f xml:space="preserve"> AVERAGE(E20,E108,E196,E284,E372,E460,E548)</f>
        <v>1.4935332857142856</v>
      </c>
      <c r="F636" s="2">
        <f xml:space="preserve"> AVERAGE(F20,F108,F196,F284,F372,F460,F548)</f>
        <v>1.5864154285714289</v>
      </c>
      <c r="G636" s="2">
        <f xml:space="preserve"> AVERAGE(G20,G108,G196,G284,G372,G460,G548)</f>
        <v>1.5912349999999997</v>
      </c>
      <c r="H636" s="2">
        <f>AVERAGE(D636:G636)</f>
        <v>1.4502775357142856</v>
      </c>
      <c r="I636" s="2">
        <f xml:space="preserve"> _xlfn.STDEV.S(D636:G636) / SQRT(COUNT(D636:G636))</f>
        <v>0.1091247086155562</v>
      </c>
      <c r="J636" s="2">
        <f>I636*$J$2</f>
        <v>0.13638167154585268</v>
      </c>
      <c r="N636" s="2">
        <v>1.256</v>
      </c>
    </row>
    <row r="637" spans="2:14" x14ac:dyDescent="0.55000000000000004">
      <c r="C637" s="2" t="s">
        <v>29</v>
      </c>
      <c r="D637" s="2">
        <f>(1/COUNT(D21,D109,D197,D285,D373,D461,D549))*SQRT(SUMSQ(D21,D109,D197,D285,D373,D461,D549))</f>
        <v>3.7092096110594112E-3</v>
      </c>
      <c r="E637" s="2">
        <f>(1/COUNT(E21,E109,E197,E285,E373,E461,E549))*SQRT(SUMSQ(E21,E109,E197,E285,E373,E461,E549))</f>
        <v>7.9074005378067264E-3</v>
      </c>
      <c r="F637" s="2">
        <f>(1/COUNT(F21,F109,F197,F285,F373,F461,F549))*SQRT(SUMSQ(F21,F109,F197,F285,F373,F461,F549))</f>
        <v>6.1778984323810574E-3</v>
      </c>
      <c r="G637" s="2">
        <f>(1/COUNT(G21,G109,G197,G285,G373,G461,G549))*SQRT(SUMSQ(G21,G109,G197,G285,G373,G461,G549))</f>
        <v>3.6937416680385324E-3</v>
      </c>
      <c r="H637" s="2">
        <f>(1/COUNT(D637:G637))*SQRT(SUMSQ(D637:G637))</f>
        <v>2.8294806916983684E-3</v>
      </c>
      <c r="N637" s="2">
        <v>1.57</v>
      </c>
    </row>
    <row r="638" spans="2:14" x14ac:dyDescent="0.55000000000000004">
      <c r="C638" s="2" t="s">
        <v>30</v>
      </c>
      <c r="D638" s="2">
        <f xml:space="preserve"> AVERAGE(D22,D110,D198,D286,D374,D462,D550)</f>
        <v>17.43529057142857</v>
      </c>
      <c r="E638" s="2">
        <f xml:space="preserve"> AVERAGE(E22,E110,E198,E286,E374,E462,E550)</f>
        <v>22.800231285714286</v>
      </c>
      <c r="F638" s="2">
        <f xml:space="preserve"> AVERAGE(F22,F110,F198,F286,F374,F462,F550)</f>
        <v>18.35336914285714</v>
      </c>
      <c r="G638" s="2">
        <f xml:space="preserve"> AVERAGE(G22,G110,G198,G286,G374,G462,G550)</f>
        <v>28.529795000000004</v>
      </c>
      <c r="H638" s="2">
        <f>AVERAGE(D638:G638)</f>
        <v>21.779671499999999</v>
      </c>
      <c r="I638" s="2">
        <f xml:space="preserve"> _xlfn.STDEV.S(D638:G638) / SQRT(COUNT(D638:G638))</f>
        <v>2.5367121607270793</v>
      </c>
      <c r="J638" s="2">
        <f>I638*$J$2</f>
        <v>3.1703273172482271</v>
      </c>
      <c r="N638" s="2">
        <v>1.8839999999999999</v>
      </c>
    </row>
    <row r="639" spans="2:14" x14ac:dyDescent="0.55000000000000004">
      <c r="C639" s="2" t="s">
        <v>31</v>
      </c>
      <c r="D639" s="2">
        <f>(1/COUNT(D23,D111,D199,D287,D375,D463,D551))*SQRT(SUMSQ(D23,D111,D199,D287,D375,D463,D551))</f>
        <v>8.5250378833439208E-2</v>
      </c>
      <c r="E639" s="2">
        <f>(1/COUNT(E23,E111,E199,E287,E375,E463,E551))*SQRT(SUMSQ(E23,E111,E199,E287,E375,E463,E551))</f>
        <v>4.5554068133933111E-2</v>
      </c>
      <c r="F639" s="2">
        <f>(1/COUNT(F23,F111,F199,F287,F375,F463,F551))*SQRT(SUMSQ(F23,F111,F199,F287,F375,F463,F551))</f>
        <v>4.1357811376289418E-2</v>
      </c>
      <c r="G639" s="2">
        <f>(1/COUNT(G23,G111,G199,G287,G375,G463,G551))*SQRT(SUMSQ(G23,G111,G199,G287,G375,G463,G551))</f>
        <v>3.6154622343710439E-2</v>
      </c>
      <c r="H639" s="2">
        <f>(1/COUNT(D639:G639))*SQRT(SUMSQ(D639:G639))</f>
        <v>2.7794362617994343E-2</v>
      </c>
      <c r="N639" s="2">
        <v>2.198</v>
      </c>
    </row>
    <row r="640" spans="2:14" x14ac:dyDescent="0.55000000000000004">
      <c r="B640" s="2" t="s">
        <v>33</v>
      </c>
      <c r="C640" s="2" t="s">
        <v>22</v>
      </c>
      <c r="D640" s="2">
        <f xml:space="preserve"> AVERAGE(D24,D112,D200,D288,D376,D464,D552)</f>
        <v>0.98679785714285728</v>
      </c>
      <c r="E640" s="2">
        <f xml:space="preserve"> AVERAGE(E24,E112,E200,E288,E376,E464,E552)</f>
        <v>0.97535185714285721</v>
      </c>
      <c r="F640" s="2">
        <f xml:space="preserve"> AVERAGE(F24,F112,F200,F288,F376,F464,F552)</f>
        <v>0.99277357142857148</v>
      </c>
      <c r="G640" s="2">
        <f xml:space="preserve"> AVERAGE(G24,G112,G200,G288,G376,G464,G552)</f>
        <v>0.99231499999999995</v>
      </c>
      <c r="H640" s="2">
        <f>AVERAGE(D640:G640)</f>
        <v>0.98680957142857151</v>
      </c>
      <c r="I640" s="2">
        <f xml:space="preserve"> _xlfn.STDEV.S(D640:G640) / SQRT(COUNT(D640:G640))</f>
        <v>4.053377127292041E-3</v>
      </c>
      <c r="J640" s="2">
        <f>I640*$J$2</f>
        <v>5.0658219851320643E-3</v>
      </c>
    </row>
    <row r="641" spans="2:10" x14ac:dyDescent="0.55000000000000004">
      <c r="C641" s="2" t="s">
        <v>23</v>
      </c>
      <c r="D641" s="2">
        <f>(1/COUNT(D25,D113,D201,D289,D377,D465,D553))*SQRT(SUMSQ(D25,D113,D201,D289,D377,D465,D553))</f>
        <v>5.7124997208949155E-6</v>
      </c>
      <c r="E641" s="2">
        <f>(1/COUNT(E25,E113,E201,E289,E377,E465,E553))*SQRT(SUMSQ(E25,E113,E201,E289,E377,E465,E553))</f>
        <v>6.6313571732476968E-5</v>
      </c>
      <c r="F641" s="2">
        <f>(1/COUNT(F25,F113,F201,F289,F377,F465,F553))*SQRT(SUMSQ(F25,F113,F201,F289,F377,F465,F553))</f>
        <v>9.2372360916155482E-6</v>
      </c>
      <c r="G641" s="2">
        <f>(1/COUNT(G25,G113,G201,G289,G377,G465,G553))*SQRT(SUMSQ(G25,G113,G201,G289,G377,G465,G553))</f>
        <v>8.8051469178485581E-6</v>
      </c>
      <c r="H641" s="2">
        <f>(1/COUNT(D641:G641))*SQRT(SUMSQ(D641:G641))</f>
        <v>1.6942881233420601E-5</v>
      </c>
    </row>
    <row r="642" spans="2:10" x14ac:dyDescent="0.55000000000000004">
      <c r="C642" s="2" t="s">
        <v>24</v>
      </c>
      <c r="D642" s="2">
        <f xml:space="preserve"> AVERAGE(D26,D114,D202,D290,D378,D466,D554)</f>
        <v>0.17308442857142858</v>
      </c>
      <c r="E642" s="2">
        <f xml:space="preserve"> AVERAGE(E26,E114,E202,E290,E378,E466,E554)</f>
        <v>0.22540657142857143</v>
      </c>
      <c r="F642" s="2">
        <f xml:space="preserve"> AVERAGE(F26,F114,F202,F290,F378,F466,F554)</f>
        <v>0.22776642857142854</v>
      </c>
      <c r="G642" s="2">
        <f xml:space="preserve"> AVERAGE(G26,G114,G202,G290,G378,G466,G554)</f>
        <v>0.21989042857142854</v>
      </c>
      <c r="H642" s="2">
        <f>AVERAGE(D642:G642)</f>
        <v>0.21153696428571428</v>
      </c>
      <c r="I642" s="2">
        <f xml:space="preserve"> _xlfn.STDEV.S(D642:G642) / SQRT(COUNT(D642:G642))</f>
        <v>1.2923297378925076E-2</v>
      </c>
      <c r="J642" s="2">
        <f>I642*$J$2</f>
        <v>1.6151254109013826E-2</v>
      </c>
    </row>
    <row r="643" spans="2:10" x14ac:dyDescent="0.55000000000000004">
      <c r="C643" s="2" t="s">
        <v>25</v>
      </c>
      <c r="D643" s="2">
        <f>(1/COUNT(D27,D115,D203,D291,D379,D467,D555))*SQRT(SUMSQ(D27,D115,D203,D291,D379,D467,D555))</f>
        <v>3.6189692973981151E-5</v>
      </c>
      <c r="E643" s="2">
        <f>(1/COUNT(E27,E115,E203,E291,E379,E467,E555))*SQRT(SUMSQ(E27,E115,E203,E291,E379,E467,E555))</f>
        <v>2.722797930700802E-4</v>
      </c>
      <c r="F643" s="2">
        <f>(1/COUNT(F27,F115,F203,F291,F379,F467,F555))*SQRT(SUMSQ(F27,F115,F203,F291,F379,F467,F555))</f>
        <v>7.1001006029089873E-5</v>
      </c>
      <c r="G643" s="2">
        <f>(1/COUNT(G27,G115,G203,G291,G379,G467,G555))*SQRT(SUMSQ(G27,G115,G203,G291,G379,G467,G555))</f>
        <v>7.0451749301148208E-5</v>
      </c>
      <c r="H643" s="2">
        <f>(1/COUNT(D643:G643))*SQRT(SUMSQ(D643:G643))</f>
        <v>7.3079824262827232E-5</v>
      </c>
    </row>
    <row r="644" spans="2:10" x14ac:dyDescent="0.55000000000000004">
      <c r="C644" s="2" t="s">
        <v>26</v>
      </c>
      <c r="D644" s="2">
        <f xml:space="preserve"> AVERAGE(D28,D116,D204,D292,D380,D468,D556)</f>
        <v>0.88354357142857143</v>
      </c>
      <c r="E644" s="2">
        <f xml:space="preserve"> AVERAGE(E28,E116,E204,E292,E380,E468,E556)</f>
        <v>0.85902928571428572</v>
      </c>
      <c r="F644" s="2">
        <f xml:space="preserve"> AVERAGE(F28,F116,F204,F292,F380,F468,F556)</f>
        <v>0.91652899999999993</v>
      </c>
      <c r="G644" s="2">
        <f xml:space="preserve"> AVERAGE(G28,G116,G204,G292,G380,G468,G556)</f>
        <v>0.93704614285714283</v>
      </c>
      <c r="H644" s="2">
        <f>AVERAGE(D644:G644)</f>
        <v>0.89903699999999986</v>
      </c>
      <c r="I644" s="2">
        <f xml:space="preserve"> _xlfn.STDEV.S(D644:G644) / SQRT(COUNT(D644:G644))</f>
        <v>1.729963519846588E-2</v>
      </c>
      <c r="J644" s="2">
        <f>I644*$J$2</f>
        <v>2.1620705296104766E-2</v>
      </c>
    </row>
    <row r="645" spans="2:10" x14ac:dyDescent="0.55000000000000004">
      <c r="C645" s="2" t="s">
        <v>27</v>
      </c>
      <c r="D645" s="2">
        <f>(1/COUNT(D29,D117,D205,D293,D381,D469,D557))*SQRT(SUMSQ(D29,D117,D205,D293,D381,D469,D557))</f>
        <v>2.4000425166302058E-5</v>
      </c>
      <c r="E645" s="2">
        <f>(1/COUNT(E29,E117,E205,E293,E381,E469,E557))*SQRT(SUMSQ(E29,E117,E205,E293,E381,E469,E557))</f>
        <v>1.6033759028107804E-4</v>
      </c>
      <c r="F645" s="2">
        <f>(1/COUNT(F29,F117,F205,F293,F381,F469,F557))*SQRT(SUMSQ(F29,F117,F205,F293,F381,F469,F557))</f>
        <v>4.5879611762853922E-5</v>
      </c>
      <c r="G645" s="2">
        <f>(1/COUNT(G29,G117,G205,G293,G381,G469,G557))*SQRT(SUMSQ(G29,G117,G205,G293,G381,G469,G557))</f>
        <v>2.9528955004765565E-5</v>
      </c>
      <c r="H645" s="2">
        <f>(1/COUNT(D645:G645))*SQRT(SUMSQ(D645:G645))</f>
        <v>4.2764662123423959E-5</v>
      </c>
    </row>
    <row r="646" spans="2:10" ht="14.5" customHeight="1" x14ac:dyDescent="0.55000000000000004">
      <c r="C646" s="2" t="s">
        <v>28</v>
      </c>
      <c r="D646" s="2">
        <f xml:space="preserve"> AVERAGE(D30,D118,D206,D294,D382,D470,D558)</f>
        <v>1.0855485714285715</v>
      </c>
      <c r="E646" s="2">
        <f xml:space="preserve"> AVERAGE(E30,E118,E206,E294,E382,E470,E558)</f>
        <v>1.3975507142857144</v>
      </c>
      <c r="F646" s="2">
        <f xml:space="preserve"> AVERAGE(F30,F118,F206,F294,F382,F470,F558)</f>
        <v>1.5732077142857144</v>
      </c>
      <c r="G646" s="2">
        <f xml:space="preserve"> AVERAGE(G30,G118,G206,G294,G382,G470,G558)</f>
        <v>1.5635504285714286</v>
      </c>
      <c r="H646" s="2">
        <f>AVERAGE(D646:G646)</f>
        <v>1.4049643571428572</v>
      </c>
      <c r="I646" s="2">
        <f xml:space="preserve"> _xlfn.STDEV.S(D646:G646) / SQRT(COUNT(D646:G646))</f>
        <v>0.11384813552042912</v>
      </c>
      <c r="J646" s="2">
        <f>I646*$J$2</f>
        <v>0.14228490707228769</v>
      </c>
    </row>
    <row r="647" spans="2:10" x14ac:dyDescent="0.55000000000000004">
      <c r="C647" s="2" t="s">
        <v>29</v>
      </c>
      <c r="D647" s="2">
        <f>(1/COUNT(D31,D119,D207,D295,D383,D471,D559))*SQRT(SUMSQ(D31,D119,D207,D295,D383,D471,D559))</f>
        <v>4.5075499023803359E-4</v>
      </c>
      <c r="E647" s="2">
        <f>(1/COUNT(E31,E119,E207,E295,E383,E471,E559))*SQRT(SUMSQ(E31,E119,E207,E295,E383,E471,E559))</f>
        <v>2.1873894607639544E-3</v>
      </c>
      <c r="F647" s="2">
        <f>(1/COUNT(F31,F119,F207,F295,F383,F471,F559))*SQRT(SUMSQ(F31,F119,F207,F295,F383,F471,F559))</f>
        <v>1.5823463139094606E-3</v>
      </c>
      <c r="G647" s="2">
        <f>(1/COUNT(G31,G119,G207,G295,G383,G471,G559))*SQRT(SUMSQ(G31,G119,G207,G295,G383,G471,G559))</f>
        <v>1.1535691198561592E-3</v>
      </c>
      <c r="H647" s="2">
        <f>(1/COUNT(D647:G647))*SQRT(SUMSQ(D647:G647))</f>
        <v>7.425628881496453E-4</v>
      </c>
    </row>
    <row r="648" spans="2:10" x14ac:dyDescent="0.55000000000000004">
      <c r="C648" s="2" t="s">
        <v>30</v>
      </c>
      <c r="D648" s="2">
        <f xml:space="preserve"> AVERAGE(D32,D120,D208,D296,D384,D472,D560)</f>
        <v>16.53897242857143</v>
      </c>
      <c r="E648" s="2">
        <f xml:space="preserve"> AVERAGE(E32,E120,E208,E296,E384,E472,E560)</f>
        <v>22.256490714285714</v>
      </c>
      <c r="F648" s="2">
        <f xml:space="preserve"> AVERAGE(F32,F120,F208,F296,F384,F472,F560)</f>
        <v>18.088718714285712</v>
      </c>
      <c r="G648" s="2">
        <f xml:space="preserve"> AVERAGE(G32,G120,G208,G296,G384,G472,G560)</f>
        <v>28.271791714285715</v>
      </c>
      <c r="H648" s="2">
        <f>AVERAGE(D648:G648)</f>
        <v>21.288993392857144</v>
      </c>
      <c r="I648" s="2">
        <f xml:space="preserve"> _xlfn.STDEV.S(D648:G648) / SQRT(COUNT(D648:G648))</f>
        <v>2.622021812841127</v>
      </c>
      <c r="J648" s="2">
        <f>I648*$J$2</f>
        <v>3.276945452608365</v>
      </c>
    </row>
    <row r="649" spans="2:10" x14ac:dyDescent="0.55000000000000004">
      <c r="C649" s="2" t="s">
        <v>31</v>
      </c>
      <c r="D649" s="2">
        <f>(1/COUNT(D33,D121,D209,D297,D385,D473,D561))*SQRT(SUMSQ(D33,D121,D209,D297,D385,D473,D561))</f>
        <v>8.5737100535084945E-3</v>
      </c>
      <c r="E649" s="2">
        <f>(1/COUNT(E33,E121,E209,E297,E385,E473,E561))*SQRT(SUMSQ(E33,E121,E209,E297,E385,E473,E561))</f>
        <v>1.2673156312393821E-2</v>
      </c>
      <c r="F649" s="2">
        <f>(1/COUNT(F33,F121,F209,F297,F385,F473,F561))*SQRT(SUMSQ(F33,F121,F209,F297,F385,F473,F561))</f>
        <v>9.031100939734504E-3</v>
      </c>
      <c r="G649" s="2">
        <f>(1/COUNT(G33,G121,G209,G297,G385,G473,G561))*SQRT(SUMSQ(G33,G121,G209,G297,G385,G473,G561))</f>
        <v>1.1222837251764449E-2</v>
      </c>
      <c r="H649" s="2">
        <f>(1/COUNT(D649:G649))*SQRT(SUMSQ(D649:G649))</f>
        <v>5.2537501794150884E-3</v>
      </c>
    </row>
    <row r="650" spans="2:10" x14ac:dyDescent="0.55000000000000004">
      <c r="B650" s="2" t="s">
        <v>34</v>
      </c>
      <c r="C650" s="2" t="s">
        <v>22</v>
      </c>
      <c r="D650" s="2">
        <f xml:space="preserve"> AVERAGE(D34,D122,D210,D298,D386,D474,D562)</f>
        <v>0.98664685714285716</v>
      </c>
      <c r="E650" s="2">
        <f xml:space="preserve"> AVERAGE(E34,E122,E210,E298,E386,E474,E562)</f>
        <v>0.97354914285714267</v>
      </c>
      <c r="F650" s="2">
        <f xml:space="preserve"> AVERAGE(F34,F122,F210,F298,F386,F474,F562)</f>
        <v>0.99285228571428552</v>
      </c>
      <c r="G650" s="2">
        <f xml:space="preserve"> AVERAGE(G34,G122,G210,G298,G386,G474,G562)</f>
        <v>0.99210485714285723</v>
      </c>
      <c r="H650" s="2">
        <f>AVERAGE(D650:G650)</f>
        <v>0.98628828571428562</v>
      </c>
      <c r="I650" s="2">
        <f xml:space="preserve"> _xlfn.STDEV.S(D650:G650) / SQRT(COUNT(D650:G650))</f>
        <v>4.4659166041974554E-3</v>
      </c>
      <c r="J650" s="2">
        <f>I650*$J$2</f>
        <v>5.5814047908303108E-3</v>
      </c>
    </row>
    <row r="651" spans="2:10" x14ac:dyDescent="0.55000000000000004">
      <c r="C651" s="2" t="s">
        <v>23</v>
      </c>
      <c r="D651" s="2">
        <f>(1/COUNT(D35,D123,D211,D299,D387,D475,D563))*SQRT(SUMSQ(D35,D123,D211,D299,D387,D475,D563))</f>
        <v>7.8949092354969286E-5</v>
      </c>
      <c r="E651" s="2">
        <f>(1/COUNT(E35,E123,E211,E299,E387,E475,E563))*SQRT(SUMSQ(E35,E123,E211,E299,E387,E475,E563))</f>
        <v>5.6444833099881424E-4</v>
      </c>
      <c r="F651" s="2">
        <f>(1/COUNT(F35,F123,F211,F299,F387,F475,F563))*SQRT(SUMSQ(F35,F123,F211,F299,F387,F475,F563))</f>
        <v>8.2231380871295107E-5</v>
      </c>
      <c r="G651" s="2">
        <f>(1/COUNT(G35,G123,G211,G299,G387,G475,G563))*SQRT(SUMSQ(G35,G123,G211,G299,G387,G475,G563))</f>
        <v>1.0413011875846996E-4</v>
      </c>
      <c r="H651" s="2">
        <f>(1/COUNT(D651:G651))*SQRT(SUMSQ(D651:G651))</f>
        <v>1.4629592423912429E-4</v>
      </c>
    </row>
    <row r="652" spans="2:10" x14ac:dyDescent="0.55000000000000004">
      <c r="C652" s="2" t="s">
        <v>24</v>
      </c>
      <c r="D652" s="2">
        <f xml:space="preserve"> AVERAGE(D36,D124,D212,D300,D388,D476,D564)</f>
        <v>0.17363242857142858</v>
      </c>
      <c r="E652" s="2">
        <f xml:space="preserve"> AVERAGE(E36,E124,E212,E300,E388,E476,E564)</f>
        <v>0.23325028571428574</v>
      </c>
      <c r="F652" s="2">
        <f xml:space="preserve"> AVERAGE(F36,F124,F212,F300,F388,F476,F564)</f>
        <v>0.23058757142857142</v>
      </c>
      <c r="G652" s="2">
        <f xml:space="preserve"> AVERAGE(G36,G124,G212,G300,G388,G476,G564)</f>
        <v>0.22288485714285713</v>
      </c>
      <c r="H652" s="2">
        <f>AVERAGE(D652:G652)</f>
        <v>0.21508878571428572</v>
      </c>
      <c r="I652" s="2">
        <f xml:space="preserve"> _xlfn.STDEV.S(D652:G652) / SQRT(COUNT(D652:G652))</f>
        <v>1.399244057262959E-2</v>
      </c>
      <c r="J652" s="2">
        <f>I652*$J$2</f>
        <v>1.7487445863651023E-2</v>
      </c>
    </row>
    <row r="653" spans="2:10" x14ac:dyDescent="0.55000000000000004">
      <c r="C653" s="2" t="s">
        <v>25</v>
      </c>
      <c r="D653" s="2">
        <f>(1/COUNT(D37,D125,D213,D301,D389,D477,D565))*SQRT(SUMSQ(D37,D125,D213,D301,D389,D477,D565))</f>
        <v>4.0709388176614564E-4</v>
      </c>
      <c r="E653" s="2">
        <f>(1/COUNT(E37,E125,E213,E301,E389,E477,E565))*SQRT(SUMSQ(E37,E125,E213,E301,E389,E477,E565))</f>
        <v>2.0076035414373617E-3</v>
      </c>
      <c r="F653" s="2">
        <f>(1/COUNT(F37,F125,F213,F301,F389,F477,F565))*SQRT(SUMSQ(F37,F125,F213,F301,F389,F477,F565))</f>
        <v>5.9130390335465307E-4</v>
      </c>
      <c r="G653" s="2">
        <f>(1/COUNT(G37,G125,G213,G301,G389,G477,G565))*SQRT(SUMSQ(G37,G125,G213,G301,G389,G477,G565))</f>
        <v>7.5409428036119549E-4</v>
      </c>
      <c r="H653" s="2">
        <f>(1/COUNT(D653:G653))*SQRT(SUMSQ(D653:G653))</f>
        <v>5.6538128163430464E-4</v>
      </c>
    </row>
    <row r="654" spans="2:10" x14ac:dyDescent="0.55000000000000004">
      <c r="C654" s="2" t="s">
        <v>26</v>
      </c>
      <c r="D654" s="2">
        <f xml:space="preserve"> AVERAGE(D38,D126,D214,D302,D390,D478,D566)</f>
        <v>0.88266771428571444</v>
      </c>
      <c r="E654" s="2">
        <f xml:space="preserve"> AVERAGE(E38,E126,E214,E302,E390,E478,E566)</f>
        <v>0.85421728571428568</v>
      </c>
      <c r="F654" s="2">
        <f xml:space="preserve"> AVERAGE(F38,F126,F214,F302,F390,F478,F566)</f>
        <v>0.91715771428571435</v>
      </c>
      <c r="G654" s="2">
        <f xml:space="preserve"> AVERAGE(G38,G126,G214,G302,G390,G478,G566)</f>
        <v>0.93616057142857134</v>
      </c>
      <c r="H654" s="2">
        <f>AVERAGE(D654:G654)</f>
        <v>0.89755082142857145</v>
      </c>
      <c r="I654" s="2">
        <f xml:space="preserve"> _xlfn.STDEV.S(D654:G654) / SQRT(COUNT(D654:G654))</f>
        <v>1.8199004639221836E-2</v>
      </c>
      <c r="J654" s="2">
        <f>I654*$J$2</f>
        <v>2.2744717531497538E-2</v>
      </c>
    </row>
    <row r="655" spans="2:10" x14ac:dyDescent="0.55000000000000004">
      <c r="C655" s="2" t="s">
        <v>27</v>
      </c>
      <c r="D655" s="2">
        <f>(1/COUNT(D39,D127,D215,D303,D391,D479,D567))*SQRT(SUMSQ(D39,D127,D215,D303,D391,D479,D567))</f>
        <v>3.0291006949931791E-4</v>
      </c>
      <c r="E655" s="2">
        <f>(1/COUNT(E39,E127,E215,E303,E391,E479,E567))*SQRT(SUMSQ(E39,E127,E215,E303,E391,E479,E567))</f>
        <v>1.1010744103569282E-3</v>
      </c>
      <c r="F655" s="2">
        <f>(1/COUNT(F39,F127,F215,F303,F391,F479,F567))*SQRT(SUMSQ(F39,F127,F215,F303,F391,F479,F567))</f>
        <v>4.216390757556534E-4</v>
      </c>
      <c r="G655" s="2">
        <f>(1/COUNT(G39,G127,G215,G303,G391,G479,G567))*SQRT(SUMSQ(G39,G127,G215,G303,G391,G479,G567))</f>
        <v>3.4059866262155496E-4</v>
      </c>
      <c r="H655" s="2">
        <f>(1/COUNT(D655:G655))*SQRT(SUMSQ(D655:G655))</f>
        <v>3.1602079901196892E-4</v>
      </c>
    </row>
    <row r="656" spans="2:10" ht="14.5" customHeight="1" x14ac:dyDescent="0.55000000000000004">
      <c r="C656" s="2" t="s">
        <v>28</v>
      </c>
      <c r="D656" s="2">
        <f xml:space="preserve"> AVERAGE(D40,D128,D216,D304,D392,D480,D568)</f>
        <v>1.1012358571428571</v>
      </c>
      <c r="E656" s="2">
        <f xml:space="preserve"> AVERAGE(E40,E128,E216,E304,E392,E480,E568)</f>
        <v>1.4984057142857143</v>
      </c>
      <c r="F656" s="2">
        <f xml:space="preserve"> AVERAGE(F40,F128,F216,F304,F392,F480,F568)</f>
        <v>1.6445882857142855</v>
      </c>
      <c r="G656" s="2">
        <f xml:space="preserve"> AVERAGE(G40,G128,G216,G304,G392,G480,G568)</f>
        <v>1.6017137142857141</v>
      </c>
      <c r="H656" s="2">
        <f>AVERAGE(D656:G656)</f>
        <v>1.4614858928571428</v>
      </c>
      <c r="I656" s="2">
        <f xml:space="preserve"> _xlfn.STDEV.S(D656:G656) / SQRT(COUNT(D656:G656))</f>
        <v>0.12394000215799192</v>
      </c>
      <c r="J656" s="2">
        <f>I656*$J$2</f>
        <v>0.15489750103482897</v>
      </c>
    </row>
    <row r="657" spans="2:10" x14ac:dyDescent="0.55000000000000004">
      <c r="C657" s="2" t="s">
        <v>29</v>
      </c>
      <c r="D657" s="2">
        <f>(1/COUNT(D41,D129,D217,D305,D393,D481,D569))*SQRT(SUMSQ(D41,D129,D217,D305,D393,D481,D569))</f>
        <v>4.1259528744823264E-3</v>
      </c>
      <c r="E657" s="2">
        <f>(1/COUNT(E41,E129,E217,E305,E393,E481,E569))*SQRT(SUMSQ(E41,E129,E217,E305,E393,E481,E569))</f>
        <v>1.3347450821358039E-2</v>
      </c>
      <c r="F657" s="2">
        <f>(1/COUNT(F41,F129,F217,F305,F393,F481,F569))*SQRT(SUMSQ(F41,F129,F217,F305,F393,F481,F569))</f>
        <v>9.9098959507707262E-3</v>
      </c>
      <c r="G657" s="2">
        <f>(1/COUNT(G41,G129,G217,G305,G393,G481,G569))*SQRT(SUMSQ(G41,G129,G217,G305,G393,G481,G569))</f>
        <v>9.3325699853048106E-3</v>
      </c>
      <c r="H657" s="2">
        <f>(1/COUNT(D657:G657))*SQRT(SUMSQ(D657:G657))</f>
        <v>4.8764794603582528E-3</v>
      </c>
    </row>
    <row r="658" spans="2:10" x14ac:dyDescent="0.55000000000000004">
      <c r="C658" s="2" t="s">
        <v>30</v>
      </c>
      <c r="D658" s="2">
        <f xml:space="preserve"> AVERAGE(D42,D130,D218,D306,D394,D482,D570)</f>
        <v>16.93360942857143</v>
      </c>
      <c r="E658" s="2">
        <f xml:space="preserve"> AVERAGE(E42,E130,E218,E306,E394,E482,E570)</f>
        <v>22.685046428571429</v>
      </c>
      <c r="F658" s="2">
        <f xml:space="preserve"> AVERAGE(F42,F130,F218,F306,F394,F482,F570)</f>
        <v>18.692755428571427</v>
      </c>
      <c r="G658" s="2">
        <f xml:space="preserve"> AVERAGE(G42,G130,G218,G306,G394,G482,G570)</f>
        <v>28.433974142857142</v>
      </c>
      <c r="H658" s="2">
        <f>AVERAGE(D658:G658)</f>
        <v>21.686346357142856</v>
      </c>
      <c r="I658" s="2">
        <f xml:space="preserve"> _xlfn.STDEV.S(D658:G658) / SQRT(COUNT(D658:G658))</f>
        <v>2.5507838260530598</v>
      </c>
      <c r="J658" s="2">
        <f>I658*$J$2</f>
        <v>3.1879137764739927</v>
      </c>
    </row>
    <row r="659" spans="2:10" x14ac:dyDescent="0.55000000000000004">
      <c r="C659" s="2" t="s">
        <v>31</v>
      </c>
      <c r="D659" s="2">
        <f>(1/COUNT(D43,D131,D219,D307,D395,D483,D571))*SQRT(SUMSQ(D43,D131,D219,D307,D395,D483,D571))</f>
        <v>9.5471020322549019E-2</v>
      </c>
      <c r="E659" s="2">
        <f>(1/COUNT(E43,E131,E219,E307,E395,E483,E571))*SQRT(SUMSQ(E43,E131,E219,E307,E395,E483,E571))</f>
        <v>7.4537139468885447E-2</v>
      </c>
      <c r="F659" s="2">
        <f>(1/COUNT(F43,F131,F219,F307,F395,F483,F571))*SQRT(SUMSQ(F43,F131,F219,F307,F395,F483,F571))</f>
        <v>4.7027135830154013E-2</v>
      </c>
      <c r="G659" s="2">
        <f>(1/COUNT(G43,G131,G219,G307,G395,G483,G571))*SQRT(SUMSQ(G43,G131,G219,G307,G395,G483,G571))</f>
        <v>7.464592244027253E-2</v>
      </c>
      <c r="H659" s="2">
        <f>(1/COUNT(D659:G659))*SQRT(SUMSQ(D659:G659))</f>
        <v>3.7461702212876341E-2</v>
      </c>
    </row>
    <row r="660" spans="2:10" x14ac:dyDescent="0.55000000000000004">
      <c r="B660" s="2" t="s">
        <v>35</v>
      </c>
      <c r="C660" s="2" t="s">
        <v>22</v>
      </c>
      <c r="D660" s="2">
        <f xml:space="preserve"> AVERAGE(D44,D132,D220,D308,D396,D484,D572)</f>
        <v>0.9833222857142857</v>
      </c>
      <c r="E660" s="2">
        <f xml:space="preserve"> AVERAGE(E44,E132,E220,E308,E396,E484,E572)</f>
        <v>0.95949385714285718</v>
      </c>
      <c r="F660" s="2">
        <f xml:space="preserve"> AVERAGE(F44,F132,F220,F308,F396,F484,F572)</f>
        <v>0.99259971428571425</v>
      </c>
      <c r="G660" s="2">
        <f xml:space="preserve"> AVERAGE(G44,G132,G220,G308,G396,G484,G572)</f>
        <v>0.99184628571428568</v>
      </c>
      <c r="H660" s="2">
        <f>AVERAGE(D660:G660)</f>
        <v>0.9818155357142857</v>
      </c>
      <c r="I660" s="2">
        <f xml:space="preserve"> _xlfn.STDEV.S(D660:G660) / SQRT(COUNT(D660:G660))</f>
        <v>7.7321950464256366E-3</v>
      </c>
      <c r="J660" s="2">
        <f>I660*$J$2</f>
        <v>9.6635280728691215E-3</v>
      </c>
    </row>
    <row r="661" spans="2:10" x14ac:dyDescent="0.55000000000000004">
      <c r="C661" s="2" t="s">
        <v>23</v>
      </c>
      <c r="D661" s="2">
        <f>(1/COUNT(D45,D133,D221,D309,D397,D485,D573))*SQRT(SUMSQ(D45,D133,D221,D309,D397,D485,D573))</f>
        <v>5.8661255161672566E-5</v>
      </c>
      <c r="E661" s="2">
        <f>(1/COUNT(E45,E133,E221,E309,E397,E485,E573))*SQRT(SUMSQ(E45,E133,E221,E309,E397,E485,E573))</f>
        <v>2.8345819977627766E-4</v>
      </c>
      <c r="F661" s="2">
        <f>(1/COUNT(F45,F133,F221,F309,F397,F485,F573))*SQRT(SUMSQ(F45,F133,F221,F309,F397,F485,F573))</f>
        <v>3.9142857142857138E-5</v>
      </c>
      <c r="G661" s="2">
        <f>(1/COUNT(G45,G133,G221,G309,G397,G485,G573))*SQRT(SUMSQ(G45,G133,G221,G309,G397,G485,G573))</f>
        <v>3.8513978379443544E-5</v>
      </c>
      <c r="H661" s="2">
        <f>(1/COUNT(D661:G661))*SQRT(SUMSQ(D661:G661))</f>
        <v>7.3656798597222748E-5</v>
      </c>
    </row>
    <row r="662" spans="2:10" x14ac:dyDescent="0.55000000000000004">
      <c r="C662" s="2" t="s">
        <v>24</v>
      </c>
      <c r="D662" s="2">
        <f xml:space="preserve"> AVERAGE(D46,D134,D222,D310,D398,D486,D574)</f>
        <v>0.19023085714285717</v>
      </c>
      <c r="E662" s="2">
        <f xml:space="preserve"> AVERAGE(E46,E134,E222,E310,E398,E486,E574)</f>
        <v>0.28302485714285713</v>
      </c>
      <c r="F662" s="2">
        <f xml:space="preserve"> AVERAGE(F46,F134,F222,F310,F398,F486,F574)</f>
        <v>0.23371642857142857</v>
      </c>
      <c r="G662" s="2">
        <f xml:space="preserve"> AVERAGE(G46,G134,G222,G310,G398,G486,G574)</f>
        <v>0.22699242857142857</v>
      </c>
      <c r="H662" s="2">
        <f>AVERAGE(D662:G662)</f>
        <v>0.23349114285714287</v>
      </c>
      <c r="I662" s="2">
        <f xml:space="preserve"> _xlfn.STDEV.S(D662:G662) / SQRT(COUNT(D662:G662))</f>
        <v>1.9077310283949024E-2</v>
      </c>
      <c r="J662" s="2">
        <f>I662*$J$2</f>
        <v>2.3842404695804668E-2</v>
      </c>
    </row>
    <row r="663" spans="2:10" x14ac:dyDescent="0.55000000000000004">
      <c r="C663" s="2" t="s">
        <v>25</v>
      </c>
      <c r="D663" s="2">
        <f>(1/COUNT(D47,D135,D223,D311,D399,D487,D575))*SQRT(SUMSQ(D47,D135,D223,D311,D399,D487,D575))</f>
        <v>2.6174446176625426E-4</v>
      </c>
      <c r="E663" s="2">
        <f>(1/COUNT(E47,E135,E223,E311,E399,E487,E575))*SQRT(SUMSQ(E47,E135,E223,E311,E399,E487,E575))</f>
        <v>8.7590171613402524E-4</v>
      </c>
      <c r="F663" s="2">
        <f>(1/COUNT(F47,F135,F223,F311,F399,F487,F575))*SQRT(SUMSQ(F47,F135,F223,F311,F399,F487,F575))</f>
        <v>2.7397951658874806E-4</v>
      </c>
      <c r="G663" s="2">
        <f>(1/COUNT(G47,G135,G223,G311,G399,G487,G575))*SQRT(SUMSQ(G47,G135,G223,G311,G399,G487,G575))</f>
        <v>2.8861293902288673E-4</v>
      </c>
      <c r="H663" s="2">
        <f>(1/COUNT(D663:G663))*SQRT(SUMSQ(D663:G663))</f>
        <v>2.4925842308654651E-4</v>
      </c>
    </row>
    <row r="664" spans="2:10" x14ac:dyDescent="0.55000000000000004">
      <c r="C664" s="2" t="s">
        <v>26</v>
      </c>
      <c r="D664" s="2">
        <f xml:space="preserve"> AVERAGE(D48,D136,D224,D312,D400,D488,D576)</f>
        <v>0.87053185714285708</v>
      </c>
      <c r="E664" s="2">
        <f xml:space="preserve"> AVERAGE(E48,E136,E224,E312,E400,E488,E576)</f>
        <v>0.82703385714285715</v>
      </c>
      <c r="F664" s="2">
        <f xml:space="preserve"> AVERAGE(F48,F136,F224,F312,F400,F488,F576)</f>
        <v>0.91558185714285723</v>
      </c>
      <c r="G664" s="2">
        <f xml:space="preserve"> AVERAGE(G48,G136,G224,G312,G400,G488,G576)</f>
        <v>0.93460414285714288</v>
      </c>
      <c r="H664" s="2">
        <f>AVERAGE(D664:G664)</f>
        <v>0.8869379285714285</v>
      </c>
      <c r="I664" s="2">
        <f xml:space="preserve"> _xlfn.STDEV.S(D664:G664) / SQRT(COUNT(D664:G664))</f>
        <v>2.4066227342092759E-2</v>
      </c>
      <c r="J664" s="2">
        <f>I664*$J$2</f>
        <v>3.0077444002899478E-2</v>
      </c>
    </row>
    <row r="665" spans="2:10" x14ac:dyDescent="0.55000000000000004">
      <c r="C665" s="2" t="s">
        <v>27</v>
      </c>
      <c r="D665" s="2">
        <f>(1/COUNT(D49,D137,D225,D313,D401,D489,D577))*SQRT(SUMSQ(D49,D137,D225,D313,D401,D489,D577))</f>
        <v>2.1259163690425984E-4</v>
      </c>
      <c r="E665" s="2">
        <f>(1/COUNT(E49,E137,E225,E313,E401,E489,E577))*SQRT(SUMSQ(E49,E137,E225,E313,E401,E489,E577))</f>
        <v>4.8311047876637651E-4</v>
      </c>
      <c r="F665" s="2">
        <f>(1/COUNT(F49,F137,F225,F313,F401,F489,F577))*SQRT(SUMSQ(F49,F137,F225,F313,F401,F489,F577))</f>
        <v>1.8630433736885723E-4</v>
      </c>
      <c r="G665" s="2">
        <f>(1/COUNT(G49,G137,G225,G313,G401,G489,G577))*SQRT(SUMSQ(G49,G137,G225,G313,G401,G489,G577))</f>
        <v>1.2723880809609262E-4</v>
      </c>
      <c r="H665" s="2">
        <f>(1/COUNT(D665:G665))*SQRT(SUMSQ(D665:G665))</f>
        <v>1.4350303985971724E-4</v>
      </c>
    </row>
    <row r="666" spans="2:10" ht="14.5" customHeight="1" x14ac:dyDescent="0.55000000000000004">
      <c r="C666" s="2" t="s">
        <v>28</v>
      </c>
      <c r="D666" s="2">
        <f xml:space="preserve"> AVERAGE(D50,D138,D226,D314,D402,D490,D578)</f>
        <v>1.2493207142857143</v>
      </c>
      <c r="E666" s="2">
        <f xml:space="preserve"> AVERAGE(E50,E138,E226,E314,E402,E490,E578)</f>
        <v>1.826944857142857</v>
      </c>
      <c r="F666" s="2">
        <f xml:space="preserve"> AVERAGE(F50,F138,F226,F314,F402,F490,F578)</f>
        <v>1.6983584285714286</v>
      </c>
      <c r="G666" s="2">
        <f xml:space="preserve"> AVERAGE(G50,G138,G226,G314,G402,G490,G578)</f>
        <v>1.6551907142857143</v>
      </c>
      <c r="H666" s="2">
        <f>AVERAGE(D666:G666)</f>
        <v>1.6074536785714286</v>
      </c>
      <c r="I666" s="2">
        <f xml:space="preserve"> _xlfn.STDEV.S(D666:G666) / SQRT(COUNT(D666:G666))</f>
        <v>0.12482591068166889</v>
      </c>
      <c r="J666" s="2">
        <f>I666*$J$2</f>
        <v>0.15600469011078275</v>
      </c>
    </row>
    <row r="667" spans="2:10" x14ac:dyDescent="0.55000000000000004">
      <c r="C667" s="2" t="s">
        <v>29</v>
      </c>
      <c r="D667" s="2">
        <f>(1/COUNT(D51,D139,D227,D315,D403,D491,D579))*SQRT(SUMSQ(D51,D139,D227,D315,D403,D491,D579))</f>
        <v>2.8556755875316945E-3</v>
      </c>
      <c r="E667" s="2">
        <f>(1/COUNT(E51,E139,E227,E315,E403,E491,E579))*SQRT(SUMSQ(E51,E139,E227,E315,E403,E491,E579))</f>
        <v>7.0282026006595992E-3</v>
      </c>
      <c r="F667" s="2">
        <f>(1/COUNT(F51,F139,F227,F315,F403,F491,F579))*SQRT(SUMSQ(F51,F139,F227,F315,F403,F491,F579))</f>
        <v>4.9574214330946409E-3</v>
      </c>
      <c r="G667" s="2">
        <f>(1/COUNT(G51,G139,G227,G315,G403,G491,G579))*SQRT(SUMSQ(G51,G139,G227,G315,G403,G491,G579))</f>
        <v>3.6964994886226829E-3</v>
      </c>
      <c r="H667" s="2">
        <f>(1/COUNT(D667:G667))*SQRT(SUMSQ(D667:G667))</f>
        <v>2.4468174557963646E-3</v>
      </c>
    </row>
    <row r="668" spans="2:10" x14ac:dyDescent="0.55000000000000004">
      <c r="C668" s="2" t="s">
        <v>30</v>
      </c>
      <c r="D668" s="2">
        <f xml:space="preserve"> AVERAGE(D52,D140,D228,D316,D404,D492,D580)</f>
        <v>20.020892142857143</v>
      </c>
      <c r="E668" s="2">
        <f xml:space="preserve"> AVERAGE(E52,E140,E228,E316,E404,E492,E580)</f>
        <v>25.231159285714284</v>
      </c>
      <c r="F668" s="2">
        <f xml:space="preserve"> AVERAGE(F52,F140,F228,F316,F404,F492,F580)</f>
        <v>18.710743142857144</v>
      </c>
      <c r="G668" s="2">
        <f xml:space="preserve"> AVERAGE(G52,G140,G228,G316,G404,G492,G580)</f>
        <v>29.02605457142857</v>
      </c>
      <c r="H668" s="2">
        <f>AVERAGE(D668:G668)</f>
        <v>23.247212285714287</v>
      </c>
      <c r="I668" s="2">
        <f xml:space="preserve"> _xlfn.STDEV.S(D668:G668) / SQRT(COUNT(D668:G668))</f>
        <v>2.3860664598572594</v>
      </c>
      <c r="J668" s="2">
        <f>I668*$J$2</f>
        <v>2.9820536186837416</v>
      </c>
    </row>
    <row r="669" spans="2:10" x14ac:dyDescent="0.55000000000000004">
      <c r="C669" s="2" t="s">
        <v>31</v>
      </c>
      <c r="D669" s="2">
        <f>(1/COUNT(D53,D141,D229,D317,D405,D493,D581))*SQRT(SUMSQ(D53,D141,D229,D317,D405,D493,D581))</f>
        <v>5.8010929320891497E-2</v>
      </c>
      <c r="E669" s="2">
        <f>(1/COUNT(E53,E141,E229,E317,E405,E493,E581))*SQRT(SUMSQ(E53,E141,E229,E317,E405,E493,E581))</f>
        <v>6.803176638264552E-2</v>
      </c>
      <c r="F669" s="2">
        <f>(1/COUNT(F53,F141,F229,F317,F405,F493,F581))*SQRT(SUMSQ(F53,F141,F229,F317,F405,F493,F581))</f>
        <v>3.0483839644798616E-2</v>
      </c>
      <c r="G669" s="2">
        <f>(1/COUNT(G53,G141,G229,G317,G405,G493,G581))*SQRT(SUMSQ(G53,G141,G229,G317,G405,G493,G581))</f>
        <v>3.5340956544635233E-2</v>
      </c>
      <c r="H669" s="2">
        <f>(1/COUNT(D669:G669))*SQRT(SUMSQ(D669:G669))</f>
        <v>2.5213881155521155E-2</v>
      </c>
    </row>
    <row r="670" spans="2:10" x14ac:dyDescent="0.55000000000000004">
      <c r="B670" s="2" t="s">
        <v>45</v>
      </c>
      <c r="C670" s="2" t="s">
        <v>22</v>
      </c>
      <c r="D670" s="2">
        <f xml:space="preserve"> AVERAGE(D54,D142,D230,D318,D406,D494,D582)</f>
        <v>0.98521728571428568</v>
      </c>
      <c r="E670" s="2">
        <f xml:space="preserve"> AVERAGE(E54,E142,E230,E318,E406,E494,E582)</f>
        <v>0.968553</v>
      </c>
      <c r="F670" s="2">
        <f xml:space="preserve"> AVERAGE(F54,F142,F230,F318,F406,F494,F582)</f>
        <v>0.99315042857142843</v>
      </c>
      <c r="G670" s="2">
        <f xml:space="preserve"> AVERAGE(G54,G142,G230,G318,G406,G494,G582)</f>
        <v>0.9922495714285714</v>
      </c>
      <c r="H670" s="2">
        <f>AVERAGE(D670:G670)</f>
        <v>0.98479257142857135</v>
      </c>
      <c r="I670" s="2">
        <f xml:space="preserve"> _xlfn.STDEV.S(D670:G670) / SQRT(COUNT(D670:G670))</f>
        <v>5.69623184971557E-3</v>
      </c>
      <c r="J670" s="2">
        <f>I670*$J$2</f>
        <v>7.1190258469674278E-3</v>
      </c>
    </row>
    <row r="671" spans="2:10" x14ac:dyDescent="0.55000000000000004">
      <c r="C671" s="2" t="s">
        <v>23</v>
      </c>
      <c r="D671" s="2">
        <f>(1/COUNT(D55,D143,D231,D319,D407,D495,D583))*SQRT(SUMSQ(D55,D143,D231,D319,D407,D495,D583))</f>
        <v>1.5808916368135226E-4</v>
      </c>
      <c r="E671" s="2">
        <f>(1/COUNT(E55,E143,E231,E319,E407,E495,E583))*SQRT(SUMSQ(E55,E143,E231,E319,E407,E495,E583))</f>
        <v>7.2743590782968633E-4</v>
      </c>
      <c r="F671" s="2">
        <f>(1/COUNT(F55,F143,F231,F319,F407,F495,F583))*SQRT(SUMSQ(F55,F143,F231,F319,F407,F495,F583))</f>
        <v>7.4159370580513683E-5</v>
      </c>
      <c r="G671" s="2">
        <f>(1/COUNT(G55,G143,G231,G319,G407,G495,G583))*SQRT(SUMSQ(G55,G143,G231,G319,G407,G495,G583))</f>
        <v>1.1471873323525693E-4</v>
      </c>
      <c r="H671" s="2">
        <f>(1/COUNT(D671:G671))*SQRT(SUMSQ(D671:G671))</f>
        <v>1.8921138702412133E-4</v>
      </c>
    </row>
    <row r="672" spans="2:10" x14ac:dyDescent="0.55000000000000004">
      <c r="C672" s="2" t="s">
        <v>24</v>
      </c>
      <c r="D672" s="2">
        <f xml:space="preserve"> AVERAGE(D56,D144,D232,D320,D408,D496,D584)</f>
        <v>0.17996699999999999</v>
      </c>
      <c r="E672" s="2">
        <f xml:space="preserve"> AVERAGE(E56,E144,E232,E320,E408,E496,E584)</f>
        <v>0.25124399999999997</v>
      </c>
      <c r="F672" s="2">
        <f xml:space="preserve"> AVERAGE(F56,F144,F232,F320,F408,F496,F584)</f>
        <v>0.22422257142857141</v>
      </c>
      <c r="G672" s="2">
        <f xml:space="preserve"> AVERAGE(G56,G144,G232,G320,G408,G496,G584)</f>
        <v>0.21716428571428573</v>
      </c>
      <c r="H672" s="2">
        <f>AVERAGE(D672:G672)</f>
        <v>0.21814946428571427</v>
      </c>
      <c r="I672" s="2">
        <f xml:space="preserve"> _xlfn.STDEV.S(D672:G672) / SQRT(COUNT(D672:G672))</f>
        <v>1.4694109024424822E-2</v>
      </c>
      <c r="J672" s="2">
        <f>I672*$J$2</f>
        <v>1.8364375731697264E-2</v>
      </c>
    </row>
    <row r="673" spans="2:10" x14ac:dyDescent="0.55000000000000004">
      <c r="C673" s="2" t="s">
        <v>25</v>
      </c>
      <c r="D673" s="2">
        <f>(1/COUNT(D57,D145,D233,D321,D409,D497,D585))*SQRT(SUMSQ(D57,D145,D233,D321,D409,D497,D585))</f>
        <v>7.0540697473160836E-4</v>
      </c>
      <c r="E673" s="2">
        <f>(1/COUNT(E57,E145,E233,E321,E409,E497,E585))*SQRT(SUMSQ(E57,E145,E233,E321,E409,E497,E585))</f>
        <v>2.4102328958515392E-3</v>
      </c>
      <c r="F673" s="2">
        <f>(1/COUNT(F57,F145,F233,F321,F409,F497,F585))*SQRT(SUMSQ(F57,F145,F233,F321,F409,F497,F585))</f>
        <v>7.5767497473978819E-4</v>
      </c>
      <c r="G673" s="2">
        <f>(1/COUNT(G57,G145,G233,G321,G409,G497,G585))*SQRT(SUMSQ(G57,G145,G233,G321,G409,G497,G585))</f>
        <v>8.8403925713922071E-4</v>
      </c>
      <c r="H673" s="2">
        <f>(1/COUNT(D673:G673))*SQRT(SUMSQ(D673:G673))</f>
        <v>6.9202684141201763E-4</v>
      </c>
    </row>
    <row r="674" spans="2:10" x14ac:dyDescent="0.55000000000000004">
      <c r="C674" s="2" t="s">
        <v>26</v>
      </c>
      <c r="D674" s="2">
        <f xml:space="preserve"> AVERAGE(D58,D146,D234,D322,D410,D498,D586)</f>
        <v>0.87746257142857154</v>
      </c>
      <c r="E674" s="2">
        <f xml:space="preserve"> AVERAGE(E58,E146,E234,E322,E410,E498,E586)</f>
        <v>0.84406471428571428</v>
      </c>
      <c r="F674" s="2">
        <f xml:space="preserve"> AVERAGE(F58,F146,F234,F322,F410,F498,F586)</f>
        <v>0.91876085714285716</v>
      </c>
      <c r="G674" s="2">
        <f xml:space="preserve"> AVERAGE(G58,G146,G234,G322,G410,G498,G586)</f>
        <v>0.93749299999999991</v>
      </c>
      <c r="H674" s="2">
        <f>AVERAGE(D674:G674)</f>
        <v>0.89444528571428572</v>
      </c>
      <c r="I674" s="2">
        <f xml:space="preserve"> _xlfn.STDEV.S(D674:G674) / SQRT(COUNT(D674:G674))</f>
        <v>2.0958226867394323E-2</v>
      </c>
      <c r="J674" s="2">
        <f>I674*$J$2</f>
        <v>2.6193133059188502E-2</v>
      </c>
    </row>
    <row r="675" spans="2:10" x14ac:dyDescent="0.55000000000000004">
      <c r="C675" s="2" t="s">
        <v>27</v>
      </c>
      <c r="D675" s="2">
        <f>(1/COUNT(D59,D147,D235,D323,D411,D499,D587))*SQRT(SUMSQ(D59,D147,D235,D323,D411,D499,D587))</f>
        <v>6.003756137211273E-4</v>
      </c>
      <c r="E675" s="2">
        <f>(1/COUNT(E59,E147,E235,E323,E411,E499,E587))*SQRT(SUMSQ(E59,E147,E235,E323,E411,E499,E587))</f>
        <v>1.246507275452134E-3</v>
      </c>
      <c r="F675" s="2">
        <f>(1/COUNT(F59,F147,F235,F323,F411,F499,F587))*SQRT(SUMSQ(F59,F147,F235,F323,F411,F499,F587))</f>
        <v>4.1981424463683934E-4</v>
      </c>
      <c r="G675" s="2">
        <f>(1/COUNT(G59,G147,G235,G323,G411,G499,G587))*SQRT(SUMSQ(G59,G147,G235,G323,G411,G499,G587))</f>
        <v>3.9833595194539603E-4</v>
      </c>
      <c r="H675" s="2">
        <f>(1/COUNT(D675:G675))*SQRT(SUMSQ(D675:G675))</f>
        <v>3.7492889291824115E-4</v>
      </c>
    </row>
    <row r="676" spans="2:10" ht="14.5" customHeight="1" x14ac:dyDescent="0.55000000000000004">
      <c r="C676" s="2" t="s">
        <v>28</v>
      </c>
      <c r="D676" s="2">
        <f xml:space="preserve"> AVERAGE(D60,D148,D236,D324,D412,D500,D588)</f>
        <v>1.1534845714285713</v>
      </c>
      <c r="E676" s="2">
        <f xml:space="preserve"> AVERAGE(E60,E148,E236,E324,E412,E500,E588)</f>
        <v>1.6831655714285714</v>
      </c>
      <c r="F676" s="2">
        <f xml:space="preserve"> AVERAGE(F60,F148,F236,F324,F412,F500,F588)</f>
        <v>1.5125104285714286</v>
      </c>
      <c r="G676" s="2">
        <f xml:space="preserve"> AVERAGE(G60,G148,G236,G324,G412,G500,G588)</f>
        <v>1.4847678571428573</v>
      </c>
      <c r="H676" s="2">
        <f>AVERAGE(D676:G676)</f>
        <v>1.4584821071428573</v>
      </c>
      <c r="I676" s="2">
        <f xml:space="preserve"> _xlfn.STDEV.S(D676:G676) / SQRT(COUNT(D676:G676))</f>
        <v>0.11072343777955183</v>
      </c>
      <c r="J676" s="2">
        <f>I676*$J$2</f>
        <v>0.13837972825089248</v>
      </c>
    </row>
    <row r="677" spans="2:10" x14ac:dyDescent="0.55000000000000004">
      <c r="C677" s="2" t="s">
        <v>29</v>
      </c>
      <c r="D677" s="2">
        <f>(1/COUNT(D61,D149,D237,D325,D413,D501,D589))*SQRT(SUMSQ(D61,D149,D237,D325,D413,D501,D589))</f>
        <v>6.9427926657793827E-3</v>
      </c>
      <c r="E677" s="2">
        <f>(1/COUNT(E61,E149,E237,E325,E413,E501,E589))*SQRT(SUMSQ(E61,E149,E237,E325,E413,E501,E589))</f>
        <v>1.7886940142837995E-2</v>
      </c>
      <c r="F677" s="2">
        <f>(1/COUNT(F61,F149,F237,F325,F413,F501,F589))*SQRT(SUMSQ(F61,F149,F237,F325,F413,F501,F589))</f>
        <v>1.6355953542539617E-2</v>
      </c>
      <c r="G677" s="2">
        <f>(1/COUNT(G61,G149,G237,G325,G413,G501,G589))*SQRT(SUMSQ(G61,G149,G237,G325,G413,G501,G589))</f>
        <v>1.2381468584385394E-2</v>
      </c>
      <c r="H677" s="2">
        <f>(1/COUNT(D677:G677))*SQRT(SUMSQ(D677:G677))</f>
        <v>7.0221211995793427E-3</v>
      </c>
    </row>
    <row r="678" spans="2:10" x14ac:dyDescent="0.55000000000000004">
      <c r="C678" s="2" t="s">
        <v>30</v>
      </c>
      <c r="D678" s="2">
        <f xml:space="preserve"> AVERAGE(D62,D150,D238,D326,D414,D502,D590)</f>
        <v>20.092041714285717</v>
      </c>
      <c r="E678" s="2">
        <f xml:space="preserve"> AVERAGE(E62,E150,E238,E326,E414,E502,E590)</f>
        <v>25.784490000000002</v>
      </c>
      <c r="F678" s="2">
        <f xml:space="preserve"> AVERAGE(F62,F150,F238,F326,F414,F502,F590)</f>
        <v>18.244982999999998</v>
      </c>
      <c r="G678" s="2">
        <f xml:space="preserve"> AVERAGE(G62,G150,G238,G326,G414,G502,G590)</f>
        <v>27.310406571428569</v>
      </c>
      <c r="H678" s="2">
        <f>AVERAGE(D678:G678)</f>
        <v>22.857980321428574</v>
      </c>
      <c r="I678" s="2">
        <f xml:space="preserve"> _xlfn.STDEV.S(D678:G678) / SQRT(COUNT(D678:G678))</f>
        <v>2.1855342420190058</v>
      </c>
      <c r="J678" s="2">
        <f>I678*$J$2</f>
        <v>2.7314328434757389</v>
      </c>
    </row>
    <row r="679" spans="2:10" x14ac:dyDescent="0.55000000000000004">
      <c r="C679" s="2" t="s">
        <v>31</v>
      </c>
      <c r="D679" s="2">
        <f>(1/COUNT(D63,D151,D239,D327,D415,D503,D591))*SQRT(SUMSQ(D63,D151,D239,D327,D415,D503,D591))</f>
        <v>0.1339546802631702</v>
      </c>
      <c r="E679" s="2">
        <f>(1/COUNT(E63,E151,E239,E327,E415,E503,E591))*SQRT(SUMSQ(E63,E151,E239,E327,E415,E503,E591))</f>
        <v>0.19028428237422415</v>
      </c>
      <c r="F679" s="2">
        <f>(1/COUNT(F63,F151,F239,F327,F415,F503,F591))*SQRT(SUMSQ(F63,F151,F239,F327,F415,F503,F591))</f>
        <v>9.198109736633002E-2</v>
      </c>
      <c r="G679" s="2">
        <f>(1/COUNT(G63,G151,G239,G327,G415,G503,G591))*SQRT(SUMSQ(G63,G151,G239,G327,G415,G503,G591))</f>
        <v>0.18150569829493124</v>
      </c>
      <c r="H679" s="2">
        <f>(1/COUNT(D679:G679))*SQRT(SUMSQ(D679:G679))</f>
        <v>7.7280659477859712E-2</v>
      </c>
    </row>
    <row r="680" spans="2:10" x14ac:dyDescent="0.55000000000000004">
      <c r="B680" s="2" t="s">
        <v>46</v>
      </c>
      <c r="C680" s="2" t="s">
        <v>22</v>
      </c>
      <c r="D680" s="2" t="e">
        <f xml:space="preserve"> AVERAGE(D64,D152,D240,D328,D416,D504,D592)</f>
        <v>#DIV/0!</v>
      </c>
      <c r="E680" s="2" t="e">
        <f xml:space="preserve"> AVERAGE(E64,E152,E240,E328,E416,E504,E592)</f>
        <v>#DIV/0!</v>
      </c>
      <c r="F680" s="2" t="e">
        <f xml:space="preserve"> AVERAGE(F64,F152,F240,F328,F416,F504,F592)</f>
        <v>#DIV/0!</v>
      </c>
      <c r="G680" s="2" t="e">
        <f xml:space="preserve"> AVERAGE(G64,G152,G240,G328,G416,G504,G592)</f>
        <v>#DIV/0!</v>
      </c>
      <c r="H680" s="2" t="e">
        <f>AVERAGE(D680:G680)</f>
        <v>#DIV/0!</v>
      </c>
      <c r="I680" s="2" t="e">
        <f xml:space="preserve"> _xlfn.STDEV.S(D680:G680) / SQRT(COUNT(D680:G680))</f>
        <v>#DIV/0!</v>
      </c>
      <c r="J680" s="2" t="e">
        <f>I680*$J$2</f>
        <v>#DIV/0!</v>
      </c>
    </row>
    <row r="681" spans="2:10" x14ac:dyDescent="0.55000000000000004">
      <c r="C681" s="2" t="s">
        <v>23</v>
      </c>
      <c r="D681" s="2" t="e">
        <f>(1/COUNT(D65,D153,D241,D329,D417,D505,D593))*SQRT(SUMSQ(D65,D153,D241,D329,D417,D505,D593))</f>
        <v>#DIV/0!</v>
      </c>
      <c r="E681" s="2" t="e">
        <f>(1/COUNT(E65,E153,E241,E329,E417,E505,E593))*SQRT(SUMSQ(E65,E153,E241,E329,E417,E505,E593))</f>
        <v>#DIV/0!</v>
      </c>
      <c r="F681" s="2" t="e">
        <f>(1/COUNT(F65,F153,F241,F329,F417,F505,F593))*SQRT(SUMSQ(F65,F153,F241,F329,F417,F505,F593))</f>
        <v>#DIV/0!</v>
      </c>
      <c r="G681" s="2" t="e">
        <f>(1/COUNT(G65,G153,G241,G329,G417,G505,G593))*SQRT(SUMSQ(G65,G153,G241,G329,G417,G505,G593))</f>
        <v>#DIV/0!</v>
      </c>
      <c r="H681" s="2" t="e">
        <f>(1/COUNT(D681:G681))*SQRT(SUMSQ(D681:G681))</f>
        <v>#DIV/0!</v>
      </c>
    </row>
    <row r="682" spans="2:10" x14ac:dyDescent="0.55000000000000004">
      <c r="C682" s="2" t="s">
        <v>24</v>
      </c>
      <c r="D682" s="2" t="e">
        <f xml:space="preserve"> AVERAGE(D66,D154,D242,D330,D418,D506,D594)</f>
        <v>#DIV/0!</v>
      </c>
      <c r="E682" s="2" t="e">
        <f xml:space="preserve"> AVERAGE(E66,E154,E242,E330,E418,E506,E594)</f>
        <v>#DIV/0!</v>
      </c>
      <c r="F682" s="2" t="e">
        <f xml:space="preserve"> AVERAGE(F66,F154,F242,F330,F418,F506,F594)</f>
        <v>#DIV/0!</v>
      </c>
      <c r="G682" s="2" t="e">
        <f xml:space="preserve"> AVERAGE(G66,G154,G242,G330,G418,G506,G594)</f>
        <v>#DIV/0!</v>
      </c>
      <c r="H682" s="2" t="e">
        <f>AVERAGE(D682:G682)</f>
        <v>#DIV/0!</v>
      </c>
      <c r="I682" s="2" t="e">
        <f xml:space="preserve"> _xlfn.STDEV.S(D682:G682) / SQRT(COUNT(D682:G682))</f>
        <v>#DIV/0!</v>
      </c>
      <c r="J682" s="2" t="e">
        <f>I682*$J$2</f>
        <v>#DIV/0!</v>
      </c>
    </row>
    <row r="683" spans="2:10" x14ac:dyDescent="0.55000000000000004">
      <c r="C683" s="2" t="s">
        <v>25</v>
      </c>
      <c r="D683" s="2" t="e">
        <f>(1/COUNT(D67,D155,D243,D331,D419,D507,D595))*SQRT(SUMSQ(D67,D155,D243,D331,D419,D507,D595))</f>
        <v>#DIV/0!</v>
      </c>
      <c r="E683" s="2" t="e">
        <f>(1/COUNT(E67,E155,E243,E331,E419,E507,E595))*SQRT(SUMSQ(E67,E155,E243,E331,E419,E507,E595))</f>
        <v>#DIV/0!</v>
      </c>
      <c r="F683" s="2" t="e">
        <f>(1/COUNT(F67,F155,F243,F331,F419,F507,F595))*SQRT(SUMSQ(F67,F155,F243,F331,F419,F507,F595))</f>
        <v>#DIV/0!</v>
      </c>
      <c r="G683" s="2" t="e">
        <f>(1/COUNT(G67,G155,G243,G331,G419,G507,G595))*SQRT(SUMSQ(G67,G155,G243,G331,G419,G507,G595))</f>
        <v>#DIV/0!</v>
      </c>
      <c r="H683" s="2" t="e">
        <f>(1/COUNT(D683:G683))*SQRT(SUMSQ(D683:G683))</f>
        <v>#DIV/0!</v>
      </c>
    </row>
    <row r="684" spans="2:10" x14ac:dyDescent="0.55000000000000004">
      <c r="C684" s="2" t="s">
        <v>26</v>
      </c>
      <c r="D684" s="2" t="e">
        <f xml:space="preserve"> AVERAGE(D68,D156,D244,D332,D420,D508,D596)</f>
        <v>#DIV/0!</v>
      </c>
      <c r="E684" s="2" t="e">
        <f xml:space="preserve"> AVERAGE(E68,E156,E244,E332,E420,E508,E596)</f>
        <v>#DIV/0!</v>
      </c>
      <c r="F684" s="2" t="e">
        <f xml:space="preserve"> AVERAGE(F68,F156,F244,F332,F420,F508,F596)</f>
        <v>#DIV/0!</v>
      </c>
      <c r="G684" s="2" t="e">
        <f xml:space="preserve"> AVERAGE(G68,G156,G244,G332,G420,G508,G596)</f>
        <v>#DIV/0!</v>
      </c>
      <c r="H684" s="2" t="e">
        <f>AVERAGE(D684:G684)</f>
        <v>#DIV/0!</v>
      </c>
      <c r="I684" s="2" t="e">
        <f xml:space="preserve"> _xlfn.STDEV.S(D684:G684) / SQRT(COUNT(D684:G684))</f>
        <v>#DIV/0!</v>
      </c>
      <c r="J684" s="2" t="e">
        <f>I684*$J$2</f>
        <v>#DIV/0!</v>
      </c>
    </row>
    <row r="685" spans="2:10" x14ac:dyDescent="0.55000000000000004">
      <c r="C685" s="2" t="s">
        <v>27</v>
      </c>
      <c r="D685" s="2" t="e">
        <f>(1/COUNT(D69,D157,D245,D333,D421,D509,D597))*SQRT(SUMSQ(D69,D157,D245,D333,D421,D509,D597))</f>
        <v>#DIV/0!</v>
      </c>
      <c r="E685" s="2" t="e">
        <f>(1/COUNT(E69,E157,E245,E333,E421,E509,E597))*SQRT(SUMSQ(E69,E157,E245,E333,E421,E509,E597))</f>
        <v>#DIV/0!</v>
      </c>
      <c r="F685" s="2" t="e">
        <f>(1/COUNT(F69,F157,F245,F333,F421,F509,F597))*SQRT(SUMSQ(F69,F157,F245,F333,F421,F509,F597))</f>
        <v>#DIV/0!</v>
      </c>
      <c r="G685" s="2" t="e">
        <f>(1/COUNT(G69,G157,G245,G333,G421,G509,G597))*SQRT(SUMSQ(G69,G157,G245,G333,G421,G509,G597))</f>
        <v>#DIV/0!</v>
      </c>
      <c r="H685" s="2" t="e">
        <f>(1/COUNT(D685:G685))*SQRT(SUMSQ(D685:G685))</f>
        <v>#DIV/0!</v>
      </c>
    </row>
    <row r="686" spans="2:10" ht="14.5" customHeight="1" x14ac:dyDescent="0.55000000000000004">
      <c r="C686" s="2" t="s">
        <v>28</v>
      </c>
      <c r="D686" s="2" t="e">
        <f xml:space="preserve"> AVERAGE(D70,D158,D246,D334,D422,D510,D598)</f>
        <v>#DIV/0!</v>
      </c>
      <c r="E686" s="2" t="e">
        <f xml:space="preserve"> AVERAGE(E70,E158,E246,E334,E422,E510,E598)</f>
        <v>#DIV/0!</v>
      </c>
      <c r="F686" s="2" t="e">
        <f xml:space="preserve"> AVERAGE(F70,F158,F246,F334,F422,F510,F598)</f>
        <v>#DIV/0!</v>
      </c>
      <c r="G686" s="2" t="e">
        <f xml:space="preserve"> AVERAGE(G70,G158,G246,G334,G422,G510,G598)</f>
        <v>#DIV/0!</v>
      </c>
      <c r="H686" s="2" t="e">
        <f>AVERAGE(D686:G686)</f>
        <v>#DIV/0!</v>
      </c>
      <c r="I686" s="2" t="e">
        <f xml:space="preserve"> _xlfn.STDEV.S(D686:G686) / SQRT(COUNT(D686:G686))</f>
        <v>#DIV/0!</v>
      </c>
      <c r="J686" s="2" t="e">
        <f>I686*$J$2</f>
        <v>#DIV/0!</v>
      </c>
    </row>
    <row r="687" spans="2:10" x14ac:dyDescent="0.55000000000000004">
      <c r="C687" s="2" t="s">
        <v>29</v>
      </c>
      <c r="D687" s="2" t="e">
        <f>(1/COUNT(D71,D159,D247,D335,D423,D511,D599))*SQRT(SUMSQ(D71,D159,D247,D335,D423,D511,D599))</f>
        <v>#DIV/0!</v>
      </c>
      <c r="E687" s="2" t="e">
        <f>(1/COUNT(E71,E159,E247,E335,E423,E511,E599))*SQRT(SUMSQ(E71,E159,E247,E335,E423,E511,E599))</f>
        <v>#DIV/0!</v>
      </c>
      <c r="F687" s="2" t="e">
        <f>(1/COUNT(F71,F159,F247,F335,F423,F511,F599))*SQRT(SUMSQ(F71,F159,F247,F335,F423,F511,F599))</f>
        <v>#DIV/0!</v>
      </c>
      <c r="G687" s="2" t="e">
        <f>(1/COUNT(G71,G159,G247,G335,G423,G511,G599))*SQRT(SUMSQ(G71,G159,G247,G335,G423,G511,G599))</f>
        <v>#DIV/0!</v>
      </c>
      <c r="H687" s="2" t="e">
        <f>(1/COUNT(D687:G687))*SQRT(SUMSQ(D687:G687))</f>
        <v>#DIV/0!</v>
      </c>
    </row>
    <row r="688" spans="2:10" x14ac:dyDescent="0.55000000000000004">
      <c r="C688" s="2" t="s">
        <v>30</v>
      </c>
      <c r="D688" s="2" t="e">
        <f xml:space="preserve"> AVERAGE(D72,D160,D248,D336,D424,D512,D600)</f>
        <v>#DIV/0!</v>
      </c>
      <c r="E688" s="2" t="e">
        <f xml:space="preserve"> AVERAGE(E72,E160,E248,E336,E424,E512,E600)</f>
        <v>#DIV/0!</v>
      </c>
      <c r="F688" s="2" t="e">
        <f xml:space="preserve"> AVERAGE(F72,F160,F248,F336,F424,F512,F600)</f>
        <v>#DIV/0!</v>
      </c>
      <c r="G688" s="2" t="e">
        <f xml:space="preserve"> AVERAGE(G72,G160,G248,G336,G424,G512,G600)</f>
        <v>#DIV/0!</v>
      </c>
      <c r="H688" s="2" t="e">
        <f>AVERAGE(D688:G688)</f>
        <v>#DIV/0!</v>
      </c>
      <c r="I688" s="2" t="e">
        <f xml:space="preserve"> _xlfn.STDEV.S(D688:G688) / SQRT(COUNT(D688:G688))</f>
        <v>#DIV/0!</v>
      </c>
      <c r="J688" s="2" t="e">
        <f>I688*$J$2</f>
        <v>#DIV/0!</v>
      </c>
    </row>
    <row r="689" spans="2:10" x14ac:dyDescent="0.55000000000000004">
      <c r="C689" s="2" t="s">
        <v>31</v>
      </c>
      <c r="D689" s="2" t="e">
        <f>(1/COUNT(D73,D161,D249,D337,D425,D513,D601))*SQRT(SUMSQ(D73,D161,D249,D337,D425,D513,D601))</f>
        <v>#DIV/0!</v>
      </c>
      <c r="E689" s="2" t="e">
        <f>(1/COUNT(E73,E161,E249,E337,E425,E513,E601))*SQRT(SUMSQ(E73,E161,E249,E337,E425,E513,E601))</f>
        <v>#DIV/0!</v>
      </c>
      <c r="F689" s="2" t="e">
        <f>(1/COUNT(F73,F161,F249,F337,F425,F513,F601))*SQRT(SUMSQ(F73,F161,F249,F337,F425,F513,F601))</f>
        <v>#DIV/0!</v>
      </c>
      <c r="G689" s="2" t="e">
        <f>(1/COUNT(G73,G161,G249,G337,G425,G513,G601))*SQRT(SUMSQ(G73,G161,G249,G337,G425,G513,G601))</f>
        <v>#DIV/0!</v>
      </c>
      <c r="H689" s="2" t="e">
        <f>(1/COUNT(D689:G689))*SQRT(SUMSQ(D689:G689))</f>
        <v>#DIV/0!</v>
      </c>
    </row>
    <row r="690" spans="2:10" x14ac:dyDescent="0.55000000000000004">
      <c r="B690" s="2" t="s">
        <v>36</v>
      </c>
      <c r="C690" s="2" t="s">
        <v>22</v>
      </c>
      <c r="D690" s="2">
        <f t="shared" ref="D690:G707" si="35" xml:space="preserve"> AVERAGE(D74,D162,D250,D338,D426,D514,D602)</f>
        <v>0.98552414285714274</v>
      </c>
      <c r="E690" s="2">
        <f t="shared" si="35"/>
        <v>0.97096871428571419</v>
      </c>
      <c r="F690" s="2">
        <f t="shared" si="35"/>
        <v>0.99247499999999989</v>
      </c>
      <c r="G690" s="2">
        <f t="shared" si="35"/>
        <v>0.99251699999999976</v>
      </c>
      <c r="H690" s="2">
        <f t="shared" ref="H690:H704" si="36">AVERAGE(D690:G690)</f>
        <v>0.98537121428571417</v>
      </c>
      <c r="I690" s="2">
        <f xml:space="preserve"> _xlfn.STDEV.S(D690:G690) / SQRT(COUNT(D690:G690))</f>
        <v>5.0742932048622675E-3</v>
      </c>
      <c r="J690" s="2">
        <f>I690*$J$2</f>
        <v>6.3417405459557348E-3</v>
      </c>
    </row>
    <row r="691" spans="2:10" x14ac:dyDescent="0.55000000000000004">
      <c r="C691" s="2" t="s">
        <v>24</v>
      </c>
      <c r="D691" s="2">
        <f t="shared" si="35"/>
        <v>0.17907885714285715</v>
      </c>
      <c r="E691" s="2">
        <f t="shared" si="35"/>
        <v>0.24323614285714285</v>
      </c>
      <c r="F691" s="2">
        <f t="shared" si="35"/>
        <v>0.22981657142857145</v>
      </c>
      <c r="G691" s="2">
        <f t="shared" si="35"/>
        <v>0.21843314285714288</v>
      </c>
      <c r="H691" s="2">
        <f t="shared" si="36"/>
        <v>0.21764117857142859</v>
      </c>
      <c r="I691" s="2">
        <f t="shared" ref="I691:I704" si="37" xml:space="preserve"> _xlfn.STDEV.S(D691:G691) / SQRT(COUNT(D691:G691))</f>
        <v>1.3817326771735599E-2</v>
      </c>
      <c r="J691" s="2">
        <f t="shared" ref="J691:J711" si="38">I691*$J$2</f>
        <v>1.7268592469404567E-2</v>
      </c>
    </row>
    <row r="692" spans="2:10" x14ac:dyDescent="0.55000000000000004">
      <c r="C692" s="2" t="s">
        <v>26</v>
      </c>
      <c r="D692" s="2">
        <f t="shared" si="35"/>
        <v>0.87771885714285713</v>
      </c>
      <c r="E692" s="2">
        <f t="shared" si="35"/>
        <v>0.84716957142857141</v>
      </c>
      <c r="F692" s="2">
        <f t="shared" si="35"/>
        <v>0.91467657142857139</v>
      </c>
      <c r="G692" s="2">
        <f t="shared" si="35"/>
        <v>0.93776071428571428</v>
      </c>
      <c r="H692" s="2">
        <f t="shared" si="36"/>
        <v>0.89433142857142855</v>
      </c>
      <c r="I692" s="2">
        <f t="shared" si="37"/>
        <v>2.000051248127421E-2</v>
      </c>
      <c r="J692" s="2">
        <f t="shared" si="38"/>
        <v>2.4996202588540246E-2</v>
      </c>
    </row>
    <row r="693" spans="2:10" x14ac:dyDescent="0.55000000000000004">
      <c r="C693" s="2" t="s">
        <v>28</v>
      </c>
      <c r="D693" s="2">
        <f t="shared" si="35"/>
        <v>1.1640202857142856</v>
      </c>
      <c r="E693" s="2">
        <f t="shared" si="35"/>
        <v>1.5551990000000002</v>
      </c>
      <c r="F693" s="2">
        <f t="shared" si="35"/>
        <v>1.6465808571428575</v>
      </c>
      <c r="G693" s="2">
        <f t="shared" si="35"/>
        <v>1.5191285714285716</v>
      </c>
      <c r="H693" s="2">
        <f t="shared" si="36"/>
        <v>1.4712321785714286</v>
      </c>
      <c r="I693" s="2">
        <f t="shared" si="37"/>
        <v>0.10585792276252495</v>
      </c>
      <c r="J693" s="2">
        <f t="shared" si="38"/>
        <v>0.13229891411290193</v>
      </c>
    </row>
    <row r="694" spans="2:10" x14ac:dyDescent="0.55000000000000004">
      <c r="C694" s="2" t="s">
        <v>30</v>
      </c>
      <c r="D694" s="2">
        <f t="shared" si="35"/>
        <v>17.722134714285712</v>
      </c>
      <c r="E694" s="2">
        <f t="shared" si="35"/>
        <v>22.772485428571432</v>
      </c>
      <c r="F694" s="2">
        <f t="shared" si="35"/>
        <v>18.875697285714288</v>
      </c>
      <c r="G694" s="2">
        <f t="shared" si="35"/>
        <v>27.538075571428571</v>
      </c>
      <c r="H694" s="2">
        <f t="shared" si="36"/>
        <v>21.727098250000001</v>
      </c>
      <c r="I694" s="2">
        <f t="shared" si="37"/>
        <v>2.2179290671857488</v>
      </c>
      <c r="J694" s="2">
        <f t="shared" si="38"/>
        <v>2.7719191866855137</v>
      </c>
    </row>
    <row r="695" spans="2:10" x14ac:dyDescent="0.55000000000000004">
      <c r="B695" s="2" t="s">
        <v>62</v>
      </c>
      <c r="C695" s="2" t="s">
        <v>22</v>
      </c>
      <c r="D695" s="2">
        <f t="shared" si="35"/>
        <v>0.98077799999999993</v>
      </c>
      <c r="E695" s="2">
        <f t="shared" si="35"/>
        <v>0.93916214285714283</v>
      </c>
      <c r="F695" s="2">
        <f t="shared" si="35"/>
        <v>0.98469257142857136</v>
      </c>
      <c r="G695" s="2">
        <f t="shared" si="35"/>
        <v>0.98117571428571437</v>
      </c>
      <c r="H695" s="2">
        <f t="shared" si="36"/>
        <v>0.97145210714285712</v>
      </c>
      <c r="I695" s="2">
        <f t="shared" si="37"/>
        <v>1.0799199436090584E-2</v>
      </c>
      <c r="J695" s="2">
        <f t="shared" si="38"/>
        <v>1.3496603007113164E-2</v>
      </c>
    </row>
    <row r="696" spans="2:10" x14ac:dyDescent="0.55000000000000004">
      <c r="C696" s="2" t="s">
        <v>24</v>
      </c>
      <c r="D696" s="2">
        <f t="shared" si="35"/>
        <v>0.20374885714285715</v>
      </c>
      <c r="E696" s="2">
        <f t="shared" si="35"/>
        <v>0.33616114285714283</v>
      </c>
      <c r="F696" s="2">
        <f t="shared" si="35"/>
        <v>0.27908628571428573</v>
      </c>
      <c r="G696" s="2">
        <f t="shared" si="35"/>
        <v>0.28305342857142862</v>
      </c>
      <c r="H696" s="2">
        <f t="shared" si="36"/>
        <v>0.2755124285714286</v>
      </c>
      <c r="I696" s="2">
        <f t="shared" si="37"/>
        <v>2.7230368868494653E-2</v>
      </c>
      <c r="J696" s="2">
        <f t="shared" si="38"/>
        <v>3.4031918803822975E-2</v>
      </c>
    </row>
    <row r="697" spans="2:10" x14ac:dyDescent="0.55000000000000004">
      <c r="C697" s="2" t="s">
        <v>26</v>
      </c>
      <c r="D697" s="2">
        <f t="shared" si="35"/>
        <v>0.85833014285714282</v>
      </c>
      <c r="E697" s="2">
        <f t="shared" si="35"/>
        <v>0.7991367142857142</v>
      </c>
      <c r="F697" s="2">
        <f t="shared" si="35"/>
        <v>0.87954600000000005</v>
      </c>
      <c r="G697" s="2">
        <f t="shared" si="35"/>
        <v>0.90390599999999999</v>
      </c>
      <c r="H697" s="2">
        <f t="shared" si="36"/>
        <v>0.86022971428571426</v>
      </c>
      <c r="I697" s="2">
        <f t="shared" si="37"/>
        <v>2.2391776481936573E-2</v>
      </c>
      <c r="J697" s="2">
        <f t="shared" si="38"/>
        <v>2.7984751979922225E-2</v>
      </c>
    </row>
    <row r="698" spans="2:10" x14ac:dyDescent="0.55000000000000004">
      <c r="C698" s="2" t="s">
        <v>28</v>
      </c>
      <c r="D698" s="2">
        <f t="shared" si="35"/>
        <v>1.5074835714285715</v>
      </c>
      <c r="E698" s="2">
        <f t="shared" si="35"/>
        <v>2.3731407142857144</v>
      </c>
      <c r="F698" s="2">
        <f t="shared" si="35"/>
        <v>2.3927854285714285</v>
      </c>
      <c r="G698" s="2">
        <f t="shared" si="35"/>
        <v>2.2409774285714286</v>
      </c>
      <c r="H698" s="2">
        <f t="shared" si="36"/>
        <v>2.1285967857142856</v>
      </c>
      <c r="I698" s="2">
        <f t="shared" si="37"/>
        <v>0.2097634393519609</v>
      </c>
      <c r="J698" s="2">
        <f t="shared" si="38"/>
        <v>0.26215775373854555</v>
      </c>
    </row>
    <row r="699" spans="2:10" x14ac:dyDescent="0.55000000000000004">
      <c r="C699" s="2" t="s">
        <v>30</v>
      </c>
      <c r="D699" s="2">
        <f t="shared" si="35"/>
        <v>23.560561142857143</v>
      </c>
      <c r="E699" s="2">
        <f t="shared" si="35"/>
        <v>28.573317000000003</v>
      </c>
      <c r="F699" s="2">
        <f t="shared" si="35"/>
        <v>24.624701999999996</v>
      </c>
      <c r="G699" s="2">
        <f t="shared" si="35"/>
        <v>34.854698714285718</v>
      </c>
      <c r="H699" s="2">
        <f t="shared" si="36"/>
        <v>27.903319714285715</v>
      </c>
      <c r="I699" s="2">
        <f t="shared" si="37"/>
        <v>2.5557036293137516</v>
      </c>
      <c r="J699" s="2">
        <f t="shared" si="38"/>
        <v>3.1940624388702763</v>
      </c>
    </row>
    <row r="700" spans="2:10" x14ac:dyDescent="0.55000000000000004">
      <c r="B700" s="2" t="s">
        <v>39</v>
      </c>
      <c r="C700" s="2" t="s">
        <v>22</v>
      </c>
      <c r="D700" s="2">
        <f t="shared" si="35"/>
        <v>0.98713714285714294</v>
      </c>
      <c r="E700" s="2">
        <f t="shared" si="35"/>
        <v>0.97672842857142861</v>
      </c>
      <c r="F700" s="2">
        <f t="shared" si="35"/>
        <v>0.99275400000000003</v>
      </c>
      <c r="G700" s="2">
        <f t="shared" si="35"/>
        <v>0.99228285714285724</v>
      </c>
      <c r="H700" s="2">
        <f t="shared" si="36"/>
        <v>0.98722560714285712</v>
      </c>
      <c r="I700" s="2">
        <f t="shared" si="37"/>
        <v>3.7230978256880248E-3</v>
      </c>
      <c r="J700" s="2">
        <f t="shared" si="38"/>
        <v>4.6530461454417004E-3</v>
      </c>
    </row>
    <row r="701" spans="2:10" x14ac:dyDescent="0.55000000000000004">
      <c r="C701" s="2" t="s">
        <v>24</v>
      </c>
      <c r="D701" s="2">
        <f t="shared" si="35"/>
        <v>0.17141528571428571</v>
      </c>
      <c r="E701" s="2">
        <f t="shared" si="35"/>
        <v>0.22115514285714286</v>
      </c>
      <c r="F701" s="2">
        <f t="shared" si="35"/>
        <v>0.23404271428571427</v>
      </c>
      <c r="G701" s="2">
        <f t="shared" si="35"/>
        <v>0.22745728571428572</v>
      </c>
      <c r="H701" s="2">
        <f t="shared" si="36"/>
        <v>0.21351760714285714</v>
      </c>
      <c r="I701" s="2">
        <f t="shared" si="37"/>
        <v>1.4278573934868971E-2</v>
      </c>
      <c r="J701" s="2">
        <f t="shared" si="38"/>
        <v>1.7845049074897344E-2</v>
      </c>
    </row>
    <row r="702" spans="2:10" x14ac:dyDescent="0.55000000000000004">
      <c r="C702" s="2" t="s">
        <v>26</v>
      </c>
      <c r="D702" s="2">
        <f t="shared" si="35"/>
        <v>0.88431914285714286</v>
      </c>
      <c r="E702" s="2">
        <f t="shared" si="35"/>
        <v>0.86048000000000002</v>
      </c>
      <c r="F702" s="2">
        <f t="shared" si="35"/>
        <v>0.91568700000000003</v>
      </c>
      <c r="G702" s="2">
        <f t="shared" si="35"/>
        <v>0.936056</v>
      </c>
      <c r="H702" s="2">
        <f t="shared" si="36"/>
        <v>0.89913553571428584</v>
      </c>
      <c r="I702" s="2">
        <f t="shared" si="37"/>
        <v>1.6710394947780236E-2</v>
      </c>
      <c r="J702" s="2">
        <f t="shared" si="38"/>
        <v>2.0884285732193562E-2</v>
      </c>
    </row>
    <row r="703" spans="2:10" x14ac:dyDescent="0.55000000000000004">
      <c r="C703" s="2" t="s">
        <v>28</v>
      </c>
      <c r="D703" s="2">
        <f t="shared" si="35"/>
        <v>1.0811918571428569</v>
      </c>
      <c r="E703" s="2">
        <f t="shared" si="35"/>
        <v>1.4264998571428573</v>
      </c>
      <c r="F703" s="2">
        <f t="shared" si="35"/>
        <v>1.7291288571428574</v>
      </c>
      <c r="G703" s="2">
        <f t="shared" si="35"/>
        <v>1.6806992857142855</v>
      </c>
      <c r="H703" s="2">
        <f t="shared" si="36"/>
        <v>1.4793799642857144</v>
      </c>
      <c r="I703" s="2">
        <f t="shared" si="37"/>
        <v>0.14839532030617841</v>
      </c>
      <c r="J703" s="2">
        <f t="shared" si="38"/>
        <v>0.18546122220805411</v>
      </c>
    </row>
    <row r="704" spans="2:10" x14ac:dyDescent="0.55000000000000004">
      <c r="C704" s="2" t="s">
        <v>30</v>
      </c>
      <c r="D704" s="2">
        <f t="shared" si="35"/>
        <v>16.455440285714285</v>
      </c>
      <c r="E704" s="2">
        <f t="shared" si="35"/>
        <v>23.11571842857143</v>
      </c>
      <c r="F704" s="2">
        <f t="shared" si="35"/>
        <v>19.337527142857144</v>
      </c>
      <c r="G704" s="2">
        <f t="shared" si="35"/>
        <v>29.084822142857146</v>
      </c>
      <c r="H704" s="2">
        <f t="shared" si="36"/>
        <v>21.998377000000001</v>
      </c>
      <c r="I704" s="2">
        <f t="shared" si="37"/>
        <v>2.7274900857069895</v>
      </c>
      <c r="J704" s="2">
        <f t="shared" si="38"/>
        <v>3.4087573908117901</v>
      </c>
    </row>
    <row r="705" spans="2:10" x14ac:dyDescent="0.55000000000000004">
      <c r="B705" s="2" t="s">
        <v>61</v>
      </c>
      <c r="C705" s="2" t="s">
        <v>22</v>
      </c>
      <c r="D705" s="2">
        <f t="shared" si="35"/>
        <v>0.97157071428571429</v>
      </c>
      <c r="E705" s="2">
        <f t="shared" si="35"/>
        <v>0.92987042857142854</v>
      </c>
      <c r="F705" s="2">
        <f t="shared" si="35"/>
        <v>0.98198857142857143</v>
      </c>
      <c r="G705" s="2">
        <f t="shared" si="35"/>
        <v>0.97827999999999993</v>
      </c>
      <c r="H705" s="2">
        <f t="shared" ref="H705:H707" si="39">AVERAGE(D705:G705)</f>
        <v>0.96542742857142849</v>
      </c>
      <c r="I705" s="2">
        <f t="shared" ref="I705:I707" si="40" xml:space="preserve"> _xlfn.STDEV.S(D705:G705) / SQRT(COUNT(D705:G705))</f>
        <v>1.2046784679699711E-2</v>
      </c>
      <c r="J705" s="2">
        <f t="shared" ref="J705:J707" si="41">I705*$J$2</f>
        <v>1.5055807728738392E-2</v>
      </c>
    </row>
    <row r="706" spans="2:10" x14ac:dyDescent="0.55000000000000004">
      <c r="C706" s="2" t="s">
        <v>24</v>
      </c>
      <c r="D706" s="2">
        <f t="shared" si="35"/>
        <v>0.24955871428571427</v>
      </c>
      <c r="E706" s="2">
        <f t="shared" si="35"/>
        <v>0.36706314285714287</v>
      </c>
      <c r="F706" s="2">
        <f t="shared" si="35"/>
        <v>0.32828114285714288</v>
      </c>
      <c r="G706" s="2">
        <f t="shared" si="35"/>
        <v>0.32535271428571433</v>
      </c>
      <c r="H706" s="2">
        <f t="shared" si="39"/>
        <v>0.31756392857142857</v>
      </c>
      <c r="I706" s="2">
        <f t="shared" si="40"/>
        <v>2.4580488959569144E-2</v>
      </c>
      <c r="J706" s="2">
        <f t="shared" si="41"/>
        <v>3.0720156912680433E-2</v>
      </c>
    </row>
    <row r="707" spans="2:10" x14ac:dyDescent="0.55000000000000004">
      <c r="C707" s="2" t="s">
        <v>26</v>
      </c>
      <c r="D707" s="2">
        <f t="shared" si="35"/>
        <v>0.83579685714285723</v>
      </c>
      <c r="E707" s="2">
        <f t="shared" si="35"/>
        <v>0.79110871428571428</v>
      </c>
      <c r="F707" s="2">
        <f t="shared" si="35"/>
        <v>0.87009528571428574</v>
      </c>
      <c r="G707" s="2">
        <f t="shared" si="35"/>
        <v>0.89611828571428565</v>
      </c>
      <c r="H707" s="2">
        <f t="shared" si="39"/>
        <v>0.84827978571428564</v>
      </c>
      <c r="I707" s="2">
        <f t="shared" si="40"/>
        <v>2.2709750175695823E-2</v>
      </c>
      <c r="J707" s="2">
        <f t="shared" si="41"/>
        <v>2.8382148540359076E-2</v>
      </c>
    </row>
    <row r="709" spans="2:10" x14ac:dyDescent="0.55000000000000004">
      <c r="B709" s="2" t="s">
        <v>47</v>
      </c>
      <c r="C709" s="2" t="s">
        <v>22</v>
      </c>
      <c r="D709" s="2">
        <v>0.99121999999999999</v>
      </c>
      <c r="E709" s="2">
        <v>0.98757399999999995</v>
      </c>
      <c r="F709" s="2">
        <v>0.99307800000000002</v>
      </c>
      <c r="G709" s="2">
        <v>0.99174899999999999</v>
      </c>
      <c r="H709" s="2">
        <f t="shared" ref="H709:H711" si="42">AVERAGE(D709:G709)</f>
        <v>0.99090524999999996</v>
      </c>
      <c r="I709" s="2">
        <f t="shared" ref="I709:I711" si="43" xml:space="preserve"> _xlfn.STDEV.S(D709:G709) / SQRT(COUNT(D709:G709))</f>
        <v>1.1771806272474492E-3</v>
      </c>
      <c r="J709" s="2">
        <f t="shared" si="38"/>
        <v>1.4712145736031402E-3</v>
      </c>
    </row>
    <row r="710" spans="2:10" x14ac:dyDescent="0.55000000000000004">
      <c r="C710" s="2" t="s">
        <v>24</v>
      </c>
      <c r="D710" s="2">
        <v>0.13142000000000001</v>
      </c>
      <c r="E710" s="2">
        <v>0.15934400000000001</v>
      </c>
      <c r="F710" s="2">
        <v>0.17791299999999999</v>
      </c>
      <c r="G710" s="2">
        <v>0.16797999999999999</v>
      </c>
      <c r="H710" s="2">
        <f t="shared" si="42"/>
        <v>0.15916425000000001</v>
      </c>
      <c r="I710" s="2">
        <f t="shared" si="43"/>
        <v>9.9958691165816845E-3</v>
      </c>
      <c r="J710" s="2">
        <f t="shared" si="38"/>
        <v>1.2492618362681595E-2</v>
      </c>
    </row>
    <row r="711" spans="2:10" x14ac:dyDescent="0.55000000000000004">
      <c r="C711" s="2" t="s">
        <v>26</v>
      </c>
      <c r="D711" s="2">
        <v>0.90896900000000003</v>
      </c>
      <c r="E711" s="2">
        <v>0.898316</v>
      </c>
      <c r="F711" s="2">
        <v>0.92158799999999996</v>
      </c>
      <c r="G711" s="2">
        <v>0.94290499999999999</v>
      </c>
      <c r="H711" s="2">
        <f t="shared" si="42"/>
        <v>0.91794450000000005</v>
      </c>
      <c r="I711" s="2">
        <f t="shared" si="43"/>
        <v>9.5835765114074128E-3</v>
      </c>
      <c r="J711" s="2">
        <f t="shared" si="38"/>
        <v>1.1977344091867683E-2</v>
      </c>
    </row>
    <row r="762" spans="1:12" x14ac:dyDescent="0.55000000000000004">
      <c r="A762" s="2" t="s">
        <v>43</v>
      </c>
      <c r="L762" s="2" t="s">
        <v>63</v>
      </c>
    </row>
    <row r="816" spans="1:1" x14ac:dyDescent="0.55000000000000004">
      <c r="A816" s="2" t="s">
        <v>44</v>
      </c>
    </row>
  </sheetData>
  <mergeCells count="1">
    <mergeCell ref="H1:H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5039-7E68-4228-AA31-1F8EB1F7B193}">
  <dimension ref="A1:O1349"/>
  <sheetViews>
    <sheetView tabSelected="1" topLeftCell="A1264" zoomScale="85" zoomScaleNormal="85" workbookViewId="0">
      <selection activeCell="O1266" sqref="O1266"/>
    </sheetView>
  </sheetViews>
  <sheetFormatPr defaultColWidth="9" defaultRowHeight="14.4" x14ac:dyDescent="0.55000000000000004"/>
  <cols>
    <col min="1" max="1" width="23.1015625" style="2" customWidth="1"/>
    <col min="2" max="2" width="27" style="2" customWidth="1"/>
    <col min="3" max="3" width="26.1015625" style="2" customWidth="1"/>
    <col min="4" max="4" width="14.26171875" style="2" customWidth="1"/>
    <col min="5" max="5" width="12.578125" style="2" customWidth="1"/>
    <col min="6" max="6" width="11.1015625" style="2" customWidth="1"/>
    <col min="7" max="7" width="11.578125" style="2" customWidth="1"/>
    <col min="8" max="8" width="13.578125" style="2" customWidth="1"/>
    <col min="9" max="9" width="13.26171875" style="2" customWidth="1"/>
    <col min="10" max="10" width="12.734375" style="2" customWidth="1"/>
    <col min="11" max="11" width="13.26171875" style="2" customWidth="1"/>
    <col min="12" max="12" width="26.734375" style="2" customWidth="1"/>
    <col min="13" max="13" width="17.26171875" style="2" customWidth="1"/>
    <col min="14" max="14" width="21.26171875" style="2" customWidth="1"/>
    <col min="15" max="15" width="30.734375" style="2" customWidth="1"/>
    <col min="16" max="16" width="30" style="2" customWidth="1"/>
    <col min="17" max="16384" width="9" style="2"/>
  </cols>
  <sheetData>
    <row r="1" spans="1:14" ht="31.5" customHeight="1" x14ac:dyDescent="0.55000000000000004">
      <c r="A1" s="3"/>
      <c r="B1" s="3"/>
      <c r="C1" s="2" t="s">
        <v>9</v>
      </c>
      <c r="D1" s="2">
        <v>1</v>
      </c>
      <c r="E1" s="2">
        <v>2</v>
      </c>
      <c r="F1" s="2">
        <v>3</v>
      </c>
      <c r="G1" s="2">
        <v>4</v>
      </c>
      <c r="H1" s="9">
        <v>5</v>
      </c>
      <c r="I1" s="2">
        <v>6</v>
      </c>
      <c r="J1" s="2">
        <v>7</v>
      </c>
      <c r="K1" s="2">
        <v>8</v>
      </c>
      <c r="L1" s="13" t="s">
        <v>56</v>
      </c>
      <c r="M1" s="3" t="s">
        <v>57</v>
      </c>
      <c r="N1" s="2">
        <v>0.7</v>
      </c>
    </row>
    <row r="2" spans="1:14" ht="43.5" customHeight="1" x14ac:dyDescent="0.55000000000000004">
      <c r="A2" s="3"/>
      <c r="C2" s="2" t="s">
        <v>12</v>
      </c>
      <c r="D2" s="3" t="s">
        <v>48</v>
      </c>
      <c r="E2" s="3" t="s">
        <v>49</v>
      </c>
      <c r="F2" s="3" t="s">
        <v>50</v>
      </c>
      <c r="G2" s="5" t="s">
        <v>51</v>
      </c>
      <c r="H2" s="10" t="s">
        <v>52</v>
      </c>
      <c r="I2" s="11" t="s">
        <v>53</v>
      </c>
      <c r="J2" s="12" t="s">
        <v>54</v>
      </c>
      <c r="K2" s="3" t="s">
        <v>55</v>
      </c>
      <c r="L2" s="14"/>
      <c r="M2" s="3" t="s">
        <v>58</v>
      </c>
      <c r="N2" s="2">
        <f>_xlfn.T.INV.2T(1-N1, COUNT(D4:K4) - 1)</f>
        <v>1.119159128361364</v>
      </c>
    </row>
    <row r="3" spans="1:14" ht="44.1" customHeight="1" x14ac:dyDescent="0.55000000000000004">
      <c r="A3" s="3" t="s">
        <v>17</v>
      </c>
      <c r="B3" s="4"/>
      <c r="C3" s="2" t="s">
        <v>18</v>
      </c>
      <c r="D3" s="3"/>
      <c r="E3" s="3"/>
      <c r="F3" s="3"/>
      <c r="G3" s="5"/>
      <c r="H3" s="8"/>
      <c r="I3" s="6"/>
      <c r="L3" s="15"/>
      <c r="M3" s="2" t="s">
        <v>59</v>
      </c>
      <c r="N3" s="3" t="s">
        <v>60</v>
      </c>
    </row>
    <row r="4" spans="1:14" x14ac:dyDescent="0.55000000000000004">
      <c r="A4" s="2" t="s">
        <v>20</v>
      </c>
      <c r="B4" s="2" t="s">
        <v>21</v>
      </c>
      <c r="C4" s="2" t="s">
        <v>22</v>
      </c>
      <c r="D4" s="2">
        <v>0.95729600000000004</v>
      </c>
      <c r="E4" s="2">
        <v>0.95056799999999997</v>
      </c>
      <c r="F4" s="2">
        <v>0.937666</v>
      </c>
      <c r="G4" s="2">
        <v>0.93145500000000003</v>
      </c>
      <c r="H4" s="7">
        <v>0.95560999999999996</v>
      </c>
      <c r="I4" s="2">
        <v>0.94155199999999994</v>
      </c>
      <c r="J4" s="2">
        <v>0.95956900000000001</v>
      </c>
      <c r="K4" s="2">
        <v>0.93373899999999999</v>
      </c>
      <c r="L4" s="2">
        <f>AVERAGE(D4:K4)</f>
        <v>0.94593187499999998</v>
      </c>
      <c r="M4" s="2">
        <f xml:space="preserve"> _xlfn.STDEV.S(D4:K4) / SQRT(COUNT(D4:K4))</f>
        <v>3.9551692642012344E-3</v>
      </c>
      <c r="N4" s="2">
        <f>M4*$N$2</f>
        <v>4.426463786245111E-3</v>
      </c>
    </row>
    <row r="5" spans="1:14" x14ac:dyDescent="0.55000000000000004">
      <c r="A5" s="2">
        <v>0.16700000000000001</v>
      </c>
      <c r="C5" s="2" t="s">
        <v>23</v>
      </c>
      <c r="D5" s="2">
        <v>7.2000000000000002E-5</v>
      </c>
      <c r="E5" s="2">
        <v>4.3600000000000003E-4</v>
      </c>
      <c r="F5" s="2">
        <v>4.8999999999999998E-5</v>
      </c>
      <c r="G5" s="2">
        <v>2.2100000000000001E-4</v>
      </c>
      <c r="H5" s="2">
        <v>1.11E-4</v>
      </c>
      <c r="I5" s="2">
        <v>2.1900000000000001E-4</v>
      </c>
      <c r="J5" s="2">
        <v>3.8000000000000002E-5</v>
      </c>
      <c r="K5" s="2">
        <v>8.7999999999999998E-5</v>
      </c>
      <c r="L5" s="2">
        <f>SQRT((1/COUNT(D5:K5))*SUMSQ(D5:K5))</f>
        <v>1.9874355335456795E-4</v>
      </c>
    </row>
    <row r="6" spans="1:14" x14ac:dyDescent="0.55000000000000004">
      <c r="C6" s="2" t="s">
        <v>24</v>
      </c>
      <c r="D6" s="2">
        <v>0.28748099999999999</v>
      </c>
      <c r="E6" s="2">
        <v>0.30726500000000001</v>
      </c>
      <c r="F6" s="2">
        <v>0.34708299999999997</v>
      </c>
      <c r="G6" s="2">
        <v>0.364201</v>
      </c>
      <c r="H6" s="2">
        <v>0.293765</v>
      </c>
      <c r="I6" s="2">
        <v>0.33705600000000002</v>
      </c>
      <c r="J6" s="2">
        <v>0.27913500000000002</v>
      </c>
      <c r="K6" s="2">
        <v>0.35610799999999998</v>
      </c>
      <c r="L6" s="2">
        <f>AVERAGE(D6:K6)</f>
        <v>0.32151174999999999</v>
      </c>
      <c r="M6" s="2">
        <f xml:space="preserve"> _xlfn.STDEV.S(D6:K6) / SQRT(COUNT(D6:K6))</f>
        <v>1.1833305012834989E-2</v>
      </c>
      <c r="N6" s="2">
        <f>M6*$N$2</f>
        <v>1.3243351323798565E-2</v>
      </c>
    </row>
    <row r="7" spans="1:14" x14ac:dyDescent="0.55000000000000004">
      <c r="C7" s="2" t="s">
        <v>25</v>
      </c>
      <c r="D7" s="2">
        <v>2.2499999999999999E-4</v>
      </c>
      <c r="E7" s="2">
        <v>1.3060000000000001E-3</v>
      </c>
      <c r="F7" s="2">
        <v>1.2799999999999999E-4</v>
      </c>
      <c r="G7" s="2">
        <v>5.4799999999999998E-4</v>
      </c>
      <c r="H7" s="2">
        <v>3.4099999999999999E-4</v>
      </c>
      <c r="I7" s="2">
        <v>6.1899999999999998E-4</v>
      </c>
      <c r="J7" s="2">
        <v>9.8999999999999994E-5</v>
      </c>
      <c r="K7" s="2">
        <v>2.2100000000000001E-4</v>
      </c>
      <c r="L7" s="2">
        <f>(1/COUNT(D7:K7))*SQRT(SUMSQ(D7:K7))</f>
        <v>2.0275574128739241E-4</v>
      </c>
    </row>
    <row r="8" spans="1:14" x14ac:dyDescent="0.55000000000000004">
      <c r="C8" s="2" t="s">
        <v>26</v>
      </c>
      <c r="D8" s="2">
        <v>0.66135500000000003</v>
      </c>
      <c r="E8" s="2">
        <v>0.76984699999999995</v>
      </c>
      <c r="F8" s="2">
        <v>0.598333</v>
      </c>
      <c r="G8" s="2">
        <v>0.72016500000000006</v>
      </c>
      <c r="H8" s="2">
        <v>0.652424</v>
      </c>
      <c r="I8" s="2">
        <v>0.64799099999999998</v>
      </c>
      <c r="J8" s="2">
        <v>0.73399499999999995</v>
      </c>
      <c r="K8" s="2">
        <v>0.56566300000000003</v>
      </c>
      <c r="L8" s="2">
        <f>AVERAGE(D8:K8)</f>
        <v>0.66872162499999999</v>
      </c>
      <c r="M8" s="2">
        <f xml:space="preserve"> _xlfn.STDEV.S(D8:K8) / SQRT(COUNT(D8:K8))</f>
        <v>2.4443321121771756E-2</v>
      </c>
      <c r="N8" s="2">
        <f>M8*$N$2</f>
        <v>2.7355965960898995E-2</v>
      </c>
    </row>
    <row r="9" spans="1:14" x14ac:dyDescent="0.55000000000000004">
      <c r="C9" s="2" t="s">
        <v>27</v>
      </c>
      <c r="D9" s="2">
        <v>2.22E-4</v>
      </c>
      <c r="E9" s="2">
        <v>8.5700000000000001E-4</v>
      </c>
      <c r="F9" s="2">
        <v>6.9999999999999994E-5</v>
      </c>
      <c r="G9" s="2">
        <v>5.3899999999999998E-4</v>
      </c>
      <c r="H9" s="2">
        <v>2.99E-4</v>
      </c>
      <c r="I9" s="2">
        <v>5.8799999999999998E-4</v>
      </c>
      <c r="J9" s="2">
        <v>4.5000000000000003E-5</v>
      </c>
      <c r="K9" s="2">
        <v>1.3799999999999999E-4</v>
      </c>
      <c r="L9" s="2">
        <f>(1/COUNT(D9:K9))*SQRT(SUMSQ(D9:K9))</f>
        <v>1.5488745914372796E-4</v>
      </c>
    </row>
    <row r="10" spans="1:14" x14ac:dyDescent="0.55000000000000004">
      <c r="C10" s="2" t="s">
        <v>28</v>
      </c>
      <c r="D10" s="2">
        <v>2.1217809999999999</v>
      </c>
      <c r="E10" s="2">
        <v>2.5486230000000001</v>
      </c>
      <c r="F10" s="2">
        <v>3.1062720000000001</v>
      </c>
      <c r="G10" s="2">
        <v>3.187522</v>
      </c>
      <c r="H10" s="2">
        <v>1.686383</v>
      </c>
      <c r="I10" s="2">
        <v>2.7547640000000002</v>
      </c>
      <c r="J10" s="2">
        <v>2.830133</v>
      </c>
      <c r="K10" s="2">
        <v>2.611281</v>
      </c>
      <c r="L10" s="2">
        <f>AVERAGE(D10:K10)</f>
        <v>2.6058448749999998</v>
      </c>
      <c r="M10" s="2">
        <f xml:space="preserve"> _xlfn.STDEV.S(D10:K10) / SQRT(COUNT(D10:K10))</f>
        <v>0.17648803698242202</v>
      </c>
      <c r="N10" s="2">
        <f>M10*$N$2</f>
        <v>0.19751819763545561</v>
      </c>
    </row>
    <row r="11" spans="1:14" x14ac:dyDescent="0.55000000000000004">
      <c r="C11" s="2" t="s">
        <v>29</v>
      </c>
      <c r="D11" s="2">
        <v>2.1080000000000001E-3</v>
      </c>
      <c r="E11" s="2">
        <v>6.3769999999999999E-3</v>
      </c>
      <c r="F11" s="2">
        <v>7.1199999999999996E-4</v>
      </c>
      <c r="G11" s="2">
        <v>7.123E-3</v>
      </c>
      <c r="H11" s="2">
        <v>2.2200000000000002E-3</v>
      </c>
      <c r="I11" s="2">
        <v>7.6150000000000002E-3</v>
      </c>
      <c r="J11" s="2">
        <v>5.3200000000000003E-4</v>
      </c>
      <c r="K11" s="2">
        <v>2.529E-3</v>
      </c>
      <c r="L11" s="2">
        <f>(1/COUNT(D11:K11))*SQRT(SUMSQ(D11:K11))</f>
        <v>1.6102666510550356E-3</v>
      </c>
    </row>
    <row r="12" spans="1:14" x14ac:dyDescent="0.55000000000000004">
      <c r="C12" s="2" t="s">
        <v>30</v>
      </c>
      <c r="D12" s="2">
        <v>15.380667000000001</v>
      </c>
      <c r="E12" s="2">
        <v>19.898434000000002</v>
      </c>
      <c r="F12" s="2">
        <v>21.537358000000001</v>
      </c>
      <c r="G12" s="2">
        <v>35.08699</v>
      </c>
      <c r="H12" s="2">
        <v>12.198579000000001</v>
      </c>
      <c r="I12" s="2">
        <v>17.218267000000001</v>
      </c>
      <c r="J12" s="2">
        <v>22.102765000000002</v>
      </c>
      <c r="K12" s="2">
        <v>26.449076000000002</v>
      </c>
      <c r="L12" s="2">
        <f>AVERAGE(D12:K12)</f>
        <v>21.234016999999998</v>
      </c>
      <c r="M12" s="2">
        <f xml:space="preserve"> _xlfn.STDEV.S(D12:K12) / SQRT(COUNT(D12:K12))</f>
        <v>2.5133902695957788</v>
      </c>
      <c r="N12" s="2">
        <f>M12*$N$2</f>
        <v>2.8128836633527454</v>
      </c>
    </row>
    <row r="13" spans="1:14" x14ac:dyDescent="0.55000000000000004">
      <c r="C13" s="2" t="s">
        <v>31</v>
      </c>
      <c r="D13" s="2">
        <v>2.9880000000000002E-3</v>
      </c>
      <c r="E13" s="2">
        <v>1.6545000000000001E-2</v>
      </c>
      <c r="F13" s="2">
        <v>2.483E-3</v>
      </c>
      <c r="G13" s="2">
        <v>2.6131000000000001E-2</v>
      </c>
      <c r="H13" s="2">
        <v>1.1070999999999999E-2</v>
      </c>
      <c r="I13" s="2">
        <v>2.3584999999999998E-2</v>
      </c>
      <c r="J13" s="2">
        <v>4.522E-3</v>
      </c>
      <c r="K13" s="2">
        <v>0.20264599999999999</v>
      </c>
      <c r="L13" s="2">
        <f>(1/COUNT(D13:K13))*SQRT(SUMSQ(D13:K13))</f>
        <v>2.5840958490410626E-2</v>
      </c>
    </row>
    <row r="14" spans="1:14" x14ac:dyDescent="0.55000000000000004">
      <c r="B14" s="2" t="s">
        <v>32</v>
      </c>
      <c r="C14" s="2" t="s">
        <v>22</v>
      </c>
      <c r="D14" s="2">
        <v>0.95240999999999998</v>
      </c>
      <c r="E14" s="2">
        <v>0.94422300000000003</v>
      </c>
      <c r="F14" s="2">
        <v>0.93379400000000001</v>
      </c>
      <c r="G14" s="2">
        <v>0.92610199999999998</v>
      </c>
      <c r="H14" s="2">
        <v>0.95208999999999999</v>
      </c>
      <c r="I14" s="2">
        <v>0.93811100000000003</v>
      </c>
      <c r="J14" s="2">
        <v>0.95469099999999996</v>
      </c>
      <c r="K14" s="2">
        <v>0.93230900000000005</v>
      </c>
      <c r="L14" s="2">
        <f>AVERAGE(D14:K14)</f>
        <v>0.94171625000000003</v>
      </c>
      <c r="M14" s="2">
        <f xml:space="preserve"> _xlfn.STDEV.S(D14:K14) / SQRT(COUNT(D14:K14))</f>
        <v>3.7906368186719475E-3</v>
      </c>
      <c r="N14" s="2">
        <f>M14*$N$2</f>
        <v>4.2423257979193902E-3</v>
      </c>
    </row>
    <row r="15" spans="1:14" x14ac:dyDescent="0.55000000000000004">
      <c r="C15" s="2" t="s">
        <v>23</v>
      </c>
      <c r="D15" s="2">
        <v>3.6000000000000002E-4</v>
      </c>
      <c r="E15" s="2">
        <v>7.0399999999999998E-4</v>
      </c>
      <c r="F15" s="2">
        <v>6.7500000000000004E-4</v>
      </c>
      <c r="G15" s="2">
        <v>1.0939999999999999E-3</v>
      </c>
      <c r="H15" s="2">
        <v>1.63E-4</v>
      </c>
      <c r="I15" s="2">
        <v>5.0299999999999997E-4</v>
      </c>
      <c r="J15" s="2">
        <v>1.1360000000000001E-3</v>
      </c>
      <c r="K15" s="2">
        <v>1.3300000000000001E-4</v>
      </c>
      <c r="L15" s="2">
        <f>(1/COUNT(D15:K15))*SQRT(SUMSQ(D15:K15))</f>
        <v>2.4575902831839159E-4</v>
      </c>
    </row>
    <row r="16" spans="1:14" x14ac:dyDescent="0.55000000000000004">
      <c r="C16" s="2" t="s">
        <v>24</v>
      </c>
      <c r="D16" s="2">
        <v>0.30333900000000003</v>
      </c>
      <c r="E16" s="2">
        <v>0.32539600000000002</v>
      </c>
      <c r="F16" s="2">
        <v>0.35683599999999999</v>
      </c>
      <c r="G16" s="2">
        <v>0.377722</v>
      </c>
      <c r="H16" s="2">
        <v>0.304479</v>
      </c>
      <c r="I16" s="2">
        <v>0.34665800000000002</v>
      </c>
      <c r="J16" s="2">
        <v>0.29294799999999999</v>
      </c>
      <c r="K16" s="2">
        <v>0.36033599999999999</v>
      </c>
      <c r="L16" s="2">
        <f>AVERAGE(D16:K16)</f>
        <v>0.33346425000000002</v>
      </c>
      <c r="M16" s="2">
        <f xml:space="preserve"> _xlfn.STDEV.S(D16:K16) / SQRT(COUNT(D16:K16))</f>
        <v>1.1064334349531118E-2</v>
      </c>
      <c r="N16" s="2">
        <f>M16*$N$2</f>
        <v>1.2382750786519946E-2</v>
      </c>
    </row>
    <row r="17" spans="2:14" x14ac:dyDescent="0.55000000000000004">
      <c r="C17" s="2" t="s">
        <v>25</v>
      </c>
      <c r="D17" s="2">
        <v>9.7199999999999999E-4</v>
      </c>
      <c r="E17" s="2">
        <v>1.854E-3</v>
      </c>
      <c r="F17" s="2">
        <v>1.663E-3</v>
      </c>
      <c r="G17" s="2">
        <v>2.5309999999999998E-3</v>
      </c>
      <c r="H17" s="2">
        <v>4.6500000000000003E-4</v>
      </c>
      <c r="I17" s="2">
        <v>1.3450000000000001E-3</v>
      </c>
      <c r="J17" s="2">
        <v>3.1440000000000001E-3</v>
      </c>
      <c r="K17" s="2">
        <v>3.5E-4</v>
      </c>
      <c r="L17" s="2">
        <f>(1/COUNT(D17:K17))*SQRT(SUMSQ(D17:K17))</f>
        <v>6.3228400462134106E-4</v>
      </c>
    </row>
    <row r="18" spans="2:14" x14ac:dyDescent="0.55000000000000004">
      <c r="C18" s="2" t="s">
        <v>26</v>
      </c>
      <c r="D18" s="2">
        <v>0.65135399999999999</v>
      </c>
      <c r="E18" s="2">
        <v>0.758965</v>
      </c>
      <c r="F18" s="2">
        <v>0.59394499999999995</v>
      </c>
      <c r="G18" s="2">
        <v>0.71285399999999999</v>
      </c>
      <c r="H18" s="2">
        <v>0.64357500000000001</v>
      </c>
      <c r="I18" s="2">
        <v>0.64058899999999996</v>
      </c>
      <c r="J18" s="2">
        <v>0.72411000000000003</v>
      </c>
      <c r="K18" s="2">
        <v>0.56192399999999998</v>
      </c>
      <c r="L18" s="2">
        <f>AVERAGE(D18:K18)</f>
        <v>0.66091450000000018</v>
      </c>
      <c r="M18" s="2">
        <f xml:space="preserve"> _xlfn.STDEV.S(D18:K18) / SQRT(COUNT(D18:K18))</f>
        <v>2.3677333880286679E-2</v>
      </c>
      <c r="N18" s="2">
        <f>M18*$N$2</f>
        <v>2.6498704347382631E-2</v>
      </c>
    </row>
    <row r="19" spans="2:14" x14ac:dyDescent="0.55000000000000004">
      <c r="C19" s="2" t="s">
        <v>27</v>
      </c>
      <c r="D19" s="2">
        <v>9.4200000000000002E-4</v>
      </c>
      <c r="E19" s="2">
        <v>1.3420000000000001E-3</v>
      </c>
      <c r="F19" s="2">
        <v>6.1700000000000004E-4</v>
      </c>
      <c r="G19" s="2">
        <v>3.3089999999999999E-3</v>
      </c>
      <c r="H19" s="2">
        <v>3.8299999999999999E-4</v>
      </c>
      <c r="I19" s="2">
        <v>1.1019999999999999E-3</v>
      </c>
      <c r="J19" s="2">
        <v>2.32E-3</v>
      </c>
      <c r="K19" s="2">
        <v>2.2100000000000001E-4</v>
      </c>
      <c r="L19" s="2">
        <f>(1/COUNT(D19:K19))*SQRT(SUMSQ(D19:K19))</f>
        <v>5.7023613529835163E-4</v>
      </c>
    </row>
    <row r="20" spans="2:14" x14ac:dyDescent="0.55000000000000004">
      <c r="C20" s="2" t="s">
        <v>28</v>
      </c>
      <c r="D20" s="2">
        <v>2.323032</v>
      </c>
      <c r="E20" s="2">
        <v>2.7140749999999998</v>
      </c>
      <c r="F20" s="2">
        <v>3.1719900000000001</v>
      </c>
      <c r="G20" s="2">
        <v>3.3385020000000001</v>
      </c>
      <c r="H20" s="2">
        <v>1.7512540000000001</v>
      </c>
      <c r="I20" s="2">
        <v>2.9842300000000002</v>
      </c>
      <c r="J20" s="2">
        <v>3.0659779999999999</v>
      </c>
      <c r="K20" s="2">
        <v>2.6726770000000002</v>
      </c>
      <c r="L20" s="2">
        <f>AVERAGE(D20:K20)</f>
        <v>2.7527172499999999</v>
      </c>
      <c r="M20" s="2">
        <f xml:space="preserve"> _xlfn.STDEV.S(D20:K20) / SQRT(COUNT(D20:K20))</f>
        <v>0.18254752724591577</v>
      </c>
      <c r="N20" s="2">
        <f>M20*$N$2</f>
        <v>0.20429973147706146</v>
      </c>
    </row>
    <row r="21" spans="2:14" x14ac:dyDescent="0.55000000000000004">
      <c r="C21" s="2" t="s">
        <v>29</v>
      </c>
      <c r="D21" s="2">
        <v>1.7306999999999999E-2</v>
      </c>
      <c r="E21" s="2">
        <v>1.1171E-2</v>
      </c>
      <c r="F21" s="2">
        <v>7.2020000000000001E-3</v>
      </c>
      <c r="G21" s="2">
        <v>3.4096000000000001E-2</v>
      </c>
      <c r="H21" s="2">
        <v>3.1359999999999999E-3</v>
      </c>
      <c r="I21" s="2">
        <v>1.9108E-2</v>
      </c>
      <c r="J21" s="2">
        <v>2.7664999999999999E-2</v>
      </c>
      <c r="K21" s="2">
        <v>2.996E-3</v>
      </c>
      <c r="L21" s="2">
        <f>(1/COUNT(D21:K21))*SQRT(SUMSQ(D21:K21))</f>
        <v>6.6001987552932826E-3</v>
      </c>
    </row>
    <row r="22" spans="2:14" x14ac:dyDescent="0.55000000000000004">
      <c r="C22" s="2" t="s">
        <v>30</v>
      </c>
      <c r="D22" s="2">
        <v>16.619691</v>
      </c>
      <c r="E22" s="2">
        <v>20.595490000000002</v>
      </c>
      <c r="F22" s="2">
        <v>21.842763999999999</v>
      </c>
      <c r="G22" s="2">
        <v>35.352684000000004</v>
      </c>
      <c r="H22" s="2">
        <v>12.672962</v>
      </c>
      <c r="I22" s="2">
        <v>17.854600000000001</v>
      </c>
      <c r="J22" s="2">
        <v>24.330404999999999</v>
      </c>
      <c r="K22" s="2">
        <v>30.845915999999999</v>
      </c>
      <c r="L22" s="2">
        <f>AVERAGE(D22:K22)</f>
        <v>22.514313999999999</v>
      </c>
      <c r="M22" s="2">
        <f xml:space="preserve"> _xlfn.STDEV.S(D22:K22) / SQRT(COUNT(D22:K22))</f>
        <v>2.655795924788471</v>
      </c>
      <c r="N22" s="2">
        <f>M22*$N$2</f>
        <v>2.9722582522919279</v>
      </c>
    </row>
    <row r="23" spans="2:14" x14ac:dyDescent="0.55000000000000004">
      <c r="C23" s="2" t="s">
        <v>31</v>
      </c>
      <c r="D23" s="2">
        <v>2.8707E-2</v>
      </c>
      <c r="E23" s="2">
        <v>7.3162000000000005E-2</v>
      </c>
      <c r="F23" s="2">
        <v>1.8839999999999999E-2</v>
      </c>
      <c r="G23" s="2">
        <v>0.155469</v>
      </c>
      <c r="H23" s="2">
        <v>2.3216000000000001E-2</v>
      </c>
      <c r="I23" s="2">
        <v>5.5929E-2</v>
      </c>
      <c r="J23" s="2">
        <v>0.16752600000000001</v>
      </c>
      <c r="K23" s="2">
        <v>0.349551</v>
      </c>
      <c r="L23" s="2">
        <f>(1/COUNT(D23:K23))*SQRT(SUMSQ(D23:K23))</f>
        <v>5.3709319435154827E-2</v>
      </c>
    </row>
    <row r="24" spans="2:14" x14ac:dyDescent="0.55000000000000004">
      <c r="B24" s="2" t="s">
        <v>33</v>
      </c>
      <c r="C24" s="2" t="s">
        <v>22</v>
      </c>
      <c r="D24" s="2">
        <v>0.957287</v>
      </c>
      <c r="E24" s="2">
        <v>0.95052899999999996</v>
      </c>
      <c r="F24" s="2">
        <v>0.93790600000000002</v>
      </c>
      <c r="G24" s="2">
        <v>0.93147400000000002</v>
      </c>
      <c r="H24" s="2">
        <v>0.95588099999999998</v>
      </c>
      <c r="I24" s="2">
        <v>0.94228000000000001</v>
      </c>
      <c r="J24" s="2">
        <v>0.95965999999999996</v>
      </c>
      <c r="K24" s="2">
        <v>0.93397600000000003</v>
      </c>
      <c r="L24" s="2">
        <f>AVERAGE(D24:K24)</f>
        <v>0.94612412499999998</v>
      </c>
      <c r="M24" s="2">
        <f xml:space="preserve"> _xlfn.STDEV.S(D24:K24) / SQRT(COUNT(D24:K24))</f>
        <v>3.9346156167202936E-3</v>
      </c>
      <c r="N24" s="2">
        <f>M24*$N$2</f>
        <v>4.4034609840456944E-3</v>
      </c>
    </row>
    <row r="25" spans="2:14" x14ac:dyDescent="0.55000000000000004">
      <c r="C25" s="2" t="s">
        <v>23</v>
      </c>
      <c r="D25" s="2">
        <v>3.4E-5</v>
      </c>
      <c r="E25" s="2">
        <v>9.7999999999999997E-5</v>
      </c>
      <c r="F25" s="2">
        <v>2.3E-5</v>
      </c>
      <c r="G25" s="2">
        <v>4.6999999999999997E-5</v>
      </c>
      <c r="H25" s="2">
        <v>3.3000000000000003E-5</v>
      </c>
      <c r="I25" s="2">
        <v>6.0999999999999999E-5</v>
      </c>
      <c r="J25" s="2">
        <v>3.1999999999999999E-5</v>
      </c>
      <c r="K25" s="2">
        <v>3.3000000000000003E-5</v>
      </c>
      <c r="L25" s="2">
        <f>(1/COUNT(D25:K25))*SQRT(SUMSQ(D25:K25))</f>
        <v>1.7862758045721832E-5</v>
      </c>
    </row>
    <row r="26" spans="2:14" x14ac:dyDescent="0.55000000000000004">
      <c r="C26" s="2" t="s">
        <v>24</v>
      </c>
      <c r="D26" s="2">
        <v>0.28749999999999998</v>
      </c>
      <c r="E26" s="2">
        <v>0.30741499999999999</v>
      </c>
      <c r="F26" s="2">
        <v>0.34643099999999999</v>
      </c>
      <c r="G26" s="2">
        <v>0.36415599999999998</v>
      </c>
      <c r="H26" s="2">
        <v>0.29291200000000001</v>
      </c>
      <c r="I26" s="2">
        <v>0.33495799999999998</v>
      </c>
      <c r="J26" s="2">
        <v>0.27888600000000002</v>
      </c>
      <c r="K26" s="2">
        <v>0.35563400000000001</v>
      </c>
      <c r="L26" s="2">
        <f>AVERAGE(D26:K26)</f>
        <v>0.32098649999999995</v>
      </c>
      <c r="M26" s="2">
        <f xml:space="preserve"> _xlfn.STDEV.S(D26:K26) / SQRT(COUNT(D26:K26))</f>
        <v>1.178137249765796E-2</v>
      </c>
      <c r="N26" s="2">
        <f>M26*$N$2</f>
        <v>1.3185230575379429E-2</v>
      </c>
    </row>
    <row r="27" spans="2:14" x14ac:dyDescent="0.55000000000000004">
      <c r="C27" s="2" t="s">
        <v>25</v>
      </c>
      <c r="D27" s="2">
        <v>1.01E-4</v>
      </c>
      <c r="E27" s="2">
        <v>3.0699999999999998E-4</v>
      </c>
      <c r="F27" s="2">
        <v>6.2000000000000003E-5</v>
      </c>
      <c r="G27" s="2">
        <v>1.18E-4</v>
      </c>
      <c r="H27" s="2">
        <v>1.03E-4</v>
      </c>
      <c r="I27" s="2">
        <v>1.74E-4</v>
      </c>
      <c r="J27" s="2">
        <v>1.01E-4</v>
      </c>
      <c r="K27" s="2">
        <v>8.7000000000000001E-5</v>
      </c>
      <c r="L27" s="2">
        <f>(1/COUNT(D27:K27))*SQRT(SUMSQ(D27:K27))</f>
        <v>5.3161458078197967E-5</v>
      </c>
    </row>
    <row r="28" spans="2:14" x14ac:dyDescent="0.55000000000000004">
      <c r="C28" s="2" t="s">
        <v>26</v>
      </c>
      <c r="D28" s="2">
        <v>0.66131499999999999</v>
      </c>
      <c r="E28" s="2">
        <v>0.76959699999999998</v>
      </c>
      <c r="F28" s="2">
        <v>0.59866399999999997</v>
      </c>
      <c r="G28" s="2">
        <v>0.72035199999999999</v>
      </c>
      <c r="H28" s="2">
        <v>0.65325100000000003</v>
      </c>
      <c r="I28" s="2">
        <v>0.64986600000000005</v>
      </c>
      <c r="J28" s="2">
        <v>0.73416300000000001</v>
      </c>
      <c r="K28" s="2">
        <v>0.56623299999999999</v>
      </c>
      <c r="L28" s="2">
        <f>AVERAGE(D28:K28)</f>
        <v>0.66918012500000001</v>
      </c>
      <c r="M28" s="2">
        <f xml:space="preserve"> _xlfn.STDEV.S(D28:K28) / SQRT(COUNT(D28:K28))</f>
        <v>2.4342845344047119E-2</v>
      </c>
      <c r="N28" s="2">
        <f>M28*$N$2</f>
        <v>2.7243517577079261E-2</v>
      </c>
    </row>
    <row r="29" spans="2:14" x14ac:dyDescent="0.55000000000000004">
      <c r="C29" s="2" t="s">
        <v>27</v>
      </c>
      <c r="D29" s="2">
        <v>9.6000000000000002E-5</v>
      </c>
      <c r="E29" s="2">
        <v>2.2000000000000001E-4</v>
      </c>
      <c r="F29" s="2">
        <v>2.6999999999999999E-5</v>
      </c>
      <c r="G29" s="2">
        <v>1.21E-4</v>
      </c>
      <c r="H29" s="2">
        <v>8.2999999999999998E-5</v>
      </c>
      <c r="I29" s="2">
        <v>1.4300000000000001E-4</v>
      </c>
      <c r="J29" s="2">
        <v>8.0000000000000007E-5</v>
      </c>
      <c r="K29" s="2">
        <v>5.8999999999999998E-5</v>
      </c>
      <c r="L29" s="2">
        <f>(1/COUNT(D29:K29))*SQRT(SUMSQ(D29:K29))</f>
        <v>4.1496423038618645E-5</v>
      </c>
    </row>
    <row r="30" spans="2:14" x14ac:dyDescent="0.55000000000000004">
      <c r="C30" s="2" t="s">
        <v>28</v>
      </c>
      <c r="D30" s="2">
        <v>2.122214</v>
      </c>
      <c r="E30" s="2">
        <v>2.5474800000000002</v>
      </c>
      <c r="F30" s="2">
        <v>3.1073520000000001</v>
      </c>
      <c r="G30" s="2">
        <v>3.182239</v>
      </c>
      <c r="H30" s="2">
        <v>1.6794530000000001</v>
      </c>
      <c r="I30" s="2">
        <v>2.7323659999999999</v>
      </c>
      <c r="J30" s="2">
        <v>2.828929</v>
      </c>
      <c r="K30" s="2">
        <v>2.6034160000000002</v>
      </c>
      <c r="L30" s="2">
        <f>AVERAGE(D30:K30)</f>
        <v>2.6004311250000001</v>
      </c>
      <c r="M30" s="2">
        <f xml:space="preserve"> _xlfn.STDEV.S(D30:K30) / SQRT(COUNT(D30:K30))</f>
        <v>0.17651347194300121</v>
      </c>
      <c r="N30" s="2">
        <f>M30*$N$2</f>
        <v>0.19754666340376731</v>
      </c>
    </row>
    <row r="31" spans="2:14" x14ac:dyDescent="0.55000000000000004">
      <c r="C31" s="2" t="s">
        <v>29</v>
      </c>
      <c r="D31" s="2">
        <v>1.0629999999999999E-3</v>
      </c>
      <c r="E31" s="2">
        <v>1.328E-3</v>
      </c>
      <c r="F31" s="2">
        <v>2.9100000000000003E-4</v>
      </c>
      <c r="G31" s="2">
        <v>1.194E-3</v>
      </c>
      <c r="H31" s="2">
        <v>6.4499999999999996E-4</v>
      </c>
      <c r="I31" s="2">
        <v>1.9719999999999998E-3</v>
      </c>
      <c r="J31" s="2">
        <v>6.6200000000000005E-4</v>
      </c>
      <c r="K31" s="2">
        <v>8.0500000000000005E-4</v>
      </c>
      <c r="L31" s="2">
        <f>(1/COUNT(D31:K31))*SQRT(SUMSQ(D31:K31))</f>
        <v>3.9121102042248248E-4</v>
      </c>
    </row>
    <row r="32" spans="2:14" x14ac:dyDescent="0.55000000000000004">
      <c r="C32" s="2" t="s">
        <v>30</v>
      </c>
      <c r="D32" s="2">
        <v>15.387684999999999</v>
      </c>
      <c r="E32" s="2">
        <v>19.872551000000001</v>
      </c>
      <c r="F32" s="2">
        <v>21.623135000000001</v>
      </c>
      <c r="G32" s="2">
        <v>35.122490999999997</v>
      </c>
      <c r="H32" s="2">
        <v>12.154056000000001</v>
      </c>
      <c r="I32" s="2">
        <v>17.162405</v>
      </c>
      <c r="J32" s="2">
        <v>22.087219000000001</v>
      </c>
      <c r="K32" s="2">
        <v>26.075294</v>
      </c>
      <c r="L32" s="2">
        <f>AVERAGE(D32:K32)</f>
        <v>21.185604499999997</v>
      </c>
      <c r="M32" s="2">
        <f xml:space="preserve"> _xlfn.STDEV.S(D32:K32) / SQRT(COUNT(D32:K32))</f>
        <v>2.5080057277800032</v>
      </c>
      <c r="N32" s="2">
        <f>M32*$N$2</f>
        <v>2.8068575042275765</v>
      </c>
    </row>
    <row r="33" spans="2:14" x14ac:dyDescent="0.55000000000000004">
      <c r="C33" s="2" t="s">
        <v>31</v>
      </c>
      <c r="D33" s="2">
        <v>1.56E-3</v>
      </c>
      <c r="E33" s="2">
        <v>1.1377E-2</v>
      </c>
      <c r="F33" s="2">
        <v>1.0009999999999999E-3</v>
      </c>
      <c r="G33" s="2">
        <v>8.7690000000000008E-3</v>
      </c>
      <c r="H33" s="2">
        <v>5.7819999999999998E-3</v>
      </c>
      <c r="I33" s="2">
        <v>4.9870000000000001E-3</v>
      </c>
      <c r="J33" s="2">
        <v>2.2079999999999999E-3</v>
      </c>
      <c r="K33" s="2">
        <v>5.6479000000000001E-2</v>
      </c>
      <c r="L33" s="2">
        <f>(1/COUNT(D33:K33))*SQRT(SUMSQ(D33:K33))</f>
        <v>7.3557178960061403E-3</v>
      </c>
    </row>
    <row r="34" spans="2:14" x14ac:dyDescent="0.55000000000000004">
      <c r="B34" s="2" t="s">
        <v>34</v>
      </c>
      <c r="C34" s="2" t="s">
        <v>22</v>
      </c>
      <c r="D34" s="2">
        <v>0.94675699999999996</v>
      </c>
      <c r="E34" s="2">
        <v>0.94672100000000003</v>
      </c>
      <c r="F34" s="2">
        <v>0.93342499999999995</v>
      </c>
      <c r="G34" s="2">
        <v>0.92116299999999995</v>
      </c>
      <c r="H34" s="2">
        <v>0.95132700000000003</v>
      </c>
      <c r="I34" s="2">
        <v>0.93912899999999999</v>
      </c>
      <c r="J34" s="2">
        <v>0.95565199999999995</v>
      </c>
      <c r="K34" s="2">
        <v>0.93256300000000003</v>
      </c>
      <c r="L34" s="2">
        <f>AVERAGE(D34:K34)</f>
        <v>0.94084212499999997</v>
      </c>
      <c r="M34" s="2">
        <f xml:space="preserve"> _xlfn.STDEV.S(D34:K34) / SQRT(COUNT(D34:K34))</f>
        <v>4.0368223245407682E-3</v>
      </c>
      <c r="N34" s="2">
        <f>M34*$N$2</f>
        <v>4.5178465540827413E-3</v>
      </c>
    </row>
    <row r="35" spans="2:14" x14ac:dyDescent="0.55000000000000004">
      <c r="C35" s="2" t="s">
        <v>23</v>
      </c>
      <c r="D35" s="2">
        <v>1.3209999999999999E-3</v>
      </c>
      <c r="E35" s="2">
        <v>5.6599999999999999E-4</v>
      </c>
      <c r="F35" s="2">
        <v>3.8999999999999999E-4</v>
      </c>
      <c r="G35" s="2">
        <v>1.39E-3</v>
      </c>
      <c r="H35" s="2">
        <v>1.95E-4</v>
      </c>
      <c r="I35" s="2">
        <v>4.7399999999999997E-4</v>
      </c>
      <c r="J35" s="2">
        <v>7.5500000000000003E-4</v>
      </c>
      <c r="K35" s="2">
        <v>1.21E-4</v>
      </c>
      <c r="L35" s="2">
        <f>(1/COUNT(D35:K35))*SQRT(SUMSQ(D35:K35))</f>
        <v>2.7942362552225248E-4</v>
      </c>
    </row>
    <row r="36" spans="2:14" x14ac:dyDescent="0.55000000000000004">
      <c r="C36" s="2" t="s">
        <v>24</v>
      </c>
      <c r="D36" s="2">
        <v>0.31806699999999999</v>
      </c>
      <c r="E36" s="2">
        <v>0.31830999999999998</v>
      </c>
      <c r="F36" s="2">
        <v>0.35778599999999999</v>
      </c>
      <c r="G36" s="2">
        <v>0.38934800000000003</v>
      </c>
      <c r="H36" s="2">
        <v>0.30665100000000001</v>
      </c>
      <c r="I36" s="2">
        <v>0.34375699999999998</v>
      </c>
      <c r="J36" s="2">
        <v>0.29093599999999997</v>
      </c>
      <c r="K36" s="2">
        <v>0.35955799999999999</v>
      </c>
      <c r="L36" s="2">
        <f>AVERAGE(D36:K36)</f>
        <v>0.33555162499999996</v>
      </c>
      <c r="M36" s="2">
        <f xml:space="preserve"> _xlfn.STDEV.S(D36:K36) / SQRT(COUNT(D36:K36))</f>
        <v>1.1542497159468541E-2</v>
      </c>
      <c r="N36" s="2">
        <f>M36*$N$2</f>
        <v>1.2917891060104332E-2</v>
      </c>
    </row>
    <row r="37" spans="2:14" x14ac:dyDescent="0.55000000000000004">
      <c r="C37" s="2" t="s">
        <v>25</v>
      </c>
      <c r="D37" s="2">
        <v>3.7330000000000002E-3</v>
      </c>
      <c r="E37" s="2">
        <v>1.5709999999999999E-3</v>
      </c>
      <c r="F37" s="2">
        <v>9.4700000000000003E-4</v>
      </c>
      <c r="G37" s="2">
        <v>3.1649999999999998E-3</v>
      </c>
      <c r="H37" s="2">
        <v>5.6499999999999996E-4</v>
      </c>
      <c r="I37" s="2">
        <v>1.2539999999999999E-3</v>
      </c>
      <c r="J37" s="2">
        <v>2.2469999999999999E-3</v>
      </c>
      <c r="K37" s="2">
        <v>3.1599999999999998E-4</v>
      </c>
      <c r="L37" s="2">
        <f>(1/COUNT(D37:K37))*SQRT(SUMSQ(D37:K37))</f>
        <v>7.3269589957225773E-4</v>
      </c>
    </row>
    <row r="38" spans="2:14" x14ac:dyDescent="0.55000000000000004">
      <c r="C38" s="2" t="s">
        <v>26</v>
      </c>
      <c r="D38" s="2">
        <v>0.63423099999999999</v>
      </c>
      <c r="E38" s="2">
        <v>0.762293</v>
      </c>
      <c r="F38" s="2">
        <v>0.59374499999999997</v>
      </c>
      <c r="G38" s="2">
        <v>0.69979800000000003</v>
      </c>
      <c r="H38" s="2">
        <v>0.64159100000000002</v>
      </c>
      <c r="I38" s="2">
        <v>0.64324999999999999</v>
      </c>
      <c r="J38" s="2">
        <v>0.72507200000000005</v>
      </c>
      <c r="K38" s="2">
        <v>0.56298899999999996</v>
      </c>
      <c r="L38" s="2">
        <f>AVERAGE(D38:K38)</f>
        <v>0.657871125</v>
      </c>
      <c r="M38" s="2">
        <f xml:space="preserve"> _xlfn.STDEV.S(D38:K38) / SQRT(COUNT(D38:K38))</f>
        <v>2.3653073363758454E-2</v>
      </c>
      <c r="N38" s="2">
        <f>M38*$N$2</f>
        <v>2.6471552968851307E-2</v>
      </c>
    </row>
    <row r="39" spans="2:14" x14ac:dyDescent="0.55000000000000004">
      <c r="C39" s="2" t="s">
        <v>27</v>
      </c>
      <c r="D39" s="2">
        <v>3.408E-3</v>
      </c>
      <c r="E39" s="2">
        <v>1.155E-3</v>
      </c>
      <c r="F39" s="2">
        <v>3.7100000000000002E-4</v>
      </c>
      <c r="G39" s="2">
        <v>3.5560000000000001E-3</v>
      </c>
      <c r="H39" s="2">
        <v>4.6900000000000002E-4</v>
      </c>
      <c r="I39" s="2">
        <v>9.9099999999999991E-4</v>
      </c>
      <c r="J39" s="2">
        <v>1.8090000000000001E-3</v>
      </c>
      <c r="K39" s="2">
        <v>2.2699999999999999E-4</v>
      </c>
      <c r="L39" s="2">
        <f>(1/COUNT(D39:K39))*SQRT(SUMSQ(D39:K39))</f>
        <v>6.8758315406211058E-4</v>
      </c>
    </row>
    <row r="40" spans="2:14" x14ac:dyDescent="0.55000000000000004">
      <c r="C40" s="2" t="s">
        <v>28</v>
      </c>
      <c r="D40" s="2">
        <v>2.517182</v>
      </c>
      <c r="E40" s="2">
        <v>2.6556899999999999</v>
      </c>
      <c r="F40" s="2">
        <v>3.161486</v>
      </c>
      <c r="G40" s="2">
        <v>3.4783089999999999</v>
      </c>
      <c r="H40" s="2">
        <v>1.771482</v>
      </c>
      <c r="I40" s="2">
        <v>2.9570259999999999</v>
      </c>
      <c r="J40" s="2">
        <v>3.0429919999999999</v>
      </c>
      <c r="K40" s="2">
        <v>2.649054</v>
      </c>
      <c r="L40" s="2">
        <f>AVERAGE(D40:K40)</f>
        <v>2.779152625</v>
      </c>
      <c r="M40" s="2">
        <f xml:space="preserve"> _xlfn.STDEV.S(D40:K40) / SQRT(COUNT(D40:K40))</f>
        <v>0.18187741007366701</v>
      </c>
      <c r="N40" s="2">
        <f>M40*$N$2</f>
        <v>0.20354976372666753</v>
      </c>
    </row>
    <row r="41" spans="2:14" x14ac:dyDescent="0.55000000000000004">
      <c r="C41" s="2" t="s">
        <v>29</v>
      </c>
      <c r="D41" s="2">
        <v>5.4399000000000003E-2</v>
      </c>
      <c r="E41" s="2">
        <v>7.3299999999999997E-3</v>
      </c>
      <c r="F41" s="2">
        <v>3.9290000000000002E-3</v>
      </c>
      <c r="G41" s="2">
        <v>3.9232999999999997E-2</v>
      </c>
      <c r="H41" s="2">
        <v>4.0759999999999998E-3</v>
      </c>
      <c r="I41" s="2">
        <v>1.9817999999999999E-2</v>
      </c>
      <c r="J41" s="2">
        <v>1.6267E-2</v>
      </c>
      <c r="K41" s="2">
        <v>2.97E-3</v>
      </c>
      <c r="L41" s="2">
        <f>(1/COUNT(D41:K41))*SQRT(SUMSQ(D41:K41))</f>
        <v>9.0574973433614654E-3</v>
      </c>
    </row>
    <row r="42" spans="2:14" x14ac:dyDescent="0.55000000000000004">
      <c r="C42" s="2" t="s">
        <v>30</v>
      </c>
      <c r="D42" s="2">
        <v>16.170535999999998</v>
      </c>
      <c r="E42" s="2">
        <v>20.768498999999998</v>
      </c>
      <c r="F42" s="2">
        <v>21.623481000000002</v>
      </c>
      <c r="G42" s="2">
        <v>35.768329000000001</v>
      </c>
      <c r="H42" s="2">
        <v>12.732825</v>
      </c>
      <c r="I42" s="2">
        <v>17.767437999999999</v>
      </c>
      <c r="J42" s="2">
        <v>24.250406999999999</v>
      </c>
      <c r="K42" s="2">
        <v>27.828859999999999</v>
      </c>
      <c r="L42" s="2">
        <f>AVERAGE(D42:K42)</f>
        <v>22.113796875000002</v>
      </c>
      <c r="M42" s="2">
        <f xml:space="preserve"> _xlfn.STDEV.S(D42:K42) / SQRT(COUNT(D42:K42))</f>
        <v>2.5632685312671835</v>
      </c>
      <c r="N42" s="2">
        <f>M42*$N$2</f>
        <v>2.8687053752090947</v>
      </c>
    </row>
    <row r="43" spans="2:14" x14ac:dyDescent="0.55000000000000004">
      <c r="C43" s="2" t="s">
        <v>31</v>
      </c>
      <c r="D43" s="2">
        <v>0.11050500000000001</v>
      </c>
      <c r="E43" s="2">
        <v>8.6398000000000003E-2</v>
      </c>
      <c r="F43" s="2">
        <v>1.6225E-2</v>
      </c>
      <c r="G43" s="2">
        <v>0.136597</v>
      </c>
      <c r="H43" s="2">
        <v>3.5487999999999999E-2</v>
      </c>
      <c r="I43" s="2">
        <v>6.4875000000000002E-2</v>
      </c>
      <c r="J43" s="2">
        <v>8.9457999999999996E-2</v>
      </c>
      <c r="K43" s="2">
        <v>0.18054300000000001</v>
      </c>
      <c r="L43" s="2">
        <f>(1/COUNT(D43:K43))*SQRT(SUMSQ(D43:K43))</f>
        <v>3.6371484547693747E-2</v>
      </c>
    </row>
    <row r="44" spans="2:14" x14ac:dyDescent="0.55000000000000004">
      <c r="B44" s="2" t="s">
        <v>35</v>
      </c>
      <c r="C44" s="2" t="s">
        <v>22</v>
      </c>
      <c r="D44" s="2">
        <v>0.95020800000000005</v>
      </c>
      <c r="E44" s="2">
        <v>0.94140599999999997</v>
      </c>
      <c r="F44" s="2">
        <v>0.933639</v>
      </c>
      <c r="G44" s="2">
        <v>0.92539099999999996</v>
      </c>
      <c r="H44" s="2">
        <v>0.95197600000000004</v>
      </c>
      <c r="I44" s="2">
        <v>0.93670299999999995</v>
      </c>
      <c r="J44" s="2">
        <v>0.950264</v>
      </c>
      <c r="K44" s="2">
        <v>0.93255600000000005</v>
      </c>
      <c r="L44" s="2">
        <f>AVERAGE(D44:K44)</f>
        <v>0.94026787499999986</v>
      </c>
      <c r="M44" s="2">
        <f xml:space="preserve"> _xlfn.STDEV.S(D44:K44) / SQRT(COUNT(D44:K44))</f>
        <v>3.4706649807323942E-3</v>
      </c>
      <c r="N44" s="2">
        <f>M44*$N$2</f>
        <v>3.8842263946707763E-3</v>
      </c>
    </row>
    <row r="45" spans="2:14" x14ac:dyDescent="0.55000000000000004">
      <c r="C45" s="2" t="s">
        <v>23</v>
      </c>
      <c r="D45" s="2">
        <v>1.74E-4</v>
      </c>
      <c r="E45" s="2">
        <v>5.5800000000000001E-4</v>
      </c>
      <c r="F45" s="2">
        <v>2.72E-4</v>
      </c>
      <c r="G45" s="2">
        <v>3.7100000000000002E-4</v>
      </c>
      <c r="H45" s="2">
        <v>1.6100000000000001E-4</v>
      </c>
      <c r="I45" s="2">
        <v>3.2200000000000002E-4</v>
      </c>
      <c r="J45" s="2">
        <v>4.4099999999999999E-4</v>
      </c>
      <c r="K45" s="2">
        <v>1.05E-4</v>
      </c>
      <c r="L45" s="2">
        <f>(1/COUNT(D45:K45))*SQRT(SUMSQ(D45:K45))</f>
        <v>1.1781712524077305E-4</v>
      </c>
    </row>
    <row r="46" spans="2:14" x14ac:dyDescent="0.55000000000000004">
      <c r="C46" s="2" t="s">
        <v>24</v>
      </c>
      <c r="D46" s="2">
        <v>0.30746400000000002</v>
      </c>
      <c r="E46" s="2">
        <v>0.33128600000000002</v>
      </c>
      <c r="F46" s="2">
        <v>0.356846</v>
      </c>
      <c r="G46" s="2">
        <v>0.37884200000000001</v>
      </c>
      <c r="H46" s="2">
        <v>0.30482999999999999</v>
      </c>
      <c r="I46" s="2">
        <v>0.35039399999999998</v>
      </c>
      <c r="J46" s="2">
        <v>0.30623499999999998</v>
      </c>
      <c r="K46" s="2">
        <v>0.35989900000000002</v>
      </c>
      <c r="L46" s="2">
        <f>AVERAGE(D46:K46)</f>
        <v>0.33697450000000001</v>
      </c>
      <c r="M46" s="2">
        <f xml:space="preserve"> _xlfn.STDEV.S(D46:K46) / SQRT(COUNT(D46:K46))</f>
        <v>1.0119636261814384E-2</v>
      </c>
      <c r="N46" s="2">
        <f>M46*$N$2</f>
        <v>1.1325483298106238E-2</v>
      </c>
    </row>
    <row r="47" spans="2:14" x14ac:dyDescent="0.55000000000000004">
      <c r="C47" s="2" t="s">
        <v>25</v>
      </c>
      <c r="D47" s="2">
        <v>4.8700000000000002E-4</v>
      </c>
      <c r="E47" s="2">
        <v>1.4909999999999999E-3</v>
      </c>
      <c r="F47" s="2">
        <v>6.4400000000000004E-4</v>
      </c>
      <c r="G47" s="2">
        <v>8.8000000000000003E-4</v>
      </c>
      <c r="H47" s="2">
        <v>4.7600000000000002E-4</v>
      </c>
      <c r="I47" s="2">
        <v>8.6499999999999999E-4</v>
      </c>
      <c r="J47" s="2">
        <v>1.235E-3</v>
      </c>
      <c r="K47" s="2">
        <v>2.7099999999999997E-4</v>
      </c>
      <c r="L47" s="2">
        <f>(1/COUNT(D47:K47))*SQRT(SUMSQ(D47:K47))</f>
        <v>3.1182058643553347E-4</v>
      </c>
    </row>
    <row r="48" spans="2:14" x14ac:dyDescent="0.55000000000000004">
      <c r="C48" s="2" t="s">
        <v>26</v>
      </c>
      <c r="D48" s="2">
        <v>0.64367600000000003</v>
      </c>
      <c r="E48" s="2">
        <v>0.75112699999999999</v>
      </c>
      <c r="F48" s="2">
        <v>0.59487100000000004</v>
      </c>
      <c r="G48" s="2">
        <v>0.70471799999999996</v>
      </c>
      <c r="H48" s="2">
        <v>0.64312000000000002</v>
      </c>
      <c r="I48" s="2">
        <v>0.63726499999999997</v>
      </c>
      <c r="J48" s="2">
        <v>0.71204299999999998</v>
      </c>
      <c r="K48" s="2">
        <v>0.56201199999999996</v>
      </c>
      <c r="L48" s="2">
        <f>AVERAGE(D48:K48)</f>
        <v>0.65610399999999991</v>
      </c>
      <c r="M48" s="2">
        <f xml:space="preserve"> _xlfn.STDEV.S(D48:K48) / SQRT(COUNT(D48:K48))</f>
        <v>2.2281717104901427E-2</v>
      </c>
      <c r="N48" s="2">
        <f>M48*$N$2</f>
        <v>2.4936787093515975E-2</v>
      </c>
    </row>
    <row r="49" spans="2:14" x14ac:dyDescent="0.55000000000000004">
      <c r="C49" s="2" t="s">
        <v>27</v>
      </c>
      <c r="D49" s="2">
        <v>4.9799999999999996E-4</v>
      </c>
      <c r="E49" s="2">
        <v>1.054E-3</v>
      </c>
      <c r="F49" s="2">
        <v>2.7799999999999998E-4</v>
      </c>
      <c r="G49" s="2">
        <v>1.073E-3</v>
      </c>
      <c r="H49" s="2">
        <v>3.7399999999999998E-4</v>
      </c>
      <c r="I49" s="2">
        <v>7.0399999999999998E-4</v>
      </c>
      <c r="J49" s="2">
        <v>9.4300000000000004E-4</v>
      </c>
      <c r="K49" s="2">
        <v>2.1499999999999999E-4</v>
      </c>
      <c r="L49" s="2">
        <f>(1/COUNT(D49:K49))*SQRT(SUMSQ(D49:K49))</f>
        <v>2.5490497616759069E-4</v>
      </c>
    </row>
    <row r="50" spans="2:14" x14ac:dyDescent="0.55000000000000004">
      <c r="C50" s="2" t="s">
        <v>28</v>
      </c>
      <c r="D50" s="2">
        <v>2.3881290000000002</v>
      </c>
      <c r="E50" s="2">
        <v>2.6816840000000002</v>
      </c>
      <c r="F50" s="2">
        <v>3.1519729999999999</v>
      </c>
      <c r="G50" s="2">
        <v>3.320319</v>
      </c>
      <c r="H50" s="2">
        <v>1.7578419999999999</v>
      </c>
      <c r="I50" s="2">
        <v>2.9517579999999999</v>
      </c>
      <c r="J50" s="2">
        <v>3.0399609999999999</v>
      </c>
      <c r="K50" s="2">
        <v>2.6622439999999998</v>
      </c>
      <c r="L50" s="2">
        <f>AVERAGE(D50:K50)</f>
        <v>2.7442387500000001</v>
      </c>
      <c r="M50" s="2">
        <f xml:space="preserve"> _xlfn.STDEV.S(D50:K50) / SQRT(COUNT(D50:K50))</f>
        <v>0.17622330089363347</v>
      </c>
      <c r="N50" s="2">
        <f>M50*$N$2</f>
        <v>0.19722191582508122</v>
      </c>
    </row>
    <row r="51" spans="2:14" x14ac:dyDescent="0.55000000000000004">
      <c r="C51" s="2" t="s">
        <v>29</v>
      </c>
      <c r="D51" s="2">
        <v>1.0125E-2</v>
      </c>
      <c r="E51" s="2">
        <v>8.6750000000000004E-3</v>
      </c>
      <c r="F51" s="2">
        <v>2.6830000000000001E-3</v>
      </c>
      <c r="G51" s="2">
        <v>1.1013E-2</v>
      </c>
      <c r="H51" s="2">
        <v>3.4399999999999999E-3</v>
      </c>
      <c r="I51" s="2">
        <v>1.315E-2</v>
      </c>
      <c r="J51" s="2">
        <v>9.0349999999999996E-3</v>
      </c>
      <c r="K51" s="2">
        <v>3.039E-3</v>
      </c>
      <c r="L51" s="2">
        <f>(1/COUNT(D51:K51))*SQRT(SUMSQ(D51:K51))</f>
        <v>3.0152703910677728E-3</v>
      </c>
    </row>
    <row r="52" spans="2:14" x14ac:dyDescent="0.55000000000000004">
      <c r="C52" s="2" t="s">
        <v>30</v>
      </c>
      <c r="D52" s="2">
        <v>15.844668</v>
      </c>
      <c r="E52" s="2">
        <v>19.940011999999999</v>
      </c>
      <c r="F52" s="2">
        <v>21.645686000000001</v>
      </c>
      <c r="G52" s="2">
        <v>33.584646999999997</v>
      </c>
      <c r="H52" s="2">
        <v>12.657304</v>
      </c>
      <c r="I52" s="2">
        <v>17.54157</v>
      </c>
      <c r="J52" s="2">
        <v>23.215520999999999</v>
      </c>
      <c r="K52" s="2">
        <v>31.196769</v>
      </c>
      <c r="L52" s="2">
        <f>AVERAGE(D52:K52)</f>
        <v>21.953272124999998</v>
      </c>
      <c r="M52" s="2">
        <f xml:space="preserve"> _xlfn.STDEV.S(D52:K52) / SQRT(COUNT(D52:K52))</f>
        <v>2.5692737895424704</v>
      </c>
      <c r="N52" s="2">
        <f>M52*$N$2</f>
        <v>2.8754262148260499</v>
      </c>
    </row>
    <row r="53" spans="2:14" x14ac:dyDescent="0.55000000000000004">
      <c r="C53" s="2" t="s">
        <v>31</v>
      </c>
      <c r="D53" s="2">
        <v>2.6331E-2</v>
      </c>
      <c r="E53" s="2">
        <v>6.4892000000000005E-2</v>
      </c>
      <c r="F53" s="2">
        <v>3.5790000000000001E-3</v>
      </c>
      <c r="G53" s="2">
        <v>9.5713999999999994E-2</v>
      </c>
      <c r="H53" s="2">
        <v>2.6995000000000002E-2</v>
      </c>
      <c r="I53" s="2">
        <v>2.9891999999999998E-2</v>
      </c>
      <c r="J53" s="2">
        <v>6.4417000000000002E-2</v>
      </c>
      <c r="K53" s="2">
        <v>0.24277699999999999</v>
      </c>
      <c r="L53" s="2">
        <f>(1/COUNT(D53:K53))*SQRT(SUMSQ(D53:K53))</f>
        <v>3.5087113813558744E-2</v>
      </c>
    </row>
    <row r="54" spans="2:14" x14ac:dyDescent="0.55000000000000004">
      <c r="B54" s="2" t="s">
        <v>45</v>
      </c>
      <c r="C54" s="2" t="s">
        <v>22</v>
      </c>
      <c r="D54" s="2">
        <v>0.95823499999999995</v>
      </c>
      <c r="E54" s="2">
        <v>0.95190600000000003</v>
      </c>
      <c r="F54" s="2">
        <v>0.936303</v>
      </c>
      <c r="G54" s="2">
        <v>0.95245000000000002</v>
      </c>
      <c r="H54" s="2">
        <v>0.95646699999999996</v>
      </c>
      <c r="I54" s="2">
        <v>0.94101599999999996</v>
      </c>
      <c r="J54" s="2">
        <v>0.96245800000000004</v>
      </c>
      <c r="K54" s="2">
        <v>0.93788899999999997</v>
      </c>
      <c r="L54" s="2">
        <f>AVERAGE(D54:K54)</f>
        <v>0.9495905</v>
      </c>
      <c r="M54" s="2">
        <f xml:space="preserve"> _xlfn.STDEV.S(D54:K54) / SQRT(COUNT(D54:K54))</f>
        <v>3.5054276231907271E-3</v>
      </c>
      <c r="N54" s="2">
        <f>M54*$N$2</f>
        <v>3.9231313233039824E-3</v>
      </c>
    </row>
    <row r="55" spans="2:14" x14ac:dyDescent="0.55000000000000004">
      <c r="C55" s="2" t="s">
        <v>23</v>
      </c>
      <c r="D55" s="2">
        <v>4.9799999999999996E-4</v>
      </c>
      <c r="E55" s="2">
        <v>7.9500000000000003E-4</v>
      </c>
      <c r="F55" s="2">
        <v>8.6499999999999999E-4</v>
      </c>
      <c r="G55" s="2">
        <v>7.7200000000000001E-4</v>
      </c>
      <c r="H55" s="2">
        <v>4.86E-4</v>
      </c>
      <c r="I55" s="2">
        <v>4.8200000000000001E-4</v>
      </c>
      <c r="J55" s="2">
        <v>5.1000000000000004E-4</v>
      </c>
      <c r="K55" s="2">
        <v>2.4399999999999999E-4</v>
      </c>
      <c r="L55" s="2">
        <f>(1/COUNT(D55:K55))*SQRT(SUMSQ(D55:K55))</f>
        <v>2.1695311993608207E-4</v>
      </c>
    </row>
    <row r="56" spans="2:14" x14ac:dyDescent="0.55000000000000004">
      <c r="C56" s="2" t="s">
        <v>24</v>
      </c>
      <c r="D56" s="2">
        <v>0.28447600000000001</v>
      </c>
      <c r="E56" s="2">
        <v>0.30147400000000002</v>
      </c>
      <c r="F56" s="2">
        <v>0.35053899999999999</v>
      </c>
      <c r="G56" s="2">
        <v>0.30395299999999997</v>
      </c>
      <c r="H56" s="2">
        <v>0.29108600000000001</v>
      </c>
      <c r="I56" s="2">
        <v>0.33857199999999998</v>
      </c>
      <c r="J56" s="2">
        <v>0.26867200000000002</v>
      </c>
      <c r="K56" s="2">
        <v>0.34504499999999999</v>
      </c>
      <c r="L56" s="2">
        <f>AVERAGE(D56:K56)</f>
        <v>0.31047712499999996</v>
      </c>
      <c r="M56" s="2">
        <f xml:space="preserve"> _xlfn.STDEV.S(D56:K56) / SQRT(COUNT(D56:K56))</f>
        <v>1.078406312977875E-2</v>
      </c>
      <c r="N56" s="2">
        <f>M56*$N$2</f>
        <v>1.206908269251711E-2</v>
      </c>
    </row>
    <row r="57" spans="2:14" x14ac:dyDescent="0.55000000000000004">
      <c r="C57" s="2" t="s">
        <v>25</v>
      </c>
      <c r="D57" s="2">
        <v>1.671E-3</v>
      </c>
      <c r="E57" s="2">
        <v>2.2620000000000001E-3</v>
      </c>
      <c r="F57" s="2">
        <v>2.2469999999999999E-3</v>
      </c>
      <c r="G57" s="2">
        <v>2.274E-3</v>
      </c>
      <c r="H57" s="2">
        <v>1.5610000000000001E-3</v>
      </c>
      <c r="I57" s="2">
        <v>1.4040000000000001E-3</v>
      </c>
      <c r="J57" s="2">
        <v>1.3439999999999999E-3</v>
      </c>
      <c r="K57" s="2">
        <v>7.3399999999999995E-4</v>
      </c>
      <c r="L57" s="2">
        <f>(1/COUNT(D57:K57))*SQRT(SUMSQ(D57:K57))</f>
        <v>6.235232428506574E-4</v>
      </c>
    </row>
    <row r="58" spans="2:14" x14ac:dyDescent="0.55000000000000004">
      <c r="C58" s="2" t="s">
        <v>26</v>
      </c>
      <c r="D58" s="2">
        <v>0.66345200000000004</v>
      </c>
      <c r="E58" s="2">
        <v>0.77055700000000005</v>
      </c>
      <c r="F58" s="2">
        <v>0.59776499999999999</v>
      </c>
      <c r="G58" s="2">
        <v>0.75644999999999996</v>
      </c>
      <c r="H58" s="2">
        <v>0.65603299999999998</v>
      </c>
      <c r="I58" s="2">
        <v>0.64644199999999996</v>
      </c>
      <c r="J58" s="2">
        <v>0.74003099999999999</v>
      </c>
      <c r="K58" s="2">
        <v>0.57215000000000005</v>
      </c>
      <c r="L58" s="2">
        <f>AVERAGE(D58:K58)</f>
        <v>0.67535999999999996</v>
      </c>
      <c r="M58" s="2">
        <f xml:space="preserve"> _xlfn.STDEV.S(D58:K58) / SQRT(COUNT(D58:K58))</f>
        <v>2.5996314090380623E-2</v>
      </c>
      <c r="N58" s="2">
        <f>M58*$N$2</f>
        <v>2.9094012217998622E-2</v>
      </c>
    </row>
    <row r="59" spans="2:14" x14ac:dyDescent="0.55000000000000004">
      <c r="C59" s="2" t="s">
        <v>27</v>
      </c>
      <c r="D59" s="2">
        <v>1.542E-3</v>
      </c>
      <c r="E59" s="2">
        <v>1.5679999999999999E-3</v>
      </c>
      <c r="F59" s="2">
        <v>4.2999999999999999E-4</v>
      </c>
      <c r="G59" s="2">
        <v>2.0960000000000002E-3</v>
      </c>
      <c r="H59" s="2">
        <v>1.2819999999999999E-3</v>
      </c>
      <c r="I59" s="2">
        <v>1.0579999999999999E-3</v>
      </c>
      <c r="J59" s="2">
        <v>1.1130000000000001E-3</v>
      </c>
      <c r="K59" s="2">
        <v>6.9200000000000002E-4</v>
      </c>
      <c r="L59" s="2">
        <f>(1/COUNT(D59:K59))*SQRT(SUMSQ(D59:K59))</f>
        <v>4.6595038966074488E-4</v>
      </c>
    </row>
    <row r="60" spans="2:14" x14ac:dyDescent="0.55000000000000004">
      <c r="C60" s="2" t="s">
        <v>28</v>
      </c>
      <c r="D60" s="2">
        <v>2.0624560000000001</v>
      </c>
      <c r="E60" s="2">
        <v>2.451908</v>
      </c>
      <c r="F60" s="2">
        <v>3.093108</v>
      </c>
      <c r="G60" s="2">
        <v>2.7756500000000002</v>
      </c>
      <c r="H60" s="2">
        <v>1.6322859999999999</v>
      </c>
      <c r="I60" s="2">
        <v>3.0349210000000002</v>
      </c>
      <c r="J60" s="2">
        <v>2.738874</v>
      </c>
      <c r="K60" s="2">
        <v>2.5117129999999999</v>
      </c>
      <c r="L60" s="2">
        <f>AVERAGE(D60:K60)</f>
        <v>2.5376145000000001</v>
      </c>
      <c r="M60" s="2">
        <f xml:space="preserve"> _xlfn.STDEV.S(D60:K60) / SQRT(COUNT(D60:K60))</f>
        <v>0.17456399020968916</v>
      </c>
      <c r="N60" s="2">
        <f>M60*$N$2</f>
        <v>0.19536488312635739</v>
      </c>
    </row>
    <row r="61" spans="2:14" x14ac:dyDescent="0.55000000000000004">
      <c r="C61" s="2" t="s">
        <v>29</v>
      </c>
      <c r="D61" s="2">
        <v>1.7364999999999998E-2</v>
      </c>
      <c r="E61" s="2">
        <v>1.0684000000000001E-2</v>
      </c>
      <c r="F61" s="2">
        <v>6.5680000000000001E-3</v>
      </c>
      <c r="G61" s="2">
        <v>1.9900000000000001E-2</v>
      </c>
      <c r="H61" s="2">
        <v>9.0629999999999999E-3</v>
      </c>
      <c r="I61" s="2">
        <v>1.6601999999999999E-2</v>
      </c>
      <c r="J61" s="2">
        <v>1.0815999999999999E-2</v>
      </c>
      <c r="K61" s="2">
        <v>1.0892000000000001E-2</v>
      </c>
      <c r="L61" s="2">
        <f>(1/COUNT(D61:K61))*SQRT(SUMSQ(D61:K61))</f>
        <v>4.7569449196674541E-3</v>
      </c>
    </row>
    <row r="62" spans="2:14" x14ac:dyDescent="0.55000000000000004">
      <c r="C62" s="2" t="s">
        <v>30</v>
      </c>
      <c r="D62" s="2">
        <v>15.063510000000001</v>
      </c>
      <c r="E62" s="2">
        <v>18.949164</v>
      </c>
      <c r="F62" s="2">
        <v>21.572241000000002</v>
      </c>
      <c r="G62" s="2">
        <v>29.589227999999999</v>
      </c>
      <c r="H62" s="2">
        <v>12.027479</v>
      </c>
      <c r="I62" s="2">
        <v>18.833779</v>
      </c>
      <c r="J62" s="2">
        <v>21.967701999999999</v>
      </c>
      <c r="K62" s="2">
        <v>27.629059000000002</v>
      </c>
      <c r="L62" s="2">
        <f>AVERAGE(D62:K62)</f>
        <v>20.704020250000003</v>
      </c>
      <c r="M62" s="2">
        <f xml:space="preserve"> _xlfn.STDEV.S(D62:K62) / SQRT(COUNT(D62:K62))</f>
        <v>2.0827901273649827</v>
      </c>
      <c r="N62" s="2">
        <f>M62*$N$2</f>
        <v>2.3309735835014482</v>
      </c>
    </row>
    <row r="63" spans="2:14" x14ac:dyDescent="0.55000000000000004">
      <c r="C63" s="2" t="s">
        <v>31</v>
      </c>
      <c r="D63" s="2">
        <v>3.6138999999999998E-2</v>
      </c>
      <c r="E63" s="2">
        <v>3.8048999999999999E-2</v>
      </c>
      <c r="F63" s="2">
        <v>9.9249000000000004E-2</v>
      </c>
      <c r="G63" s="2">
        <v>0.12814900000000001</v>
      </c>
      <c r="H63" s="2">
        <v>2.8129999999999999E-2</v>
      </c>
      <c r="I63" s="2">
        <v>3.0665999999999999E-2</v>
      </c>
      <c r="J63" s="2">
        <v>6.5765000000000004E-2</v>
      </c>
      <c r="K63" s="2">
        <v>0.99481399999999998</v>
      </c>
      <c r="L63" s="2">
        <f>(1/COUNT(D63:K63))*SQRT(SUMSQ(D63:K63))</f>
        <v>0.12653667416757336</v>
      </c>
    </row>
    <row r="64" spans="2:14" x14ac:dyDescent="0.55000000000000004">
      <c r="B64" s="2" t="s">
        <v>46</v>
      </c>
      <c r="C64" s="2" t="s">
        <v>22</v>
      </c>
      <c r="L64" s="2" t="e">
        <f>AVERAGE(D64:K64)</f>
        <v>#DIV/0!</v>
      </c>
      <c r="M64" s="2" t="e">
        <f xml:space="preserve"> _xlfn.STDEV.S(D64:K64) / SQRT(COUNT(D64:K64))</f>
        <v>#DIV/0!</v>
      </c>
      <c r="N64" s="2" t="e">
        <f>M64*$N$2</f>
        <v>#DIV/0!</v>
      </c>
    </row>
    <row r="65" spans="2:14" x14ac:dyDescent="0.55000000000000004">
      <c r="C65" s="2" t="s">
        <v>23</v>
      </c>
      <c r="L65" s="2" t="e">
        <f>(1/COUNT(D65:K65))*SQRT(SUMSQ(D65:K65))</f>
        <v>#DIV/0!</v>
      </c>
    </row>
    <row r="66" spans="2:14" x14ac:dyDescent="0.55000000000000004">
      <c r="C66" s="2" t="s">
        <v>24</v>
      </c>
      <c r="L66" s="2" t="e">
        <f>AVERAGE(D66:K66)</f>
        <v>#DIV/0!</v>
      </c>
      <c r="M66" s="2" t="e">
        <f xml:space="preserve"> _xlfn.STDEV.S(D66:K66) / SQRT(COUNT(D66:K66))</f>
        <v>#DIV/0!</v>
      </c>
      <c r="N66" s="2" t="e">
        <f>M66*$N$2</f>
        <v>#DIV/0!</v>
      </c>
    </row>
    <row r="67" spans="2:14" x14ac:dyDescent="0.55000000000000004">
      <c r="C67" s="2" t="s">
        <v>25</v>
      </c>
      <c r="L67" s="2" t="e">
        <f>(1/COUNT(D67:K67))*SQRT(SUMSQ(D67:K67))</f>
        <v>#DIV/0!</v>
      </c>
    </row>
    <row r="68" spans="2:14" x14ac:dyDescent="0.55000000000000004">
      <c r="C68" s="2" t="s">
        <v>26</v>
      </c>
      <c r="L68" s="2" t="e">
        <f>AVERAGE(D68:K68)</f>
        <v>#DIV/0!</v>
      </c>
      <c r="M68" s="2" t="e">
        <f xml:space="preserve"> _xlfn.STDEV.S(D68:K68) / SQRT(COUNT(D68:K68))</f>
        <v>#DIV/0!</v>
      </c>
      <c r="N68" s="2" t="e">
        <f>M68*$N$2</f>
        <v>#DIV/0!</v>
      </c>
    </row>
    <row r="69" spans="2:14" x14ac:dyDescent="0.55000000000000004">
      <c r="C69" s="2" t="s">
        <v>27</v>
      </c>
      <c r="L69" s="2" t="e">
        <f>(1/COUNT(D69:K69))*SQRT(SUMSQ(D69:K69))</f>
        <v>#DIV/0!</v>
      </c>
    </row>
    <row r="70" spans="2:14" x14ac:dyDescent="0.55000000000000004">
      <c r="C70" s="2" t="s">
        <v>28</v>
      </c>
      <c r="L70" s="2" t="e">
        <f>AVERAGE(D70:K70)</f>
        <v>#DIV/0!</v>
      </c>
      <c r="M70" s="2" t="e">
        <f xml:space="preserve"> _xlfn.STDEV.S(D70:K70) / SQRT(COUNT(D70:K70))</f>
        <v>#DIV/0!</v>
      </c>
      <c r="N70" s="2" t="e">
        <f>M70*$N$2</f>
        <v>#DIV/0!</v>
      </c>
    </row>
    <row r="71" spans="2:14" x14ac:dyDescent="0.55000000000000004">
      <c r="C71" s="2" t="s">
        <v>29</v>
      </c>
      <c r="L71" s="2" t="e">
        <f>(1/COUNT(D71:K71))*SQRT(SUMSQ(D71:K71))</f>
        <v>#DIV/0!</v>
      </c>
    </row>
    <row r="72" spans="2:14" x14ac:dyDescent="0.55000000000000004">
      <c r="C72" s="2" t="s">
        <v>30</v>
      </c>
      <c r="L72" s="2" t="e">
        <f>AVERAGE(D72:K72)</f>
        <v>#DIV/0!</v>
      </c>
      <c r="M72" s="2" t="e">
        <f xml:space="preserve"> _xlfn.STDEV.S(D72:K72) / SQRT(COUNT(D72:K72))</f>
        <v>#DIV/0!</v>
      </c>
      <c r="N72" s="2" t="e">
        <f>M72*$N$2</f>
        <v>#DIV/0!</v>
      </c>
    </row>
    <row r="73" spans="2:14" x14ac:dyDescent="0.55000000000000004">
      <c r="C73" s="2" t="s">
        <v>31</v>
      </c>
      <c r="L73" s="2" t="e">
        <f>(1/COUNT(D73:K73))*SQRT(SUMSQ(D73:K73))</f>
        <v>#DIV/0!</v>
      </c>
    </row>
    <row r="74" spans="2:14" x14ac:dyDescent="0.55000000000000004">
      <c r="B74" s="2" t="s">
        <v>36</v>
      </c>
      <c r="C74" s="2" t="s">
        <v>22</v>
      </c>
      <c r="D74" s="2">
        <v>0.95978399999999997</v>
      </c>
      <c r="E74" s="2">
        <v>0.95509599999999995</v>
      </c>
      <c r="F74" s="2">
        <v>0.93795399999999995</v>
      </c>
      <c r="G74" s="2">
        <v>0.95348900000000003</v>
      </c>
      <c r="H74" s="2">
        <v>0.95805099999999999</v>
      </c>
      <c r="I74" s="2">
        <v>0.943909</v>
      </c>
      <c r="J74" s="2">
        <v>0.96419299999999997</v>
      </c>
      <c r="K74" s="2">
        <v>0.93727899999999997</v>
      </c>
      <c r="L74" s="2">
        <f>AVERAGE(D74:K74)</f>
        <v>0.95121937499999998</v>
      </c>
      <c r="M74" s="2">
        <f xml:space="preserve"> _xlfn.STDEV.S(D74:K74) / SQRT(COUNT(D74:K74))</f>
        <v>3.6160951657510146E-3</v>
      </c>
      <c r="N74" s="2">
        <f>M74*$N$2</f>
        <v>4.0469859137736474E-3</v>
      </c>
    </row>
    <row r="75" spans="2:14" x14ac:dyDescent="0.55000000000000004">
      <c r="C75" s="2" t="s">
        <v>24</v>
      </c>
      <c r="D75" s="2">
        <v>0.27945799999999998</v>
      </c>
      <c r="E75" s="2">
        <v>0.29219899999999999</v>
      </c>
      <c r="F75" s="2">
        <v>0.34633999999999998</v>
      </c>
      <c r="G75" s="2">
        <v>0.30100700000000002</v>
      </c>
      <c r="H75" s="2">
        <v>0.28577799999999998</v>
      </c>
      <c r="I75" s="2">
        <v>0.33060200000000001</v>
      </c>
      <c r="J75" s="2">
        <v>0.263046</v>
      </c>
      <c r="K75" s="2">
        <v>0.34661500000000001</v>
      </c>
      <c r="L75" s="2">
        <f t="shared" ref="L75:L83" si="0">AVERAGE(D75:K75)</f>
        <v>0.30563062499999999</v>
      </c>
      <c r="M75" s="2">
        <f t="shared" ref="M75:M88" si="1" xml:space="preserve"> _xlfn.STDEV.S(D75:K75) / SQRT(COUNT(D75:K75))</f>
        <v>1.1224106343582707E-2</v>
      </c>
      <c r="N75" s="2">
        <f t="shared" ref="N75:N88" si="2">M75*$N$2</f>
        <v>1.2561561072119278E-2</v>
      </c>
    </row>
    <row r="76" spans="2:14" x14ac:dyDescent="0.55000000000000004">
      <c r="C76" s="2" t="s">
        <v>26</v>
      </c>
      <c r="D76" s="2">
        <v>0.66831499999999999</v>
      </c>
      <c r="E76" s="2">
        <v>0.77675899999999998</v>
      </c>
      <c r="F76" s="2">
        <v>0.59884800000000005</v>
      </c>
      <c r="G76" s="2">
        <v>0.75884600000000002</v>
      </c>
      <c r="H76" s="2">
        <v>0.66012099999999996</v>
      </c>
      <c r="I76" s="2">
        <v>0.65335100000000002</v>
      </c>
      <c r="J76" s="2">
        <v>0.74399899999999997</v>
      </c>
      <c r="K76" s="2">
        <v>0.57125599999999999</v>
      </c>
      <c r="L76" s="2">
        <f t="shared" si="0"/>
        <v>0.678936875</v>
      </c>
      <c r="M76" s="2">
        <f t="shared" si="1"/>
        <v>2.64975112129405E-2</v>
      </c>
      <c r="N76" s="2">
        <f t="shared" si="2"/>
        <v>2.9654931552819959E-2</v>
      </c>
    </row>
    <row r="77" spans="2:14" x14ac:dyDescent="0.55000000000000004">
      <c r="C77" s="2" t="s">
        <v>28</v>
      </c>
      <c r="D77" s="2">
        <v>2.0083389999999999</v>
      </c>
      <c r="E77" s="2">
        <v>2.4117549999999999</v>
      </c>
      <c r="F77" s="2">
        <v>3.0639219999999998</v>
      </c>
      <c r="G77" s="2">
        <v>2.747814</v>
      </c>
      <c r="H77" s="2">
        <v>1.603135</v>
      </c>
      <c r="I77" s="2">
        <v>2.9150239999999998</v>
      </c>
      <c r="J77" s="2">
        <v>2.7015220000000002</v>
      </c>
      <c r="K77" s="2">
        <v>2.5158960000000001</v>
      </c>
      <c r="L77" s="2">
        <f t="shared" si="0"/>
        <v>2.4959258750000002</v>
      </c>
      <c r="M77" s="2">
        <f t="shared" si="1"/>
        <v>0.17145804775152845</v>
      </c>
      <c r="N77" s="2">
        <f t="shared" si="2"/>
        <v>0.1918888392721417</v>
      </c>
    </row>
    <row r="78" spans="2:14" x14ac:dyDescent="0.55000000000000004">
      <c r="C78" s="2" t="s">
        <v>30</v>
      </c>
      <c r="D78" s="2">
        <v>14.978446</v>
      </c>
      <c r="E78" s="2">
        <v>18.701727000000002</v>
      </c>
      <c r="F78" s="2">
        <v>21.479704000000002</v>
      </c>
      <c r="G78" s="2">
        <v>29.182352000000002</v>
      </c>
      <c r="H78" s="2">
        <v>11.911569999999999</v>
      </c>
      <c r="I78" s="2">
        <v>18.868285</v>
      </c>
      <c r="J78" s="2">
        <v>21.906796</v>
      </c>
      <c r="K78" s="2">
        <v>27.708729000000002</v>
      </c>
      <c r="L78" s="2">
        <f t="shared" si="0"/>
        <v>20.592201125000003</v>
      </c>
      <c r="M78" s="2">
        <f t="shared" si="1"/>
        <v>2.0717697086778948</v>
      </c>
      <c r="N78" s="2">
        <f t="shared" si="2"/>
        <v>2.3186399813294298</v>
      </c>
    </row>
    <row r="79" spans="2:14" x14ac:dyDescent="0.55000000000000004">
      <c r="B79" s="2" t="s">
        <v>37</v>
      </c>
      <c r="C79" s="2" t="s">
        <v>22</v>
      </c>
      <c r="D79" s="2">
        <v>0.95540000000000003</v>
      </c>
      <c r="E79" s="2">
        <v>0.94985799999999998</v>
      </c>
      <c r="F79" s="2">
        <v>0.93754700000000002</v>
      </c>
      <c r="G79" s="2">
        <v>0.93193499999999996</v>
      </c>
      <c r="H79" s="2">
        <v>0.95451799999999998</v>
      </c>
      <c r="I79" s="2">
        <v>0.94260500000000003</v>
      </c>
      <c r="J79" s="2">
        <v>0.95852099999999996</v>
      </c>
      <c r="K79" s="2">
        <v>0.93273899999999998</v>
      </c>
      <c r="L79" s="2">
        <f t="shared" si="0"/>
        <v>0.94539037500000001</v>
      </c>
      <c r="M79" s="2">
        <f t="shared" si="1"/>
        <v>3.7470473325077669E-3</v>
      </c>
      <c r="N79" s="2">
        <f t="shared" si="2"/>
        <v>4.1935422265781666E-3</v>
      </c>
    </row>
    <row r="80" spans="2:14" x14ac:dyDescent="0.55000000000000004">
      <c r="C80" s="2" t="s">
        <v>24</v>
      </c>
      <c r="D80" s="2">
        <v>0.29426000000000002</v>
      </c>
      <c r="E80" s="2">
        <v>0.30874800000000002</v>
      </c>
      <c r="F80" s="2">
        <v>0.34739700000000001</v>
      </c>
      <c r="G80" s="2">
        <v>0.36310799999999999</v>
      </c>
      <c r="H80" s="2">
        <v>0.29713400000000001</v>
      </c>
      <c r="I80" s="2">
        <v>0.33437600000000001</v>
      </c>
      <c r="J80" s="2">
        <v>0.28221600000000002</v>
      </c>
      <c r="K80" s="2">
        <v>0.35894799999999999</v>
      </c>
      <c r="L80" s="2">
        <f t="shared" si="0"/>
        <v>0.32327337499999997</v>
      </c>
      <c r="M80" s="2">
        <f t="shared" si="1"/>
        <v>1.1169498644167223E-2</v>
      </c>
      <c r="N80" s="2">
        <f t="shared" si="2"/>
        <v>1.2500446366839627E-2</v>
      </c>
    </row>
    <row r="81" spans="1:14" x14ac:dyDescent="0.55000000000000004">
      <c r="C81" s="2" t="s">
        <v>26</v>
      </c>
      <c r="D81" s="2">
        <v>0.65794299999999994</v>
      </c>
      <c r="E81" s="2">
        <v>0.76702400000000004</v>
      </c>
      <c r="F81" s="2">
        <v>0.59824999999999995</v>
      </c>
      <c r="G81" s="2">
        <v>0.72622399999999998</v>
      </c>
      <c r="H81" s="2">
        <v>0.64937299999999998</v>
      </c>
      <c r="I81" s="2">
        <v>0.64983500000000005</v>
      </c>
      <c r="J81" s="2">
        <v>0.73180100000000003</v>
      </c>
      <c r="K81" s="2">
        <v>0.56355</v>
      </c>
      <c r="L81" s="2">
        <f t="shared" si="0"/>
        <v>0.66800000000000004</v>
      </c>
      <c r="M81" s="2">
        <f t="shared" si="1"/>
        <v>2.45747020603942E-2</v>
      </c>
      <c r="N81" s="2">
        <f t="shared" si="2"/>
        <v>2.750300213765099E-2</v>
      </c>
    </row>
    <row r="82" spans="1:14" x14ac:dyDescent="0.55000000000000004">
      <c r="C82" s="2" t="s">
        <v>28</v>
      </c>
      <c r="D82" s="2">
        <v>2.2103920000000001</v>
      </c>
      <c r="E82" s="2">
        <v>2.564317</v>
      </c>
      <c r="F82" s="2">
        <v>3.1491630000000002</v>
      </c>
      <c r="G82" s="2">
        <v>3.163036</v>
      </c>
      <c r="H82" s="2">
        <v>1.7250179999999999</v>
      </c>
      <c r="I82" s="2">
        <v>2.8771420000000001</v>
      </c>
      <c r="J82" s="2">
        <v>2.9930880000000002</v>
      </c>
      <c r="K82" s="2">
        <v>2.66065</v>
      </c>
      <c r="L82" s="2">
        <f t="shared" si="0"/>
        <v>2.6678507499999999</v>
      </c>
      <c r="M82" s="2">
        <f t="shared" si="1"/>
        <v>0.17603901761833057</v>
      </c>
      <c r="N82" s="2">
        <f t="shared" si="2"/>
        <v>0.19701567351532165</v>
      </c>
    </row>
    <row r="83" spans="1:14" x14ac:dyDescent="0.55000000000000004">
      <c r="C83" s="2" t="s">
        <v>30</v>
      </c>
      <c r="D83" s="2">
        <v>16.137446000000001</v>
      </c>
      <c r="E83" s="2">
        <v>19.974599000000001</v>
      </c>
      <c r="F83" s="2">
        <v>22.469549000000001</v>
      </c>
      <c r="G83" s="2">
        <v>35.311199000000002</v>
      </c>
      <c r="H83" s="2">
        <v>12.649963</v>
      </c>
      <c r="I83" s="2">
        <v>17.681857000000001</v>
      </c>
      <c r="J83" s="2">
        <v>24.895077000000001</v>
      </c>
      <c r="K83" s="2">
        <v>28.154267999999998</v>
      </c>
      <c r="L83" s="2">
        <f t="shared" si="0"/>
        <v>22.159244749999999</v>
      </c>
      <c r="M83" s="2">
        <f t="shared" si="1"/>
        <v>2.5634917902745102</v>
      </c>
      <c r="N83" s="2">
        <f t="shared" si="2"/>
        <v>2.8689552375651335</v>
      </c>
    </row>
    <row r="84" spans="1:14" x14ac:dyDescent="0.55000000000000004">
      <c r="B84" s="2" t="s">
        <v>39</v>
      </c>
      <c r="C84" s="2" t="s">
        <v>22</v>
      </c>
      <c r="D84" s="2">
        <v>0.95744200000000002</v>
      </c>
      <c r="E84" s="2">
        <v>0.95146600000000003</v>
      </c>
      <c r="F84" s="2">
        <v>0.93813800000000003</v>
      </c>
      <c r="G84" s="2">
        <v>0.92726699999999995</v>
      </c>
      <c r="H84" s="2">
        <v>0.95660599999999996</v>
      </c>
      <c r="I84" s="2">
        <v>0.94405499999999998</v>
      </c>
      <c r="J84" s="2">
        <v>0.95991400000000004</v>
      </c>
      <c r="K84" s="2">
        <v>0.923454</v>
      </c>
      <c r="L84" s="2">
        <f t="shared" ref="L84:L92" si="3">AVERAGE(D84:K84)</f>
        <v>0.94479274999999996</v>
      </c>
      <c r="M84" s="2">
        <f t="shared" si="1"/>
        <v>4.9642741619855355E-3</v>
      </c>
      <c r="N84" s="2">
        <f t="shared" si="2"/>
        <v>5.555812744074573E-3</v>
      </c>
    </row>
    <row r="85" spans="1:14" x14ac:dyDescent="0.55000000000000004">
      <c r="C85" s="2" t="s">
        <v>24</v>
      </c>
      <c r="D85" s="2">
        <v>0.28711500000000001</v>
      </c>
      <c r="E85" s="2">
        <v>0.304649</v>
      </c>
      <c r="F85" s="2">
        <v>0.34581800000000001</v>
      </c>
      <c r="G85" s="2">
        <v>0.375081</v>
      </c>
      <c r="H85" s="2">
        <v>0.29059099999999999</v>
      </c>
      <c r="I85" s="2">
        <v>0.32987499999999997</v>
      </c>
      <c r="J85" s="2">
        <v>0.27811599999999997</v>
      </c>
      <c r="K85" s="2">
        <v>0.378494</v>
      </c>
      <c r="L85" s="2">
        <f t="shared" si="3"/>
        <v>0.32371737499999997</v>
      </c>
      <c r="M85" s="2">
        <f t="shared" si="1"/>
        <v>1.4044084604937007E-2</v>
      </c>
      <c r="N85" s="2">
        <f t="shared" si="2"/>
        <v>1.5717565485094551E-2</v>
      </c>
    </row>
    <row r="86" spans="1:14" x14ac:dyDescent="0.55000000000000004">
      <c r="C86" s="2" t="s">
        <v>26</v>
      </c>
      <c r="D86" s="2">
        <v>0.66164599999999996</v>
      </c>
      <c r="E86" s="2">
        <v>0.77169699999999997</v>
      </c>
      <c r="F86" s="2">
        <v>0.59901800000000005</v>
      </c>
      <c r="G86" s="2">
        <v>0.716642</v>
      </c>
      <c r="H86" s="2">
        <v>0.65539000000000003</v>
      </c>
      <c r="I86" s="2">
        <v>0.65363099999999996</v>
      </c>
      <c r="J86" s="2">
        <v>0.73471299999999995</v>
      </c>
      <c r="K86" s="2">
        <v>0.55126200000000003</v>
      </c>
      <c r="L86" s="2">
        <f t="shared" si="3"/>
        <v>0.66799987500000013</v>
      </c>
      <c r="M86" s="2">
        <f t="shared" si="1"/>
        <v>2.5481739570745718E-2</v>
      </c>
      <c r="N86" s="2">
        <f t="shared" si="2"/>
        <v>2.8518121447127055E-2</v>
      </c>
    </row>
    <row r="87" spans="1:14" x14ac:dyDescent="0.55000000000000004">
      <c r="C87" s="2" t="s">
        <v>28</v>
      </c>
      <c r="D87" s="2">
        <v>2.1163949999999998</v>
      </c>
      <c r="E87" s="2">
        <v>2.5340669999999998</v>
      </c>
      <c r="F87" s="2">
        <v>3.1056050000000002</v>
      </c>
      <c r="G87" s="2">
        <v>3.2878660000000002</v>
      </c>
      <c r="H87" s="2">
        <v>1.665265</v>
      </c>
      <c r="I87" s="2">
        <v>2.6945619999999999</v>
      </c>
      <c r="J87" s="2">
        <v>2.8286959999999999</v>
      </c>
      <c r="K87" s="2">
        <v>3.0928070000000001</v>
      </c>
      <c r="L87" s="2">
        <f t="shared" si="3"/>
        <v>2.665657875</v>
      </c>
      <c r="M87" s="2">
        <f t="shared" si="1"/>
        <v>0.19412631408040557</v>
      </c>
      <c r="N87" s="2">
        <f t="shared" si="2"/>
        <v>0.21725823645823109</v>
      </c>
    </row>
    <row r="88" spans="1:14" x14ac:dyDescent="0.55000000000000004">
      <c r="C88" s="2" t="s">
        <v>30</v>
      </c>
      <c r="D88" s="2">
        <v>15.433631</v>
      </c>
      <c r="E88" s="2">
        <v>19.745868000000002</v>
      </c>
      <c r="F88" s="2">
        <v>21.614204000000001</v>
      </c>
      <c r="G88" s="2">
        <v>35.473812000000002</v>
      </c>
      <c r="H88" s="2">
        <v>12.098442</v>
      </c>
      <c r="I88" s="2">
        <v>17.160032000000001</v>
      </c>
      <c r="J88" s="2">
        <v>22.058167999999998</v>
      </c>
      <c r="K88" s="2">
        <v>40.825521000000002</v>
      </c>
      <c r="L88" s="2">
        <f t="shared" si="3"/>
        <v>23.051209750000002</v>
      </c>
      <c r="M88" s="2">
        <f t="shared" si="1"/>
        <v>3.5277476405952943</v>
      </c>
      <c r="N88" s="2">
        <f t="shared" si="2"/>
        <v>3.9481109745274878</v>
      </c>
    </row>
    <row r="89" spans="1:14" x14ac:dyDescent="0.55000000000000004">
      <c r="B89" s="2" t="s">
        <v>61</v>
      </c>
      <c r="C89" s="2" t="s">
        <v>22</v>
      </c>
      <c r="D89" s="2">
        <v>0.96871200000000002</v>
      </c>
      <c r="E89" s="2">
        <v>0.967028</v>
      </c>
      <c r="F89" s="2">
        <v>0.94894900000000004</v>
      </c>
      <c r="G89" s="2">
        <v>0.97467199999999998</v>
      </c>
      <c r="H89" s="2">
        <v>0.96803499999999998</v>
      </c>
      <c r="I89" s="2">
        <v>0.96723400000000004</v>
      </c>
      <c r="J89" s="2">
        <v>0.976275</v>
      </c>
      <c r="K89" s="2">
        <v>0.96357599999999999</v>
      </c>
      <c r="L89" s="2">
        <f t="shared" ref="L89:L91" si="4">AVERAGE(D89:K89)</f>
        <v>0.96681012500000008</v>
      </c>
      <c r="M89" s="2">
        <f t="shared" ref="M89:M91" si="5" xml:space="preserve"> _xlfn.STDEV.S(D89:K89) / SQRT(COUNT(D89:K89))</f>
        <v>2.9465987501179048E-3</v>
      </c>
      <c r="N89" s="2">
        <f t="shared" ref="N89:N91" si="6">M89*$N$2</f>
        <v>3.2977128888126389E-3</v>
      </c>
    </row>
    <row r="90" spans="1:14" x14ac:dyDescent="0.55000000000000004">
      <c r="C90" s="2" t="s">
        <v>24</v>
      </c>
      <c r="D90" s="2">
        <v>0.24834700000000001</v>
      </c>
      <c r="E90" s="2">
        <v>0.25230599999999997</v>
      </c>
      <c r="F90" s="2">
        <v>0.31901099999999999</v>
      </c>
      <c r="G90" s="2">
        <v>0.216665</v>
      </c>
      <c r="H90" s="2">
        <v>0.25187399999999999</v>
      </c>
      <c r="I90" s="2">
        <v>0.25361699999999998</v>
      </c>
      <c r="J90" s="2">
        <v>0.21648000000000001</v>
      </c>
      <c r="K90" s="2">
        <v>0.26932699999999998</v>
      </c>
      <c r="L90" s="2">
        <f t="shared" si="4"/>
        <v>0.25345337499999998</v>
      </c>
      <c r="M90" s="2">
        <f t="shared" si="5"/>
        <v>1.1417484941554623E-2</v>
      </c>
      <c r="N90" s="2">
        <f t="shared" si="6"/>
        <v>1.277798249526927E-2</v>
      </c>
    </row>
    <row r="91" spans="1:14" x14ac:dyDescent="0.55000000000000004">
      <c r="C91" s="2" t="s">
        <v>26</v>
      </c>
      <c r="D91" s="2">
        <v>0.70344799999999996</v>
      </c>
      <c r="E91" s="2">
        <v>0.81825700000000001</v>
      </c>
      <c r="F91" s="2">
        <v>0.63020399999999999</v>
      </c>
      <c r="G91" s="2">
        <v>0.81540000000000001</v>
      </c>
      <c r="H91" s="2">
        <v>0.69024200000000002</v>
      </c>
      <c r="I91" s="2">
        <v>0.74131000000000002</v>
      </c>
      <c r="J91" s="2">
        <v>0.77576999999999996</v>
      </c>
      <c r="K91" s="2">
        <v>0.61137300000000006</v>
      </c>
      <c r="L91" s="2">
        <f t="shared" si="4"/>
        <v>0.72325050000000002</v>
      </c>
      <c r="M91" s="2">
        <f t="shared" si="5"/>
        <v>2.7793285115293682E-2</v>
      </c>
      <c r="N91" s="2">
        <f t="shared" si="6"/>
        <v>3.1105108743930947E-2</v>
      </c>
    </row>
    <row r="92" spans="1:14" x14ac:dyDescent="0.55000000000000004">
      <c r="A92" s="2" t="s">
        <v>20</v>
      </c>
      <c r="B92" s="2" t="s">
        <v>21</v>
      </c>
      <c r="C92" s="2" t="s">
        <v>22</v>
      </c>
      <c r="D92" s="2">
        <v>0.95512900000000001</v>
      </c>
      <c r="E92" s="2">
        <v>0.94955000000000001</v>
      </c>
      <c r="F92" s="2">
        <v>0.93541099999999999</v>
      </c>
      <c r="G92" s="2">
        <v>0.92452699999999999</v>
      </c>
      <c r="H92" s="2">
        <v>0.95486899999999997</v>
      </c>
      <c r="I92" s="2">
        <v>0.93925999999999998</v>
      </c>
      <c r="J92" s="2">
        <v>0.95709299999999997</v>
      </c>
      <c r="K92" s="2">
        <v>0.93371000000000004</v>
      </c>
      <c r="L92" s="2">
        <f t="shared" si="3"/>
        <v>0.94369362499999987</v>
      </c>
      <c r="M92" s="2">
        <f xml:space="preserve"> _xlfn.STDEV.S(D92:K92) / SQRT(COUNT(D92:K92))</f>
        <v>4.2778256657254347E-3</v>
      </c>
      <c r="N92" s="2">
        <f>M92*$N$2</f>
        <v>4.7875676433351494E-3</v>
      </c>
    </row>
    <row r="93" spans="1:14" x14ac:dyDescent="0.55000000000000004">
      <c r="A93" s="2">
        <v>0.33300000000000002</v>
      </c>
      <c r="C93" s="2" t="s">
        <v>23</v>
      </c>
      <c r="D93" s="2">
        <v>7.1000000000000005E-5</v>
      </c>
      <c r="E93" s="2">
        <v>6.4099999999999997E-4</v>
      </c>
      <c r="F93" s="2">
        <v>5.1999999999999997E-5</v>
      </c>
      <c r="G93" s="2">
        <v>1.45E-4</v>
      </c>
      <c r="H93" s="2">
        <v>1.26E-4</v>
      </c>
      <c r="I93" s="2">
        <v>1.17E-4</v>
      </c>
      <c r="J93" s="2">
        <v>6.7000000000000002E-5</v>
      </c>
      <c r="K93" s="2">
        <v>3.6999999999999998E-5</v>
      </c>
      <c r="L93" s="2">
        <f>(1/COUNT(D93:K93))*SQRT(SUMSQ(D93:K93))</f>
        <v>8.6157015094535385E-5</v>
      </c>
    </row>
    <row r="94" spans="1:14" x14ac:dyDescent="0.55000000000000004">
      <c r="C94" s="2" t="s">
        <v>24</v>
      </c>
      <c r="D94" s="2">
        <v>0.29399700000000001</v>
      </c>
      <c r="E94" s="2">
        <v>0.31052099999999999</v>
      </c>
      <c r="F94" s="2">
        <v>0.35287800000000002</v>
      </c>
      <c r="G94" s="2">
        <v>0.38158399999999998</v>
      </c>
      <c r="H94" s="2">
        <v>0.29627700000000001</v>
      </c>
      <c r="I94" s="2">
        <v>0.343497</v>
      </c>
      <c r="J94" s="2">
        <v>0.28671600000000003</v>
      </c>
      <c r="K94" s="2">
        <v>0.35634900000000003</v>
      </c>
      <c r="L94" s="2">
        <f>AVERAGE(D94:K94)</f>
        <v>0.32772737500000004</v>
      </c>
      <c r="M94" s="2">
        <f xml:space="preserve"> _xlfn.STDEV.S(D94:K94) / SQRT(COUNT(D94:K94))</f>
        <v>1.2468406495357735E-2</v>
      </c>
      <c r="N94" s="2">
        <f>M94*$N$2</f>
        <v>1.3954130945399733E-2</v>
      </c>
    </row>
    <row r="95" spans="1:14" x14ac:dyDescent="0.55000000000000004">
      <c r="C95" s="2" t="s">
        <v>25</v>
      </c>
      <c r="D95" s="2">
        <v>2.12E-4</v>
      </c>
      <c r="E95" s="2">
        <v>1.957E-3</v>
      </c>
      <c r="F95" s="2">
        <v>1.3100000000000001E-4</v>
      </c>
      <c r="G95" s="2">
        <v>3.5599999999999998E-4</v>
      </c>
      <c r="H95" s="2">
        <v>3.8900000000000002E-4</v>
      </c>
      <c r="I95" s="2">
        <v>3.39E-4</v>
      </c>
      <c r="J95" s="2">
        <v>1.9799999999999999E-4</v>
      </c>
      <c r="K95" s="2">
        <v>1.05E-4</v>
      </c>
      <c r="L95" s="2">
        <f>(1/COUNT(D95:K95))*SQRT(SUMSQ(D95:K95))</f>
        <v>2.6026311806516111E-4</v>
      </c>
    </row>
    <row r="96" spans="1:14" x14ac:dyDescent="0.55000000000000004">
      <c r="C96" s="2" t="s">
        <v>26</v>
      </c>
      <c r="D96" s="2">
        <v>0.65549900000000005</v>
      </c>
      <c r="E96" s="2">
        <v>0.76770899999999997</v>
      </c>
      <c r="F96" s="2">
        <v>0.59573600000000004</v>
      </c>
      <c r="G96" s="2">
        <v>0.70689599999999997</v>
      </c>
      <c r="H96" s="2">
        <v>0.65052600000000005</v>
      </c>
      <c r="I96" s="2">
        <v>0.642787</v>
      </c>
      <c r="J96" s="2">
        <v>0.72799400000000003</v>
      </c>
      <c r="K96" s="2">
        <v>0.56554899999999997</v>
      </c>
      <c r="L96" s="2">
        <f>AVERAGE(D96:K96)</f>
        <v>0.66408699999999998</v>
      </c>
      <c r="M96" s="2">
        <f xml:space="preserve"> _xlfn.STDEV.S(D96:K96) / SQRT(COUNT(D96:K96))</f>
        <v>2.3809952572401313E-2</v>
      </c>
      <c r="N96" s="2">
        <f>M96*$N$2</f>
        <v>2.664712576725407E-2</v>
      </c>
    </row>
    <row r="97" spans="2:14" x14ac:dyDescent="0.55000000000000004">
      <c r="C97" s="2" t="s">
        <v>27</v>
      </c>
      <c r="D97" s="2">
        <v>2.1100000000000001E-4</v>
      </c>
      <c r="E97" s="2">
        <v>1.361E-3</v>
      </c>
      <c r="F97" s="2">
        <v>6.0999999999999999E-5</v>
      </c>
      <c r="G97" s="2">
        <v>4.8799999999999999E-4</v>
      </c>
      <c r="H97" s="2">
        <v>2.7099999999999997E-4</v>
      </c>
      <c r="I97" s="2">
        <v>2.31E-4</v>
      </c>
      <c r="J97" s="2">
        <v>1.4999999999999999E-4</v>
      </c>
      <c r="K97" s="2">
        <v>1.05E-4</v>
      </c>
      <c r="L97" s="2">
        <f>(1/COUNT(D97:K97))*SQRT(SUMSQ(D97:K97))</f>
        <v>1.8953207182426939E-4</v>
      </c>
    </row>
    <row r="98" spans="2:14" x14ac:dyDescent="0.55000000000000004">
      <c r="C98" s="2" t="s">
        <v>28</v>
      </c>
      <c r="D98" s="2">
        <v>2.1946029999999999</v>
      </c>
      <c r="E98" s="2">
        <v>2.5635379999999999</v>
      </c>
      <c r="F98" s="2">
        <v>3.1310419999999999</v>
      </c>
      <c r="G98" s="2">
        <v>3.3955009999999999</v>
      </c>
      <c r="H98" s="2">
        <v>1.702278</v>
      </c>
      <c r="I98" s="2">
        <v>2.9492799999999999</v>
      </c>
      <c r="J98" s="2">
        <v>2.8879299999999999</v>
      </c>
      <c r="K98" s="2">
        <v>2.6147130000000001</v>
      </c>
      <c r="L98" s="2">
        <f>AVERAGE(D98:K98)</f>
        <v>2.6798606249999999</v>
      </c>
      <c r="M98" s="2">
        <f xml:space="preserve"> _xlfn.STDEV.S(D98:K98) / SQRT(COUNT(D98:K98))</f>
        <v>0.19088624891391789</v>
      </c>
      <c r="N98" s="2">
        <f>M98*$N$2</f>
        <v>0.21363208795067071</v>
      </c>
    </row>
    <row r="99" spans="2:14" x14ac:dyDescent="0.55000000000000004">
      <c r="C99" s="2" t="s">
        <v>29</v>
      </c>
      <c r="D99" s="2">
        <v>2.2859999999999998E-3</v>
      </c>
      <c r="E99" s="2">
        <v>8.7530000000000004E-3</v>
      </c>
      <c r="F99" s="2">
        <v>5.7300000000000005E-4</v>
      </c>
      <c r="G99" s="2">
        <v>3.5929999999999998E-3</v>
      </c>
      <c r="H99" s="2">
        <v>2.3540000000000002E-3</v>
      </c>
      <c r="I99" s="2">
        <v>3.4689999999999999E-3</v>
      </c>
      <c r="J99" s="2">
        <v>1.4109999999999999E-3</v>
      </c>
      <c r="K99" s="2">
        <v>5.6899999999999995E-4</v>
      </c>
      <c r="L99" s="2">
        <f>(1/COUNT(D99:K99))*SQRT(SUMSQ(D99:K99))</f>
        <v>1.3402934729938813E-3</v>
      </c>
    </row>
    <row r="100" spans="2:14" x14ac:dyDescent="0.55000000000000004">
      <c r="C100" s="2" t="s">
        <v>30</v>
      </c>
      <c r="D100" s="2">
        <v>15.445463999999999</v>
      </c>
      <c r="E100" s="2">
        <v>19.885418000000001</v>
      </c>
      <c r="F100" s="2">
        <v>21.558368000000002</v>
      </c>
      <c r="G100" s="2">
        <v>35.017575000000001</v>
      </c>
      <c r="H100" s="2">
        <v>12.271231</v>
      </c>
      <c r="I100" s="2">
        <v>17.713643999999999</v>
      </c>
      <c r="J100" s="2">
        <v>22.190836999999998</v>
      </c>
      <c r="K100" s="2">
        <v>26.908283999999998</v>
      </c>
      <c r="L100" s="2">
        <f>AVERAGE(D100:K100)</f>
        <v>21.373852625000001</v>
      </c>
      <c r="M100" s="2">
        <f xml:space="preserve"> _xlfn.STDEV.S(D100:K100) / SQRT(COUNT(D100:K100))</f>
        <v>2.5039207727640278</v>
      </c>
      <c r="N100" s="2">
        <f>M100*$N$2</f>
        <v>2.8022857895325024</v>
      </c>
    </row>
    <row r="101" spans="2:14" x14ac:dyDescent="0.55000000000000004">
      <c r="C101" s="2" t="s">
        <v>31</v>
      </c>
      <c r="D101" s="2">
        <v>5.8529999999999997E-3</v>
      </c>
      <c r="E101" s="2">
        <v>1.6101000000000001E-2</v>
      </c>
      <c r="F101" s="2">
        <v>1.619E-3</v>
      </c>
      <c r="G101" s="2">
        <v>3.6048999999999998E-2</v>
      </c>
      <c r="H101" s="2">
        <v>1.7992999999999999E-2</v>
      </c>
      <c r="I101" s="2">
        <v>8.5900000000000004E-3</v>
      </c>
      <c r="J101" s="2">
        <v>8.8100000000000001E-3</v>
      </c>
      <c r="K101" s="2">
        <v>7.4306999999999998E-2</v>
      </c>
      <c r="L101" s="2">
        <f>(1/COUNT(D101:K101))*SQRT(SUMSQ(D101:K101))</f>
        <v>1.0891749938313402E-2</v>
      </c>
    </row>
    <row r="102" spans="2:14" x14ac:dyDescent="0.55000000000000004">
      <c r="B102" s="2" t="s">
        <v>32</v>
      </c>
      <c r="C102" s="2" t="s">
        <v>22</v>
      </c>
      <c r="D102" s="2">
        <v>0.95121800000000001</v>
      </c>
      <c r="E102" s="2">
        <v>0.93781499999999995</v>
      </c>
      <c r="F102" s="2">
        <v>0.933172</v>
      </c>
      <c r="G102" s="2">
        <v>0.92543500000000001</v>
      </c>
      <c r="H102" s="2">
        <v>0.95180399999999998</v>
      </c>
      <c r="I102" s="2">
        <v>0.93700799999999995</v>
      </c>
      <c r="J102" s="2">
        <v>0.951291</v>
      </c>
      <c r="K102" s="2">
        <v>0.93142800000000003</v>
      </c>
      <c r="L102" s="2">
        <f>AVERAGE(D102:K102)</f>
        <v>0.93989637500000001</v>
      </c>
      <c r="M102" s="2">
        <f xml:space="preserve"> _xlfn.STDEV.S(D102:K102) / SQRT(COUNT(D102:K102))</f>
        <v>3.6315703949506653E-3</v>
      </c>
      <c r="N102" s="2">
        <f>M102*$N$2</f>
        <v>4.0643051577959211E-3</v>
      </c>
    </row>
    <row r="103" spans="2:14" x14ac:dyDescent="0.55000000000000004">
      <c r="C103" s="2" t="s">
        <v>23</v>
      </c>
      <c r="D103" s="2">
        <v>4.0400000000000001E-4</v>
      </c>
      <c r="E103" s="2">
        <v>1.8519999999999999E-3</v>
      </c>
      <c r="F103" s="2">
        <v>5.2599999999999999E-4</v>
      </c>
      <c r="G103" s="2">
        <v>5.9199999999999997E-4</v>
      </c>
      <c r="H103" s="2">
        <v>2.6699999999999998E-4</v>
      </c>
      <c r="I103" s="2">
        <v>4.8700000000000002E-4</v>
      </c>
      <c r="J103" s="2">
        <v>1.472E-3</v>
      </c>
      <c r="K103" s="2">
        <v>1.4300000000000001E-4</v>
      </c>
      <c r="L103" s="2">
        <f>(1/COUNT(D103:K103))*SQRT(SUMSQ(D103:K103))</f>
        <v>3.2393939923232556E-4</v>
      </c>
    </row>
    <row r="104" spans="2:14" x14ac:dyDescent="0.55000000000000004">
      <c r="C104" s="2" t="s">
        <v>24</v>
      </c>
      <c r="D104" s="2">
        <v>0.30626199999999998</v>
      </c>
      <c r="E104" s="2">
        <v>0.34289999999999998</v>
      </c>
      <c r="F104" s="2">
        <v>0.35836800000000002</v>
      </c>
      <c r="G104" s="2">
        <v>0.37944</v>
      </c>
      <c r="H104" s="2">
        <v>0.30537300000000001</v>
      </c>
      <c r="I104" s="2">
        <v>0.34958</v>
      </c>
      <c r="J104" s="2">
        <v>0.30176999999999998</v>
      </c>
      <c r="K104" s="2">
        <v>0.363228</v>
      </c>
      <c r="L104" s="2">
        <f>AVERAGE(D104:K104)</f>
        <v>0.33836512499999999</v>
      </c>
      <c r="M104" s="2">
        <f xml:space="preserve"> _xlfn.STDEV.S(D104:K104) / SQRT(COUNT(D104:K104))</f>
        <v>1.0615063043076202E-2</v>
      </c>
      <c r="N104" s="2">
        <f>M104*$N$2</f>
        <v>1.187994470279009E-2</v>
      </c>
    </row>
    <row r="105" spans="2:14" x14ac:dyDescent="0.55000000000000004">
      <c r="C105" s="2" t="s">
        <v>25</v>
      </c>
      <c r="D105" s="2">
        <v>1.0369999999999999E-3</v>
      </c>
      <c r="E105" s="2">
        <v>4.9630000000000004E-3</v>
      </c>
      <c r="F105" s="2">
        <v>1.261E-3</v>
      </c>
      <c r="G105" s="2">
        <v>1.395E-3</v>
      </c>
      <c r="H105" s="2">
        <v>7.94E-4</v>
      </c>
      <c r="I105" s="2">
        <v>1.2869999999999999E-3</v>
      </c>
      <c r="J105" s="2">
        <v>3.9410000000000001E-3</v>
      </c>
      <c r="K105" s="2">
        <v>3.5799999999999997E-4</v>
      </c>
      <c r="L105" s="2">
        <f>(1/COUNT(D105:K105))*SQRT(SUMSQ(D105:K105))</f>
        <v>8.5868116536348921E-4</v>
      </c>
    </row>
    <row r="106" spans="2:14" x14ac:dyDescent="0.55000000000000004">
      <c r="C106" s="2" t="s">
        <v>26</v>
      </c>
      <c r="D106" s="2">
        <v>0.64875300000000002</v>
      </c>
      <c r="E106" s="2">
        <v>0.74327900000000002</v>
      </c>
      <c r="F106" s="2">
        <v>0.59311999999999998</v>
      </c>
      <c r="G106" s="2">
        <v>0.71157800000000004</v>
      </c>
      <c r="H106" s="2">
        <v>0.64277399999999996</v>
      </c>
      <c r="I106" s="2">
        <v>0.63829599999999997</v>
      </c>
      <c r="J106" s="2">
        <v>0.717777</v>
      </c>
      <c r="K106" s="2">
        <v>0.557199</v>
      </c>
      <c r="L106" s="2">
        <f>AVERAGE(D106:K106)</f>
        <v>0.65659699999999999</v>
      </c>
      <c r="M106" s="2">
        <f xml:space="preserve"> _xlfn.STDEV.S(D106:K106) / SQRT(COUNT(D106:K106))</f>
        <v>2.2668611906901455E-2</v>
      </c>
      <c r="N106" s="2">
        <f>M106*$N$2</f>
        <v>2.536978394288987E-2</v>
      </c>
    </row>
    <row r="107" spans="2:14" x14ac:dyDescent="0.55000000000000004">
      <c r="C107" s="2" t="s">
        <v>27</v>
      </c>
      <c r="D107" s="2">
        <v>9.6199999999999996E-4</v>
      </c>
      <c r="E107" s="2">
        <v>3.8739999999999998E-3</v>
      </c>
      <c r="F107" s="2">
        <v>5.5800000000000001E-4</v>
      </c>
      <c r="G107" s="2">
        <v>1.8710000000000001E-3</v>
      </c>
      <c r="H107" s="2">
        <v>5.9299999999999999E-4</v>
      </c>
      <c r="I107" s="2">
        <v>1.013E-3</v>
      </c>
      <c r="J107" s="2">
        <v>2.879E-3</v>
      </c>
      <c r="K107" s="2">
        <v>2.2699999999999999E-4</v>
      </c>
      <c r="L107" s="2">
        <f>(1/COUNT(D107:K107))*SQRT(SUMSQ(D107:K107))</f>
        <v>6.7850148535209562E-4</v>
      </c>
    </row>
    <row r="108" spans="2:14" x14ac:dyDescent="0.55000000000000004">
      <c r="C108" s="2" t="s">
        <v>28</v>
      </c>
      <c r="D108" s="2">
        <v>2.391483</v>
      </c>
      <c r="E108" s="2">
        <v>2.7357619999999998</v>
      </c>
      <c r="F108" s="2">
        <v>3.180288</v>
      </c>
      <c r="G108" s="2">
        <v>3.3542709999999998</v>
      </c>
      <c r="H108" s="2">
        <v>1.758176</v>
      </c>
      <c r="I108" s="2">
        <v>3.0199639999999999</v>
      </c>
      <c r="J108" s="2">
        <v>3.1504259999999999</v>
      </c>
      <c r="K108" s="2">
        <v>2.8391799999999998</v>
      </c>
      <c r="L108" s="2">
        <f>AVERAGE(D108:K108)</f>
        <v>2.8036937499999999</v>
      </c>
      <c r="M108" s="2">
        <f xml:space="preserve"> _xlfn.STDEV.S(D108:K108) / SQRT(COUNT(D108:K108))</f>
        <v>0.18326667124290588</v>
      </c>
      <c r="N108" s="2">
        <f>M108*$N$2</f>
        <v>0.20510456804589919</v>
      </c>
    </row>
    <row r="109" spans="2:14" x14ac:dyDescent="0.55000000000000004">
      <c r="C109" s="2" t="s">
        <v>29</v>
      </c>
      <c r="D109" s="2">
        <v>2.4688000000000002E-2</v>
      </c>
      <c r="E109" s="2">
        <v>2.8301E-2</v>
      </c>
      <c r="F109" s="2">
        <v>6.4330000000000003E-3</v>
      </c>
      <c r="G109" s="2">
        <v>2.0688999999999999E-2</v>
      </c>
      <c r="H109" s="2">
        <v>4.6560000000000004E-3</v>
      </c>
      <c r="I109" s="2">
        <v>1.6024E-2</v>
      </c>
      <c r="J109" s="2">
        <v>3.6889999999999999E-2</v>
      </c>
      <c r="K109" s="2">
        <v>3.1359999999999999E-3</v>
      </c>
      <c r="L109" s="2">
        <f>(1/COUNT(D109:K109))*SQRT(SUMSQ(D109:K109))</f>
        <v>7.4256898490561137E-3</v>
      </c>
    </row>
    <row r="110" spans="2:14" x14ac:dyDescent="0.55000000000000004">
      <c r="C110" s="2" t="s">
        <v>30</v>
      </c>
      <c r="D110" s="2">
        <v>16.777436000000002</v>
      </c>
      <c r="E110" s="2">
        <v>19.716550999999999</v>
      </c>
      <c r="F110" s="2">
        <v>21.85614</v>
      </c>
      <c r="G110" s="2">
        <v>35.802408999999997</v>
      </c>
      <c r="H110" s="2">
        <v>12.743376</v>
      </c>
      <c r="I110" s="2">
        <v>17.958355000000001</v>
      </c>
      <c r="J110" s="2">
        <v>24.856076000000002</v>
      </c>
      <c r="K110" s="2">
        <v>46.106549000000001</v>
      </c>
      <c r="L110" s="2">
        <f>AVERAGE(D110:K110)</f>
        <v>24.477111499999999</v>
      </c>
      <c r="M110" s="2">
        <f xml:space="preserve"> _xlfn.STDEV.S(D110:K110) / SQRT(COUNT(D110:K110))</f>
        <v>3.9307185591179894</v>
      </c>
      <c r="N110" s="2">
        <f>M110*$N$2</f>
        <v>4.399099556456326</v>
      </c>
    </row>
    <row r="111" spans="2:14" x14ac:dyDescent="0.55000000000000004">
      <c r="C111" s="2" t="s">
        <v>31</v>
      </c>
      <c r="D111" s="2">
        <v>6.3796000000000005E-2</v>
      </c>
      <c r="E111" s="2">
        <v>7.9277E-2</v>
      </c>
      <c r="F111" s="2">
        <v>1.8758E-2</v>
      </c>
      <c r="G111" s="2">
        <v>9.5630999999999994E-2</v>
      </c>
      <c r="H111" s="2">
        <v>3.4334000000000003E-2</v>
      </c>
      <c r="I111" s="2">
        <v>4.8515999999999997E-2</v>
      </c>
      <c r="J111" s="2">
        <v>0.25243500000000002</v>
      </c>
      <c r="K111" s="2">
        <v>6.4917000000000002E-2</v>
      </c>
      <c r="L111" s="2">
        <f>(1/COUNT(D111:K111))*SQRT(SUMSQ(D111:K111))</f>
        <v>3.7774452965099313E-2</v>
      </c>
    </row>
    <row r="112" spans="2:14" x14ac:dyDescent="0.55000000000000004">
      <c r="B112" s="2" t="s">
        <v>33</v>
      </c>
      <c r="C112" s="2" t="s">
        <v>22</v>
      </c>
      <c r="D112" s="2">
        <v>0.95515099999999997</v>
      </c>
      <c r="E112" s="2">
        <v>0.95038500000000004</v>
      </c>
      <c r="F112" s="2">
        <v>0.93542700000000001</v>
      </c>
      <c r="G112" s="2">
        <v>0.92653099999999999</v>
      </c>
      <c r="H112" s="2">
        <v>0.95489599999999997</v>
      </c>
      <c r="I112" s="2">
        <v>0.94057100000000005</v>
      </c>
      <c r="J112" s="2">
        <v>0.95718000000000003</v>
      </c>
      <c r="K112" s="2">
        <v>0.93370900000000001</v>
      </c>
      <c r="L112" s="2">
        <f>AVERAGE(D112:K112)</f>
        <v>0.94423125000000008</v>
      </c>
      <c r="M112" s="2">
        <f xml:space="preserve"> _xlfn.STDEV.S(D112:K112) / SQRT(COUNT(D112:K112))</f>
        <v>4.126234537124269E-3</v>
      </c>
      <c r="N112" s="2">
        <f>M112*$N$2</f>
        <v>4.6179130479825532E-3</v>
      </c>
    </row>
    <row r="113" spans="2:14" x14ac:dyDescent="0.55000000000000004">
      <c r="C113" s="2" t="s">
        <v>23</v>
      </c>
      <c r="D113" s="2">
        <v>3.8999999999999999E-5</v>
      </c>
      <c r="E113" s="2">
        <v>1.1400000000000001E-4</v>
      </c>
      <c r="F113" s="2">
        <v>3.0000000000000001E-5</v>
      </c>
      <c r="G113" s="2">
        <v>1.01E-4</v>
      </c>
      <c r="H113" s="2">
        <v>5.0000000000000002E-5</v>
      </c>
      <c r="I113" s="2">
        <v>6.6000000000000005E-5</v>
      </c>
      <c r="J113" s="2">
        <v>3.1999999999999999E-5</v>
      </c>
      <c r="K113" s="2">
        <v>1.5E-5</v>
      </c>
      <c r="L113" s="2">
        <f>(1/COUNT(D113:K113))*SQRT(SUMSQ(D113:K113))</f>
        <v>2.2954778914204336E-5</v>
      </c>
    </row>
    <row r="114" spans="2:14" x14ac:dyDescent="0.55000000000000004">
      <c r="C114" s="2" t="s">
        <v>24</v>
      </c>
      <c r="D114" s="2">
        <v>0.29391800000000001</v>
      </c>
      <c r="E114" s="2">
        <v>0.307861</v>
      </c>
      <c r="F114" s="2">
        <v>0.35282599999999997</v>
      </c>
      <c r="G114" s="2">
        <v>0.376249</v>
      </c>
      <c r="H114" s="2">
        <v>0.29616199999999998</v>
      </c>
      <c r="I114" s="2">
        <v>0.33976200000000001</v>
      </c>
      <c r="J114" s="2">
        <v>0.28653200000000001</v>
      </c>
      <c r="K114" s="2">
        <v>0.35624499999999998</v>
      </c>
      <c r="L114" s="2">
        <f>AVERAGE(D114:K114)</f>
        <v>0.32619437499999998</v>
      </c>
      <c r="M114" s="2">
        <f xml:space="preserve"> _xlfn.STDEV.S(D114:K114) / SQRT(COUNT(D114:K114))</f>
        <v>1.2067336377501365E-2</v>
      </c>
      <c r="N114" s="2">
        <f>M114*$N$2</f>
        <v>1.3505269661887807E-2</v>
      </c>
    </row>
    <row r="115" spans="2:14" x14ac:dyDescent="0.55000000000000004">
      <c r="C115" s="2" t="s">
        <v>25</v>
      </c>
      <c r="D115" s="2">
        <v>1.13E-4</v>
      </c>
      <c r="E115" s="2">
        <v>3.4499999999999998E-4</v>
      </c>
      <c r="F115" s="2">
        <v>7.7000000000000001E-5</v>
      </c>
      <c r="G115" s="2">
        <v>2.5300000000000002E-4</v>
      </c>
      <c r="H115" s="2">
        <v>1.5799999999999999E-4</v>
      </c>
      <c r="I115" s="2">
        <v>1.8599999999999999E-4</v>
      </c>
      <c r="J115" s="2">
        <v>9.7E-5</v>
      </c>
      <c r="K115" s="2">
        <v>4.0000000000000003E-5</v>
      </c>
      <c r="L115" s="2">
        <f>(1/COUNT(D115:K115))*SQRT(SUMSQ(D115:K115))</f>
        <v>6.5228085400385622E-5</v>
      </c>
    </row>
    <row r="116" spans="2:14" x14ac:dyDescent="0.55000000000000004">
      <c r="C116" s="2" t="s">
        <v>26</v>
      </c>
      <c r="D116" s="2">
        <v>0.65558700000000003</v>
      </c>
      <c r="E116" s="2">
        <v>0.76929599999999998</v>
      </c>
      <c r="F116" s="2">
        <v>0.59582199999999996</v>
      </c>
      <c r="G116" s="2">
        <v>0.70938699999999999</v>
      </c>
      <c r="H116" s="2">
        <v>0.65080099999999996</v>
      </c>
      <c r="I116" s="2">
        <v>0.64577399999999996</v>
      </c>
      <c r="J116" s="2">
        <v>0.72806899999999997</v>
      </c>
      <c r="K116" s="2">
        <v>0.56585399999999997</v>
      </c>
      <c r="L116" s="2">
        <f>AVERAGE(D116:K116)</f>
        <v>0.66507374999999991</v>
      </c>
      <c r="M116" s="2">
        <f xml:space="preserve"> _xlfn.STDEV.S(D116:K116) / SQRT(COUNT(D116:K116))</f>
        <v>2.3942228413822365E-2</v>
      </c>
      <c r="N116" s="2">
        <f>M116*$N$2</f>
        <v>2.6795163482642121E-2</v>
      </c>
    </row>
    <row r="117" spans="2:14" x14ac:dyDescent="0.55000000000000004">
      <c r="C117" s="2" t="s">
        <v>27</v>
      </c>
      <c r="D117" s="2">
        <v>1.07E-4</v>
      </c>
      <c r="E117" s="2">
        <v>2.4399999999999999E-4</v>
      </c>
      <c r="F117" s="2">
        <v>3.6000000000000001E-5</v>
      </c>
      <c r="G117" s="2">
        <v>2.9E-4</v>
      </c>
      <c r="H117" s="2">
        <v>1.22E-4</v>
      </c>
      <c r="I117" s="2">
        <v>1.5300000000000001E-4</v>
      </c>
      <c r="J117" s="2">
        <v>7.7999999999999999E-5</v>
      </c>
      <c r="K117" s="2">
        <v>2.8E-5</v>
      </c>
      <c r="L117" s="2">
        <f>(1/COUNT(D117:K117))*SQRT(SUMSQ(D117:K117))</f>
        <v>5.6116786704158316E-5</v>
      </c>
    </row>
    <row r="118" spans="2:14" x14ac:dyDescent="0.55000000000000004">
      <c r="C118" s="2" t="s">
        <v>28</v>
      </c>
      <c r="D118" s="2">
        <v>2.1945039999999998</v>
      </c>
      <c r="E118" s="2">
        <v>2.5509580000000001</v>
      </c>
      <c r="F118" s="2">
        <v>3.1306029999999998</v>
      </c>
      <c r="G118" s="2">
        <v>3.3615930000000001</v>
      </c>
      <c r="H118" s="2">
        <v>1.6990540000000001</v>
      </c>
      <c r="I118" s="2">
        <v>2.7936830000000001</v>
      </c>
      <c r="J118" s="2">
        <v>2.8873700000000002</v>
      </c>
      <c r="K118" s="2">
        <v>2.6123750000000001</v>
      </c>
      <c r="L118" s="2">
        <f>AVERAGE(D118:K118)</f>
        <v>2.6537674999999998</v>
      </c>
      <c r="M118" s="2">
        <f xml:space="preserve"> _xlfn.STDEV.S(D118:K118) / SQRT(COUNT(D118:K118))</f>
        <v>0.18599248590419359</v>
      </c>
      <c r="N118" s="2">
        <f>M118*$N$2</f>
        <v>0.2081551884063006</v>
      </c>
    </row>
    <row r="119" spans="2:14" x14ac:dyDescent="0.55000000000000004">
      <c r="C119" s="2" t="s">
        <v>29</v>
      </c>
      <c r="D119" s="2">
        <v>1.3439999999999999E-3</v>
      </c>
      <c r="E119" s="2">
        <v>1.456E-3</v>
      </c>
      <c r="F119" s="2">
        <v>3.39E-4</v>
      </c>
      <c r="G119" s="2">
        <v>2.745E-3</v>
      </c>
      <c r="H119" s="2">
        <v>1.0189999999999999E-3</v>
      </c>
      <c r="I119" s="2">
        <v>2.2239999999999998E-3</v>
      </c>
      <c r="J119" s="2">
        <v>6.8300000000000001E-4</v>
      </c>
      <c r="K119" s="2">
        <v>4.6900000000000002E-4</v>
      </c>
      <c r="L119" s="2">
        <f>(1/COUNT(D119:K119))*SQRT(SUMSQ(D119:K119))</f>
        <v>5.3395934126579338E-4</v>
      </c>
    </row>
    <row r="120" spans="2:14" x14ac:dyDescent="0.55000000000000004">
      <c r="C120" s="2" t="s">
        <v>30</v>
      </c>
      <c r="D120" s="2">
        <v>15.449916999999999</v>
      </c>
      <c r="E120" s="2">
        <v>19.899913999999999</v>
      </c>
      <c r="F120" s="2">
        <v>21.556028000000001</v>
      </c>
      <c r="G120" s="2">
        <v>34.607574</v>
      </c>
      <c r="H120" s="2">
        <v>12.203343</v>
      </c>
      <c r="I120" s="2">
        <v>17.253899000000001</v>
      </c>
      <c r="J120" s="2">
        <v>22.183513000000001</v>
      </c>
      <c r="K120" s="2">
        <v>26.360500999999999</v>
      </c>
      <c r="L120" s="2">
        <f>AVERAGE(D120:K120)</f>
        <v>21.189336125000001</v>
      </c>
      <c r="M120" s="2">
        <f xml:space="preserve"> _xlfn.STDEV.S(D120:K120) / SQRT(COUNT(D120:K120))</f>
        <v>2.4595011963111149</v>
      </c>
      <c r="N120" s="2">
        <f>M120*$N$2</f>
        <v>2.7525732150672795</v>
      </c>
    </row>
    <row r="121" spans="2:14" x14ac:dyDescent="0.55000000000000004">
      <c r="C121" s="2" t="s">
        <v>31</v>
      </c>
      <c r="D121" s="2">
        <v>2.7590000000000002E-3</v>
      </c>
      <c r="E121" s="2">
        <v>9.8320000000000005E-3</v>
      </c>
      <c r="F121" s="2">
        <v>1.304E-3</v>
      </c>
      <c r="G121" s="2">
        <v>1.4055E-2</v>
      </c>
      <c r="H121" s="2">
        <v>1.0279E-2</v>
      </c>
      <c r="I121" s="2">
        <v>5.4990000000000004E-3</v>
      </c>
      <c r="J121" s="2">
        <v>2.918E-3</v>
      </c>
      <c r="K121" s="2">
        <v>3.7705000000000002E-2</v>
      </c>
      <c r="L121" s="2">
        <f>(1/COUNT(D121:K121))*SQRT(SUMSQ(D121:K121))</f>
        <v>5.4048623031142063E-3</v>
      </c>
    </row>
    <row r="122" spans="2:14" x14ac:dyDescent="0.55000000000000004">
      <c r="B122" s="2" t="s">
        <v>34</v>
      </c>
      <c r="C122" s="2" t="s">
        <v>22</v>
      </c>
      <c r="D122" s="2">
        <v>0.94935599999999998</v>
      </c>
      <c r="E122" s="2">
        <v>0.94706100000000004</v>
      </c>
      <c r="F122" s="2">
        <v>0.933388</v>
      </c>
      <c r="G122" s="2">
        <v>0.92225000000000001</v>
      </c>
      <c r="H122" s="2">
        <v>0.95181800000000005</v>
      </c>
      <c r="I122" s="2">
        <v>0.93947599999999998</v>
      </c>
      <c r="J122" s="2">
        <v>0.95394599999999996</v>
      </c>
      <c r="K122" s="2">
        <v>0.93256899999999998</v>
      </c>
      <c r="L122" s="2">
        <f>AVERAGE(D122:K122)</f>
        <v>0.94123299999999999</v>
      </c>
      <c r="M122" s="2">
        <f xml:space="preserve"> _xlfn.STDEV.S(D122:K122) / SQRT(COUNT(D122:K122))</f>
        <v>3.9498227039776283E-3</v>
      </c>
      <c r="N122" s="2">
        <f>M122*$N$2</f>
        <v>4.4204801345655281E-3</v>
      </c>
    </row>
    <row r="123" spans="2:14" x14ac:dyDescent="0.55000000000000004">
      <c r="C123" s="2" t="s">
        <v>23</v>
      </c>
      <c r="D123" s="2">
        <v>1.6280000000000001E-3</v>
      </c>
      <c r="E123" s="2">
        <v>5.6599999999999999E-4</v>
      </c>
      <c r="F123" s="2">
        <v>4.8999999999999998E-4</v>
      </c>
      <c r="G123" s="2">
        <v>1.8749999999999999E-3</v>
      </c>
      <c r="H123" s="2">
        <v>4.86E-4</v>
      </c>
      <c r="I123" s="2">
        <v>4.28E-4</v>
      </c>
      <c r="J123" s="2">
        <v>7.4200000000000004E-4</v>
      </c>
      <c r="K123" s="2">
        <v>9.7E-5</v>
      </c>
      <c r="L123" s="2">
        <f>(1/COUNT(D123:K123))*SQRT(SUMSQ(D123:K123))</f>
        <v>3.4699193974788519E-4</v>
      </c>
    </row>
    <row r="124" spans="2:14" x14ac:dyDescent="0.55000000000000004">
      <c r="C124" s="2" t="s">
        <v>24</v>
      </c>
      <c r="D124" s="2">
        <v>0.31204199999999999</v>
      </c>
      <c r="E124" s="2">
        <v>0.31763000000000002</v>
      </c>
      <c r="F124" s="2">
        <v>0.35791000000000001</v>
      </c>
      <c r="G124" s="2">
        <v>0.38627299999999998</v>
      </c>
      <c r="H124" s="2">
        <v>0.30534699999999998</v>
      </c>
      <c r="I124" s="2">
        <v>0.34248600000000001</v>
      </c>
      <c r="J124" s="2">
        <v>0.29576000000000002</v>
      </c>
      <c r="K124" s="2">
        <v>0.359539</v>
      </c>
      <c r="L124" s="2">
        <f>AVERAGE(D124:K124)</f>
        <v>0.33462337499999995</v>
      </c>
      <c r="M124" s="2">
        <f xml:space="preserve"> _xlfn.STDEV.S(D124:K124) / SQRT(COUNT(D124:K124))</f>
        <v>1.1227136487638045E-2</v>
      </c>
      <c r="N124" s="2">
        <f>M124*$N$2</f>
        <v>1.2564952285499061E-2</v>
      </c>
    </row>
    <row r="125" spans="2:14" x14ac:dyDescent="0.55000000000000004">
      <c r="C125" s="2" t="s">
        <v>25</v>
      </c>
      <c r="D125" s="2">
        <v>4.45E-3</v>
      </c>
      <c r="E125" s="2">
        <v>1.5969999999999999E-3</v>
      </c>
      <c r="F125" s="2">
        <v>1.193E-3</v>
      </c>
      <c r="G125" s="2">
        <v>4.2300000000000003E-3</v>
      </c>
      <c r="H125" s="2">
        <v>1.4350000000000001E-3</v>
      </c>
      <c r="I125" s="2">
        <v>1.1410000000000001E-3</v>
      </c>
      <c r="J125" s="2">
        <v>1.9849999999999998E-3</v>
      </c>
      <c r="K125" s="2">
        <v>2.5999999999999998E-4</v>
      </c>
      <c r="L125" s="2">
        <f>(1/COUNT(D125:K125))*SQRT(SUMSQ(D125:K125))</f>
        <v>8.753391217836662E-4</v>
      </c>
    </row>
    <row r="126" spans="2:14" x14ac:dyDescent="0.55000000000000004">
      <c r="C126" s="2" t="s">
        <v>26</v>
      </c>
      <c r="D126" s="2">
        <v>0.64244900000000005</v>
      </c>
      <c r="E126" s="2">
        <v>0.76247699999999996</v>
      </c>
      <c r="F126" s="2">
        <v>0.59331299999999998</v>
      </c>
      <c r="G126" s="2">
        <v>0.69860199999999995</v>
      </c>
      <c r="H126" s="2">
        <v>0.64271900000000004</v>
      </c>
      <c r="I126" s="2">
        <v>0.64316499999999999</v>
      </c>
      <c r="J126" s="2">
        <v>0.72147099999999997</v>
      </c>
      <c r="K126" s="2">
        <v>0.56298599999999999</v>
      </c>
      <c r="L126" s="2">
        <f>AVERAGE(D126:K126)</f>
        <v>0.65839775</v>
      </c>
      <c r="M126" s="2">
        <f xml:space="preserve"> _xlfn.STDEV.S(D126:K126) / SQRT(COUNT(D126:K126))</f>
        <v>2.3337108740885799E-2</v>
      </c>
      <c r="N126" s="2">
        <f>M126*$N$2</f>
        <v>2.6117938276924119E-2</v>
      </c>
    </row>
    <row r="127" spans="2:14" x14ac:dyDescent="0.55000000000000004">
      <c r="C127" s="2" t="s">
        <v>27</v>
      </c>
      <c r="D127" s="2">
        <v>4.3810000000000003E-3</v>
      </c>
      <c r="E127" s="2">
        <v>1.1720000000000001E-3</v>
      </c>
      <c r="F127" s="2">
        <v>5.2800000000000004E-4</v>
      </c>
      <c r="G127" s="2">
        <v>3.9690000000000003E-3</v>
      </c>
      <c r="H127" s="2">
        <v>1.0870000000000001E-3</v>
      </c>
      <c r="I127" s="2">
        <v>9.41E-4</v>
      </c>
      <c r="J127" s="2">
        <v>1.4859999999999999E-3</v>
      </c>
      <c r="K127" s="2">
        <v>1.73E-4</v>
      </c>
      <c r="L127" s="2">
        <f>(1/COUNT(D127:K127))*SQRT(SUMSQ(D127:K127))</f>
        <v>7.9944966422220733E-4</v>
      </c>
    </row>
    <row r="128" spans="2:14" x14ac:dyDescent="0.55000000000000004">
      <c r="C128" s="2" t="s">
        <v>28</v>
      </c>
      <c r="D128" s="2">
        <v>2.4441199999999998</v>
      </c>
      <c r="E128" s="2">
        <v>2.602026</v>
      </c>
      <c r="F128" s="2">
        <v>3.1747580000000002</v>
      </c>
      <c r="G128" s="2">
        <v>3.5054460000000001</v>
      </c>
      <c r="H128" s="2">
        <v>1.767911</v>
      </c>
      <c r="I128" s="2">
        <v>2.9039489999999999</v>
      </c>
      <c r="J128" s="2">
        <v>3.0812179999999998</v>
      </c>
      <c r="K128" s="2">
        <v>2.6495519999999999</v>
      </c>
      <c r="L128" s="2">
        <f>AVERAGE(D128:K128)</f>
        <v>2.7661224999999998</v>
      </c>
      <c r="M128" s="2">
        <f xml:space="preserve"> _xlfn.STDEV.S(D128:K128) / SQRT(COUNT(D128:K128))</f>
        <v>0.18767809062594432</v>
      </c>
      <c r="N128" s="2">
        <f>M128*$N$2</f>
        <v>0.21004164831745692</v>
      </c>
    </row>
    <row r="129" spans="2:14" x14ac:dyDescent="0.55000000000000004">
      <c r="C129" s="2" t="s">
        <v>29</v>
      </c>
      <c r="D129" s="2">
        <v>7.0319999999999994E-2</v>
      </c>
      <c r="E129" s="2">
        <v>8.2810000000000002E-3</v>
      </c>
      <c r="F129" s="2">
        <v>5.3709999999999999E-3</v>
      </c>
      <c r="G129" s="2">
        <v>5.5579999999999997E-2</v>
      </c>
      <c r="H129" s="2">
        <v>9.2779999999999998E-3</v>
      </c>
      <c r="I129" s="2">
        <v>2.0177E-2</v>
      </c>
      <c r="J129" s="2">
        <v>1.8352E-2</v>
      </c>
      <c r="K129" s="2">
        <v>2.0790000000000001E-3</v>
      </c>
      <c r="L129" s="2">
        <f>(1/COUNT(D129:K129))*SQRT(SUMSQ(D129:K129))</f>
        <v>1.1835970175697472E-2</v>
      </c>
    </row>
    <row r="130" spans="2:14" x14ac:dyDescent="0.55000000000000004">
      <c r="C130" s="2" t="s">
        <v>30</v>
      </c>
      <c r="D130" s="2">
        <v>16.758023000000001</v>
      </c>
      <c r="E130" s="2">
        <v>20.117083000000001</v>
      </c>
      <c r="F130" s="2">
        <v>21.836787000000001</v>
      </c>
      <c r="G130" s="2">
        <v>35.455134000000001</v>
      </c>
      <c r="H130" s="2">
        <v>12.727039</v>
      </c>
      <c r="I130" s="2">
        <v>17.702089000000001</v>
      </c>
      <c r="J130" s="2">
        <v>24.485462999999999</v>
      </c>
      <c r="K130" s="2">
        <v>27.950982</v>
      </c>
      <c r="L130" s="2">
        <f>AVERAGE(D130:K130)</f>
        <v>22.129075000000004</v>
      </c>
      <c r="M130" s="2">
        <f xml:space="preserve"> _xlfn.STDEV.S(D130:K130) / SQRT(COUNT(D130:K130))</f>
        <v>2.5284426448122068</v>
      </c>
      <c r="N130" s="2">
        <f>M130*$N$2</f>
        <v>2.8297296664797313</v>
      </c>
    </row>
    <row r="131" spans="2:14" x14ac:dyDescent="0.55000000000000004">
      <c r="C131" s="2" t="s">
        <v>31</v>
      </c>
      <c r="D131" s="2">
        <v>8.2991999999999996E-2</v>
      </c>
      <c r="E131" s="2">
        <v>9.0287000000000006E-2</v>
      </c>
      <c r="F131" s="2">
        <v>1.5540999999999999E-2</v>
      </c>
      <c r="G131" s="2">
        <v>0.18226300000000001</v>
      </c>
      <c r="H131" s="2">
        <v>5.3984999999999998E-2</v>
      </c>
      <c r="I131" s="2">
        <v>5.4841000000000001E-2</v>
      </c>
      <c r="J131" s="2">
        <v>0.14910000000000001</v>
      </c>
      <c r="K131" s="2">
        <v>0.22733100000000001</v>
      </c>
      <c r="L131" s="2">
        <f>(1/COUNT(D131:K131))*SQRT(SUMSQ(D131:K131))</f>
        <v>4.4779467837880234E-2</v>
      </c>
    </row>
    <row r="132" spans="2:14" x14ac:dyDescent="0.55000000000000004">
      <c r="B132" s="2" t="s">
        <v>35</v>
      </c>
      <c r="C132" s="2" t="s">
        <v>22</v>
      </c>
      <c r="D132" s="2">
        <v>0.94969000000000003</v>
      </c>
      <c r="E132" s="2">
        <v>0.93985600000000002</v>
      </c>
      <c r="F132" s="2">
        <v>0.932002</v>
      </c>
      <c r="G132" s="2">
        <v>0.92363600000000001</v>
      </c>
      <c r="H132" s="2">
        <v>0.95121599999999995</v>
      </c>
      <c r="I132" s="2">
        <v>0.93337000000000003</v>
      </c>
      <c r="J132" s="2">
        <v>0.94640100000000005</v>
      </c>
      <c r="K132" s="2">
        <v>0.93237199999999998</v>
      </c>
      <c r="L132" s="2">
        <f>AVERAGE(D132:K132)</f>
        <v>0.93856787499999994</v>
      </c>
      <c r="M132" s="2">
        <f xml:space="preserve"> _xlfn.STDEV.S(D132:K132) / SQRT(COUNT(D132:K132))</f>
        <v>3.479973883509862E-3</v>
      </c>
      <c r="N132" s="2">
        <f>M132*$N$2</f>
        <v>3.8946445381892081E-3</v>
      </c>
    </row>
    <row r="133" spans="2:14" x14ac:dyDescent="0.55000000000000004">
      <c r="C133" s="2" t="s">
        <v>23</v>
      </c>
      <c r="D133" s="2">
        <v>3.01E-4</v>
      </c>
      <c r="E133" s="2">
        <v>5.7899999999999998E-4</v>
      </c>
      <c r="F133" s="2">
        <v>2.6800000000000001E-4</v>
      </c>
      <c r="G133" s="2">
        <v>3.7300000000000001E-4</v>
      </c>
      <c r="H133" s="2">
        <v>1.3100000000000001E-4</v>
      </c>
      <c r="I133" s="2">
        <v>4.1300000000000001E-4</v>
      </c>
      <c r="J133" s="2">
        <v>5.8299999999999997E-4</v>
      </c>
      <c r="K133" s="2">
        <v>1.07E-4</v>
      </c>
      <c r="L133" s="2">
        <f>(1/COUNT(D133:K133))*SQRT(SUMSQ(D133:K133))</f>
        <v>1.3554652107302496E-4</v>
      </c>
    </row>
    <row r="134" spans="2:14" x14ac:dyDescent="0.55000000000000004">
      <c r="C134" s="2" t="s">
        <v>24</v>
      </c>
      <c r="D134" s="2">
        <v>0.30883899999999997</v>
      </c>
      <c r="E134" s="2">
        <v>0.33526</v>
      </c>
      <c r="F134" s="2">
        <v>0.360846</v>
      </c>
      <c r="G134" s="2">
        <v>0.38295499999999999</v>
      </c>
      <c r="H134" s="2">
        <v>0.30704500000000001</v>
      </c>
      <c r="I134" s="2">
        <v>0.35936899999999999</v>
      </c>
      <c r="J134" s="2">
        <v>0.31662800000000002</v>
      </c>
      <c r="K134" s="2">
        <v>0.36041400000000001</v>
      </c>
      <c r="L134" s="2">
        <f>AVERAGE(D134:K134)</f>
        <v>0.34141949999999999</v>
      </c>
      <c r="M134" s="2">
        <f xml:space="preserve"> _xlfn.STDEV.S(D134:K134) / SQRT(COUNT(D134:K134))</f>
        <v>1.0072252714760485E-2</v>
      </c>
      <c r="N134" s="2">
        <f>M134*$N$2</f>
        <v>1.1272453568886728E-2</v>
      </c>
    </row>
    <row r="135" spans="2:14" x14ac:dyDescent="0.55000000000000004">
      <c r="C135" s="2" t="s">
        <v>25</v>
      </c>
      <c r="D135" s="2">
        <v>8.3900000000000001E-4</v>
      </c>
      <c r="E135" s="2">
        <v>1.5100000000000001E-3</v>
      </c>
      <c r="F135" s="2">
        <v>6.2500000000000001E-4</v>
      </c>
      <c r="G135" s="2">
        <v>8.8800000000000001E-4</v>
      </c>
      <c r="H135" s="2">
        <v>3.8200000000000002E-4</v>
      </c>
      <c r="I135" s="2">
        <v>1.065E-3</v>
      </c>
      <c r="J135" s="2">
        <v>1.603E-3</v>
      </c>
      <c r="K135" s="2">
        <v>2.7E-4</v>
      </c>
      <c r="L135" s="2">
        <f>(1/COUNT(D135:K135))*SQRT(SUMSQ(D135:K135))</f>
        <v>3.554453192827274E-4</v>
      </c>
    </row>
    <row r="136" spans="2:14" x14ac:dyDescent="0.55000000000000004">
      <c r="C136" s="2" t="s">
        <v>26</v>
      </c>
      <c r="D136" s="2">
        <v>0.64238600000000001</v>
      </c>
      <c r="E136" s="2">
        <v>0.748394</v>
      </c>
      <c r="F136" s="2">
        <v>0.592777</v>
      </c>
      <c r="G136" s="2">
        <v>0.70065999999999995</v>
      </c>
      <c r="H136" s="2">
        <v>0.64101300000000005</v>
      </c>
      <c r="I136" s="2">
        <v>0.62939699999999998</v>
      </c>
      <c r="J136" s="2">
        <v>0.70389800000000002</v>
      </c>
      <c r="K136" s="2">
        <v>0.56156499999999998</v>
      </c>
      <c r="L136" s="2">
        <f>AVERAGE(D136:K136)</f>
        <v>0.65251124999999999</v>
      </c>
      <c r="M136" s="2">
        <f xml:space="preserve"> _xlfn.STDEV.S(D136:K136) / SQRT(COUNT(D136:K136))</f>
        <v>2.1860271349895717E-2</v>
      </c>
      <c r="N136" s="2">
        <f>M136*$N$2</f>
        <v>2.4465122229692188E-2</v>
      </c>
    </row>
    <row r="137" spans="2:14" x14ac:dyDescent="0.55000000000000004">
      <c r="C137" s="2" t="s">
        <v>27</v>
      </c>
      <c r="D137" s="2">
        <v>7.9500000000000003E-4</v>
      </c>
      <c r="E137" s="2">
        <v>1.0989999999999999E-3</v>
      </c>
      <c r="F137" s="2">
        <v>2.6699999999999998E-4</v>
      </c>
      <c r="G137" s="2">
        <v>9.9700000000000006E-4</v>
      </c>
      <c r="H137" s="2">
        <v>2.6699999999999998E-4</v>
      </c>
      <c r="I137" s="2">
        <v>8.1300000000000003E-4</v>
      </c>
      <c r="J137" s="2">
        <v>1.157E-3</v>
      </c>
      <c r="K137" s="2">
        <v>1.94E-4</v>
      </c>
      <c r="L137" s="2">
        <f>(1/COUNT(D137:K137))*SQRT(SUMSQ(D137:K137))</f>
        <v>2.7989024076412525E-4</v>
      </c>
    </row>
    <row r="138" spans="2:14" x14ac:dyDescent="0.55000000000000004">
      <c r="C138" s="2" t="s">
        <v>28</v>
      </c>
      <c r="D138" s="2">
        <v>2.4164099999999999</v>
      </c>
      <c r="E138" s="2">
        <v>2.7104840000000001</v>
      </c>
      <c r="F138" s="2">
        <v>3.1685759999999998</v>
      </c>
      <c r="G138" s="2">
        <v>3.376687</v>
      </c>
      <c r="H138" s="2">
        <v>1.776405</v>
      </c>
      <c r="I138" s="2">
        <v>3.180733</v>
      </c>
      <c r="J138" s="2">
        <v>3.1421199999999998</v>
      </c>
      <c r="K138" s="2">
        <v>2.6717439999999999</v>
      </c>
      <c r="L138" s="2">
        <f>AVERAGE(D138:K138)</f>
        <v>2.8053948749999997</v>
      </c>
      <c r="M138" s="2">
        <f xml:space="preserve"> _xlfn.STDEV.S(D138:K138) / SQRT(COUNT(D138:K138))</f>
        <v>0.1865828887969137</v>
      </c>
      <c r="N138" s="2">
        <f>M138*$N$2</f>
        <v>0.20881594319309923</v>
      </c>
    </row>
    <row r="139" spans="2:14" x14ac:dyDescent="0.55000000000000004">
      <c r="C139" s="2" t="s">
        <v>29</v>
      </c>
      <c r="D139" s="2">
        <v>1.3828999999999999E-2</v>
      </c>
      <c r="E139" s="2">
        <v>9.0729999999999995E-3</v>
      </c>
      <c r="F139" s="2">
        <v>2.9629999999999999E-3</v>
      </c>
      <c r="G139" s="2">
        <v>1.0880000000000001E-2</v>
      </c>
      <c r="H139" s="2">
        <v>2.3860000000000001E-3</v>
      </c>
      <c r="I139" s="2">
        <v>1.6858000000000001E-2</v>
      </c>
      <c r="J139" s="2">
        <v>1.291E-2</v>
      </c>
      <c r="K139" s="2">
        <v>2.6719999999999999E-3</v>
      </c>
      <c r="L139" s="2">
        <f>(1/COUNT(D139:K139))*SQRT(SUMSQ(D139:K139))</f>
        <v>3.6751003026278071E-3</v>
      </c>
    </row>
    <row r="140" spans="2:14" x14ac:dyDescent="0.55000000000000004">
      <c r="C140" s="2" t="s">
        <v>30</v>
      </c>
      <c r="D140" s="2">
        <v>15.900067999999999</v>
      </c>
      <c r="E140" s="2">
        <v>19.978224999999998</v>
      </c>
      <c r="F140" s="2">
        <v>21.589593000000001</v>
      </c>
      <c r="G140" s="2">
        <v>33.794888</v>
      </c>
      <c r="H140" s="2">
        <v>12.799759999999999</v>
      </c>
      <c r="I140" s="2">
        <v>18.235931000000001</v>
      </c>
      <c r="J140" s="2">
        <v>23.972947000000001</v>
      </c>
      <c r="K140" s="2">
        <v>32.492578000000002</v>
      </c>
      <c r="L140" s="2">
        <f>AVERAGE(D140:K140)</f>
        <v>22.345498750000001</v>
      </c>
      <c r="M140" s="2">
        <f xml:space="preserve"> _xlfn.STDEV.S(D140:K140) / SQRT(COUNT(D140:K140))</f>
        <v>2.6471984879864832</v>
      </c>
      <c r="N140" s="2">
        <f>M140*$N$2</f>
        <v>2.962636352414473</v>
      </c>
    </row>
    <row r="141" spans="2:14" x14ac:dyDescent="0.55000000000000004">
      <c r="C141" s="2" t="s">
        <v>31</v>
      </c>
      <c r="D141" s="2">
        <v>2.8398E-2</v>
      </c>
      <c r="E141" s="2">
        <v>5.1305000000000003E-2</v>
      </c>
      <c r="F141" s="2">
        <v>6.9629999999999996E-3</v>
      </c>
      <c r="G141" s="2">
        <v>7.1982000000000004E-2</v>
      </c>
      <c r="H141" s="2">
        <v>1.9021E-2</v>
      </c>
      <c r="I141" s="2">
        <v>4.2569000000000003E-2</v>
      </c>
      <c r="J141" s="2">
        <v>0.115081</v>
      </c>
      <c r="K141" s="2">
        <v>0.19409999999999999</v>
      </c>
      <c r="L141" s="2">
        <f>(1/COUNT(D141:K141))*SQRT(SUMSQ(D141:K141))</f>
        <v>3.106467695716672E-2</v>
      </c>
    </row>
    <row r="142" spans="2:14" x14ac:dyDescent="0.55000000000000004">
      <c r="B142" s="2" t="s">
        <v>45</v>
      </c>
      <c r="C142" s="2" t="s">
        <v>22</v>
      </c>
      <c r="D142" s="2">
        <v>0.95513999999999999</v>
      </c>
      <c r="E142" s="2">
        <v>0.945766</v>
      </c>
      <c r="F142" s="2">
        <v>0.92772200000000005</v>
      </c>
      <c r="G142" s="2">
        <v>0.94817899999999999</v>
      </c>
      <c r="H142" s="2">
        <v>0.95446600000000004</v>
      </c>
      <c r="I142" s="2">
        <v>0.93859000000000004</v>
      </c>
      <c r="J142" s="2">
        <v>0.95921599999999996</v>
      </c>
      <c r="K142" s="2">
        <v>0.93727499999999997</v>
      </c>
      <c r="L142" s="2">
        <f>AVERAGE(D142:K142)</f>
        <v>0.94579424999999984</v>
      </c>
      <c r="M142" s="2">
        <f xml:space="preserve"> _xlfn.STDEV.S(D142:K142) / SQRT(COUNT(D142:K142))</f>
        <v>3.7783654664701564E-3</v>
      </c>
      <c r="N142" s="2">
        <f>M142*$N$2</f>
        <v>4.2285922020854185E-3</v>
      </c>
    </row>
    <row r="143" spans="2:14" x14ac:dyDescent="0.55000000000000004">
      <c r="C143" s="2" t="s">
        <v>23</v>
      </c>
      <c r="D143" s="2">
        <v>6.3000000000000003E-4</v>
      </c>
      <c r="E143" s="2">
        <v>1.4499999999999999E-3</v>
      </c>
      <c r="F143" s="2">
        <v>1.8489999999999999E-3</v>
      </c>
      <c r="G143" s="2">
        <v>6.1300000000000005E-4</v>
      </c>
      <c r="H143" s="2">
        <v>5.0500000000000002E-4</v>
      </c>
      <c r="I143" s="2">
        <v>2.5000000000000001E-4</v>
      </c>
      <c r="J143" s="2">
        <v>9.9200000000000004E-4</v>
      </c>
      <c r="K143" s="2">
        <v>6.6299999999999996E-4</v>
      </c>
      <c r="L143" s="2">
        <f>(1/COUNT(D143:K143))*SQRT(SUMSQ(D143:K143))</f>
        <v>3.5432876682538775E-4</v>
      </c>
    </row>
    <row r="144" spans="2:14" x14ac:dyDescent="0.55000000000000004">
      <c r="C144" s="2" t="s">
        <v>24</v>
      </c>
      <c r="D144" s="2">
        <v>0.293852</v>
      </c>
      <c r="E144" s="2">
        <v>0.31833499999999998</v>
      </c>
      <c r="F144" s="2">
        <v>0.37202200000000002</v>
      </c>
      <c r="G144" s="2">
        <v>0.31570700000000002</v>
      </c>
      <c r="H144" s="2">
        <v>0.29724600000000001</v>
      </c>
      <c r="I144" s="2">
        <v>0.34488600000000003</v>
      </c>
      <c r="J144" s="2">
        <v>0.27856199999999998</v>
      </c>
      <c r="K144" s="2">
        <v>0.34700399999999998</v>
      </c>
      <c r="L144" s="2">
        <f>AVERAGE(D144:K144)</f>
        <v>0.32095174999999998</v>
      </c>
      <c r="M144" s="2">
        <f xml:space="preserve"> _xlfn.STDEV.S(D144:K144) / SQRT(COUNT(D144:K144))</f>
        <v>1.1170227655868462E-2</v>
      </c>
      <c r="N144" s="2">
        <f>M144*$N$2</f>
        <v>1.2501262246939749E-2</v>
      </c>
    </row>
    <row r="145" spans="2:14" x14ac:dyDescent="0.55000000000000004">
      <c r="C145" s="2" t="s">
        <v>25</v>
      </c>
      <c r="D145" s="2">
        <v>1.9239999999999999E-3</v>
      </c>
      <c r="E145" s="2">
        <v>3.643E-3</v>
      </c>
      <c r="F145" s="2">
        <v>4.7019999999999996E-3</v>
      </c>
      <c r="G145" s="2">
        <v>1.639E-3</v>
      </c>
      <c r="H145" s="2">
        <v>1.498E-3</v>
      </c>
      <c r="I145" s="2">
        <v>6.7500000000000004E-4</v>
      </c>
      <c r="J145" s="2">
        <v>2.941E-3</v>
      </c>
      <c r="K145" s="2">
        <v>1.9220000000000001E-3</v>
      </c>
      <c r="L145" s="2">
        <f>(1/COUNT(D145:K145))*SQRT(SUMSQ(D145:K145))</f>
        <v>9.4216791231711979E-4</v>
      </c>
    </row>
    <row r="146" spans="2:14" x14ac:dyDescent="0.55000000000000004">
      <c r="C146" s="2" t="s">
        <v>26</v>
      </c>
      <c r="D146" s="2">
        <v>0.65495800000000004</v>
      </c>
      <c r="E146" s="2">
        <v>0.75961900000000004</v>
      </c>
      <c r="F146" s="2">
        <v>0.58963699999999997</v>
      </c>
      <c r="G146" s="2">
        <v>0.74520500000000001</v>
      </c>
      <c r="H146" s="2">
        <v>0.65070700000000004</v>
      </c>
      <c r="I146" s="2">
        <v>0.64159200000000005</v>
      </c>
      <c r="J146" s="2">
        <v>0.73297100000000004</v>
      </c>
      <c r="K146" s="2">
        <v>0.570492</v>
      </c>
      <c r="L146" s="2">
        <f>AVERAGE(D146:K146)</f>
        <v>0.66814762500000002</v>
      </c>
      <c r="M146" s="2">
        <f xml:space="preserve"> _xlfn.STDEV.S(D146:K146) / SQRT(COUNT(D146:K146))</f>
        <v>2.5139185260648296E-2</v>
      </c>
      <c r="N146" s="2">
        <f>M146*$N$2</f>
        <v>2.8134748664021995E-2</v>
      </c>
    </row>
    <row r="147" spans="2:14" x14ac:dyDescent="0.55000000000000004">
      <c r="C147" s="2" t="s">
        <v>27</v>
      </c>
      <c r="D147" s="2">
        <v>1.9650000000000002E-3</v>
      </c>
      <c r="E147" s="2">
        <v>2.738E-3</v>
      </c>
      <c r="F147" s="2">
        <v>1.519E-3</v>
      </c>
      <c r="G147" s="2">
        <v>1.511E-3</v>
      </c>
      <c r="H147" s="2">
        <v>1.1280000000000001E-3</v>
      </c>
      <c r="I147" s="2">
        <v>5.2300000000000003E-4</v>
      </c>
      <c r="J147" s="2">
        <v>1.9040000000000001E-3</v>
      </c>
      <c r="K147" s="2">
        <v>1.4760000000000001E-3</v>
      </c>
      <c r="L147" s="2">
        <f>(1/COUNT(D147:K147))*SQRT(SUMSQ(D147:K147))</f>
        <v>6.0335074790705281E-4</v>
      </c>
    </row>
    <row r="148" spans="2:14" x14ac:dyDescent="0.55000000000000004">
      <c r="C148" s="2" t="s">
        <v>28</v>
      </c>
      <c r="D148" s="2">
        <v>2.1652459999999998</v>
      </c>
      <c r="E148" s="2">
        <v>2.5476019999999999</v>
      </c>
      <c r="F148" s="2">
        <v>3.1941310000000001</v>
      </c>
      <c r="G148" s="2">
        <v>2.8734359999999999</v>
      </c>
      <c r="H148" s="2">
        <v>1.6813210000000001</v>
      </c>
      <c r="I148" s="2">
        <v>3.1278260000000002</v>
      </c>
      <c r="J148" s="2">
        <v>2.8067329999999999</v>
      </c>
      <c r="K148" s="2">
        <v>2.542808</v>
      </c>
      <c r="L148" s="2">
        <f>AVERAGE(D148:K148)</f>
        <v>2.6173878750000004</v>
      </c>
      <c r="M148" s="2">
        <f xml:space="preserve"> _xlfn.STDEV.S(D148:K148) / SQRT(COUNT(D148:K148))</f>
        <v>0.17856959557984989</v>
      </c>
      <c r="N148" s="2">
        <f>M148*$N$2</f>
        <v>0.19984779294098609</v>
      </c>
    </row>
    <row r="149" spans="2:14" x14ac:dyDescent="0.55000000000000004">
      <c r="C149" s="2" t="s">
        <v>29</v>
      </c>
      <c r="D149" s="2">
        <v>2.2488999999999999E-2</v>
      </c>
      <c r="E149" s="2">
        <v>2.1225999999999998E-2</v>
      </c>
      <c r="F149" s="2">
        <v>1.7472999999999999E-2</v>
      </c>
      <c r="G149" s="2">
        <v>1.0946000000000001E-2</v>
      </c>
      <c r="H149" s="2">
        <v>7.2760000000000003E-3</v>
      </c>
      <c r="I149" s="2">
        <v>1.2102999999999999E-2</v>
      </c>
      <c r="J149" s="2">
        <v>1.8287000000000001E-2</v>
      </c>
      <c r="K149" s="2">
        <v>1.2008E-2</v>
      </c>
      <c r="L149" s="2">
        <f>(1/COUNT(D149:K149))*SQRT(SUMSQ(D149:K149))</f>
        <v>5.6726427648407405E-3</v>
      </c>
    </row>
    <row r="150" spans="2:14" x14ac:dyDescent="0.55000000000000004">
      <c r="C150" s="2" t="s">
        <v>30</v>
      </c>
      <c r="D150" s="2">
        <v>15.303915</v>
      </c>
      <c r="E150" s="2">
        <v>19.182454</v>
      </c>
      <c r="F150" s="2">
        <v>21.605802000000001</v>
      </c>
      <c r="G150" s="2">
        <v>29.746638999999998</v>
      </c>
      <c r="H150" s="2">
        <v>12.359035</v>
      </c>
      <c r="I150" s="2">
        <v>18.939177999999998</v>
      </c>
      <c r="J150" s="2">
        <v>22.013034000000001</v>
      </c>
      <c r="K150" s="2">
        <v>30.807098</v>
      </c>
      <c r="L150" s="2">
        <f>AVERAGE(D150:K150)</f>
        <v>21.244644375</v>
      </c>
      <c r="M150" s="2">
        <f xml:space="preserve"> _xlfn.STDEV.S(D150:K150) / SQRT(COUNT(D150:K150))</f>
        <v>2.2688079516438884</v>
      </c>
      <c r="N150" s="2">
        <f>M150*$N$2</f>
        <v>2.5391571295811057</v>
      </c>
    </row>
    <row r="151" spans="2:14" x14ac:dyDescent="0.55000000000000004">
      <c r="C151" s="2" t="s">
        <v>31</v>
      </c>
      <c r="D151" s="2">
        <v>3.2751000000000002E-2</v>
      </c>
      <c r="E151" s="2">
        <v>4.9897999999999998E-2</v>
      </c>
      <c r="F151" s="2">
        <v>7.3810000000000004E-3</v>
      </c>
      <c r="G151" s="2">
        <v>0.10831200000000001</v>
      </c>
      <c r="H151" s="2">
        <v>3.7163000000000002E-2</v>
      </c>
      <c r="I151" s="2">
        <v>5.6598999999999997E-2</v>
      </c>
      <c r="J151" s="2">
        <v>9.9956000000000003E-2</v>
      </c>
      <c r="K151" s="2">
        <v>0.45490900000000001</v>
      </c>
      <c r="L151" s="2">
        <f>(1/COUNT(D151:K151))*SQRT(SUMSQ(D151:K151))</f>
        <v>6.0836145518233034E-2</v>
      </c>
    </row>
    <row r="152" spans="2:14" x14ac:dyDescent="0.55000000000000004">
      <c r="B152" s="2" t="s">
        <v>46</v>
      </c>
      <c r="C152" s="2" t="s">
        <v>22</v>
      </c>
      <c r="L152" s="2" t="e">
        <f>AVERAGE(D152:K152)</f>
        <v>#DIV/0!</v>
      </c>
      <c r="M152" s="2" t="e">
        <f xml:space="preserve"> _xlfn.STDEV.S(D152:K152) / SQRT(COUNT(D152:K152))</f>
        <v>#DIV/0!</v>
      </c>
      <c r="N152" s="2" t="e">
        <f>M152*$N$2</f>
        <v>#DIV/0!</v>
      </c>
    </row>
    <row r="153" spans="2:14" x14ac:dyDescent="0.55000000000000004">
      <c r="C153" s="2" t="s">
        <v>23</v>
      </c>
      <c r="L153" s="2" t="e">
        <f>(1/COUNT(D153:K153))*SQRT(SUMSQ(D153:K153))</f>
        <v>#DIV/0!</v>
      </c>
    </row>
    <row r="154" spans="2:14" x14ac:dyDescent="0.55000000000000004">
      <c r="C154" s="2" t="s">
        <v>24</v>
      </c>
      <c r="L154" s="2" t="e">
        <f>AVERAGE(D154:K154)</f>
        <v>#DIV/0!</v>
      </c>
      <c r="M154" s="2" t="e">
        <f xml:space="preserve"> _xlfn.STDEV.S(D154:K154) / SQRT(COUNT(D154:K154))</f>
        <v>#DIV/0!</v>
      </c>
      <c r="N154" s="2" t="e">
        <f>M154*$N$2</f>
        <v>#DIV/0!</v>
      </c>
    </row>
    <row r="155" spans="2:14" x14ac:dyDescent="0.55000000000000004">
      <c r="C155" s="2" t="s">
        <v>25</v>
      </c>
      <c r="L155" s="2" t="e">
        <f>(1/COUNT(D155:K155))*SQRT(SUMSQ(D155:K155))</f>
        <v>#DIV/0!</v>
      </c>
    </row>
    <row r="156" spans="2:14" x14ac:dyDescent="0.55000000000000004">
      <c r="C156" s="2" t="s">
        <v>26</v>
      </c>
      <c r="L156" s="2" t="e">
        <f>AVERAGE(D156:K156)</f>
        <v>#DIV/0!</v>
      </c>
      <c r="M156" s="2" t="e">
        <f xml:space="preserve"> _xlfn.STDEV.S(D156:K156) / SQRT(COUNT(D156:K156))</f>
        <v>#DIV/0!</v>
      </c>
      <c r="N156" s="2" t="e">
        <f>M156*$N$2</f>
        <v>#DIV/0!</v>
      </c>
    </row>
    <row r="157" spans="2:14" x14ac:dyDescent="0.55000000000000004">
      <c r="C157" s="2" t="s">
        <v>27</v>
      </c>
      <c r="L157" s="2" t="e">
        <f>(1/COUNT(D157:K157))*SQRT(SUMSQ(D157:K157))</f>
        <v>#DIV/0!</v>
      </c>
    </row>
    <row r="158" spans="2:14" x14ac:dyDescent="0.55000000000000004">
      <c r="C158" s="2" t="s">
        <v>28</v>
      </c>
      <c r="L158" s="2" t="e">
        <f>AVERAGE(D158:K158)</f>
        <v>#DIV/0!</v>
      </c>
      <c r="M158" s="2" t="e">
        <f xml:space="preserve"> _xlfn.STDEV.S(D158:K158) / SQRT(COUNT(D158:K158))</f>
        <v>#DIV/0!</v>
      </c>
      <c r="N158" s="2" t="e">
        <f>M158*$N$2</f>
        <v>#DIV/0!</v>
      </c>
    </row>
    <row r="159" spans="2:14" x14ac:dyDescent="0.55000000000000004">
      <c r="C159" s="2" t="s">
        <v>29</v>
      </c>
      <c r="L159" s="2" t="e">
        <f>(1/COUNT(D159:K159))*SQRT(SUMSQ(D159:K159))</f>
        <v>#DIV/0!</v>
      </c>
    </row>
    <row r="160" spans="2:14" x14ac:dyDescent="0.55000000000000004">
      <c r="C160" s="2" t="s">
        <v>30</v>
      </c>
      <c r="L160" s="2" t="e">
        <f>AVERAGE(D160:K160)</f>
        <v>#DIV/0!</v>
      </c>
      <c r="M160" s="2" t="e">
        <f xml:space="preserve"> _xlfn.STDEV.S(D160:K160) / SQRT(COUNT(D160:K160))</f>
        <v>#DIV/0!</v>
      </c>
      <c r="N160" s="2" t="e">
        <f>M160*$N$2</f>
        <v>#DIV/0!</v>
      </c>
    </row>
    <row r="161" spans="2:14" x14ac:dyDescent="0.55000000000000004">
      <c r="C161" s="2" t="s">
        <v>31</v>
      </c>
      <c r="L161" s="2" t="e">
        <f>(1/COUNT(D161:K161))*SQRT(SUMSQ(D161:K161))</f>
        <v>#DIV/0!</v>
      </c>
    </row>
    <row r="162" spans="2:14" x14ac:dyDescent="0.55000000000000004">
      <c r="B162" s="2" t="s">
        <v>36</v>
      </c>
      <c r="C162" s="2" t="s">
        <v>22</v>
      </c>
      <c r="D162" s="2">
        <v>0.95733599999999996</v>
      </c>
      <c r="E162" s="2">
        <v>0.95099500000000003</v>
      </c>
      <c r="F162" s="2">
        <v>0.93471800000000005</v>
      </c>
      <c r="G162" s="2">
        <v>0.94972100000000004</v>
      </c>
      <c r="H162" s="2">
        <v>0.95662100000000005</v>
      </c>
      <c r="I162" s="2">
        <v>0.941631</v>
      </c>
      <c r="J162" s="2">
        <v>0.961364</v>
      </c>
      <c r="K162" s="2">
        <v>0.93610599999999999</v>
      </c>
      <c r="L162" s="2">
        <f>AVERAGE(D162:K162)</f>
        <v>0.94856149999999995</v>
      </c>
      <c r="M162" s="2">
        <f xml:space="preserve"> _xlfn.STDEV.S(D162:K162) / SQRT(COUNT(D162:K162))</f>
        <v>3.555507704353103E-3</v>
      </c>
      <c r="N162" s="2">
        <f>M162*$N$2</f>
        <v>3.9791789032859329E-3</v>
      </c>
    </row>
    <row r="163" spans="2:14" x14ac:dyDescent="0.55000000000000004">
      <c r="C163" s="2" t="s">
        <v>24</v>
      </c>
      <c r="D163" s="2">
        <v>0.28708499999999998</v>
      </c>
      <c r="E163" s="2">
        <v>0.30542399999999997</v>
      </c>
      <c r="F163" s="2">
        <v>0.35468699999999997</v>
      </c>
      <c r="G163" s="2">
        <v>0.31179899999999999</v>
      </c>
      <c r="H163" s="2">
        <v>0.29058200000000001</v>
      </c>
      <c r="I163" s="2">
        <v>0.33696999999999999</v>
      </c>
      <c r="J163" s="2">
        <v>0.272401</v>
      </c>
      <c r="K163" s="2">
        <v>0.35016000000000003</v>
      </c>
      <c r="L163" s="2">
        <f t="shared" ref="L163:L171" si="7">AVERAGE(D163:K163)</f>
        <v>0.31363849999999993</v>
      </c>
      <c r="M163" s="2">
        <f t="shared" ref="M163:M179" si="8" xml:space="preserve"> _xlfn.STDEV.S(D163:K163) / SQRT(COUNT(D163:K163))</f>
        <v>1.0832525376647603E-2</v>
      </c>
      <c r="N163" s="2">
        <f t="shared" ref="N163:N179" si="9">M163*$N$2</f>
        <v>1.2123319658481287E-2</v>
      </c>
    </row>
    <row r="164" spans="2:14" x14ac:dyDescent="0.55000000000000004">
      <c r="C164" s="2" t="s">
        <v>26</v>
      </c>
      <c r="D164" s="2">
        <v>0.66053899999999999</v>
      </c>
      <c r="E164" s="2">
        <v>0.769092</v>
      </c>
      <c r="F164" s="2">
        <v>0.59517900000000001</v>
      </c>
      <c r="G164" s="2">
        <v>0.74854900000000002</v>
      </c>
      <c r="H164" s="2">
        <v>0.65568199999999999</v>
      </c>
      <c r="I164" s="2">
        <v>0.64755799999999997</v>
      </c>
      <c r="J164" s="2">
        <v>0.73703300000000005</v>
      </c>
      <c r="K164" s="2">
        <v>0.56839499999999998</v>
      </c>
      <c r="L164" s="2">
        <f t="shared" si="7"/>
        <v>0.67275337499999999</v>
      </c>
      <c r="M164" s="2">
        <f t="shared" si="8"/>
        <v>2.5753592480979141E-2</v>
      </c>
      <c r="N164" s="2">
        <f t="shared" si="9"/>
        <v>2.8822368113186392E-2</v>
      </c>
    </row>
    <row r="165" spans="2:14" x14ac:dyDescent="0.55000000000000004">
      <c r="C165" s="2" t="s">
        <v>28</v>
      </c>
      <c r="D165" s="2">
        <v>2.086309</v>
      </c>
      <c r="E165" s="2">
        <v>2.4782120000000001</v>
      </c>
      <c r="F165" s="2">
        <v>3.101442</v>
      </c>
      <c r="G165" s="2">
        <v>2.845116</v>
      </c>
      <c r="H165" s="2">
        <v>1.643653</v>
      </c>
      <c r="I165" s="2">
        <v>3.0169100000000002</v>
      </c>
      <c r="J165" s="2">
        <v>2.767531</v>
      </c>
      <c r="K165" s="2">
        <v>2.6051929999999999</v>
      </c>
      <c r="L165" s="2">
        <f t="shared" si="7"/>
        <v>2.5680457499999996</v>
      </c>
      <c r="M165" s="2">
        <f t="shared" si="8"/>
        <v>0.17415998577967648</v>
      </c>
      <c r="N165" s="2">
        <f t="shared" si="9"/>
        <v>0.19491273788061028</v>
      </c>
    </row>
    <row r="166" spans="2:14" x14ac:dyDescent="0.55000000000000004">
      <c r="C166" s="2" t="s">
        <v>30</v>
      </c>
      <c r="D166" s="2">
        <v>15.111412</v>
      </c>
      <c r="E166" s="2">
        <v>18.815808000000001</v>
      </c>
      <c r="F166" s="2">
        <v>21.513318000000002</v>
      </c>
      <c r="G166" s="2">
        <v>29.632389</v>
      </c>
      <c r="H166" s="2">
        <v>12.136544000000001</v>
      </c>
      <c r="I166" s="2">
        <v>19.166473</v>
      </c>
      <c r="J166" s="2">
        <v>21.974508</v>
      </c>
      <c r="K166" s="2">
        <v>35.894762</v>
      </c>
      <c r="L166" s="2">
        <f t="shared" si="7"/>
        <v>21.780651750000004</v>
      </c>
      <c r="M166" s="2">
        <f t="shared" si="8"/>
        <v>2.7192394410254823</v>
      </c>
      <c r="N166" s="2">
        <f t="shared" si="9"/>
        <v>3.0432616426239214</v>
      </c>
    </row>
    <row r="167" spans="2:14" x14ac:dyDescent="0.55000000000000004">
      <c r="B167" s="2" t="s">
        <v>37</v>
      </c>
      <c r="C167" s="2" t="s">
        <v>22</v>
      </c>
      <c r="D167" s="2">
        <v>0.94849700000000003</v>
      </c>
      <c r="E167" s="2">
        <v>0.93757999999999997</v>
      </c>
      <c r="F167" s="2">
        <v>0.93134300000000003</v>
      </c>
      <c r="G167" s="2">
        <v>0.92370799999999997</v>
      </c>
      <c r="H167" s="2">
        <v>0.94730099999999995</v>
      </c>
      <c r="I167" s="2">
        <v>0.93383000000000005</v>
      </c>
      <c r="J167" s="2">
        <v>0.952399</v>
      </c>
      <c r="K167" s="2">
        <v>0.92850999999999995</v>
      </c>
      <c r="L167" s="2">
        <f t="shared" si="7"/>
        <v>0.93789600000000006</v>
      </c>
      <c r="M167" s="2">
        <f t="shared" si="8"/>
        <v>3.6842875740869412E-3</v>
      </c>
      <c r="N167" s="2">
        <f t="shared" si="9"/>
        <v>4.1233040700477458E-3</v>
      </c>
    </row>
    <row r="168" spans="2:14" x14ac:dyDescent="0.55000000000000004">
      <c r="C168" s="2" t="s">
        <v>24</v>
      </c>
      <c r="D168" s="2">
        <v>0.315465</v>
      </c>
      <c r="E168" s="2">
        <v>0.34075</v>
      </c>
      <c r="F168" s="2">
        <v>0.36302499999999999</v>
      </c>
      <c r="G168" s="2">
        <v>0.38352399999999998</v>
      </c>
      <c r="H168" s="2">
        <v>0.31894800000000001</v>
      </c>
      <c r="I168" s="2">
        <v>0.35816999999999999</v>
      </c>
      <c r="J168" s="2">
        <v>0.30010100000000001</v>
      </c>
      <c r="K168" s="2">
        <v>0.37133100000000002</v>
      </c>
      <c r="L168" s="2">
        <f t="shared" si="7"/>
        <v>0.34391425000000003</v>
      </c>
      <c r="M168" s="2">
        <f t="shared" si="8"/>
        <v>1.0565564405433204E-2</v>
      </c>
      <c r="N168" s="2">
        <f t="shared" si="9"/>
        <v>1.1824547850630477E-2</v>
      </c>
    </row>
    <row r="169" spans="2:14" x14ac:dyDescent="0.55000000000000004">
      <c r="C169" s="2" t="s">
        <v>26</v>
      </c>
      <c r="D169" s="2">
        <v>0.63716099999999998</v>
      </c>
      <c r="E169" s="2">
        <v>0.74663400000000002</v>
      </c>
      <c r="F169" s="2">
        <v>0.59119999999999995</v>
      </c>
      <c r="G169" s="2">
        <v>0.708762</v>
      </c>
      <c r="H169" s="2">
        <v>0.62887899999999997</v>
      </c>
      <c r="I169" s="2">
        <v>0.63046500000000005</v>
      </c>
      <c r="J169" s="2">
        <v>0.71742600000000001</v>
      </c>
      <c r="K169" s="2">
        <v>0.55111500000000002</v>
      </c>
      <c r="L169" s="2">
        <f t="shared" si="7"/>
        <v>0.65145525000000004</v>
      </c>
      <c r="M169" s="2">
        <f t="shared" si="8"/>
        <v>2.373539478270946E-2</v>
      </c>
      <c r="N169" s="2">
        <f t="shared" si="9"/>
        <v>2.6563683736329984E-2</v>
      </c>
    </row>
    <row r="170" spans="2:14" x14ac:dyDescent="0.55000000000000004">
      <c r="C170" s="2" t="s">
        <v>28</v>
      </c>
      <c r="D170" s="2">
        <v>2.4926279999999998</v>
      </c>
      <c r="E170" s="2">
        <v>2.7528450000000002</v>
      </c>
      <c r="F170" s="2">
        <v>3.2099410000000002</v>
      </c>
      <c r="G170" s="2">
        <v>3.3763559999999999</v>
      </c>
      <c r="H170" s="2">
        <v>1.9064620000000001</v>
      </c>
      <c r="I170" s="2">
        <v>3.2536849999999999</v>
      </c>
      <c r="J170" s="2">
        <v>3.1757200000000001</v>
      </c>
      <c r="K170" s="2">
        <v>2.934285</v>
      </c>
      <c r="L170" s="2">
        <f t="shared" si="7"/>
        <v>2.8877402499999998</v>
      </c>
      <c r="M170" s="2">
        <f t="shared" si="8"/>
        <v>0.1741710164895158</v>
      </c>
      <c r="N170" s="2">
        <f t="shared" si="9"/>
        <v>0.19492508300021927</v>
      </c>
    </row>
    <row r="171" spans="2:14" x14ac:dyDescent="0.55000000000000004">
      <c r="C171" s="2" t="s">
        <v>30</v>
      </c>
      <c r="D171" s="2">
        <v>17.265250999999999</v>
      </c>
      <c r="E171" s="2">
        <v>20.712067999999999</v>
      </c>
      <c r="F171" s="2">
        <v>22.063177</v>
      </c>
      <c r="G171" s="2">
        <v>36.248317</v>
      </c>
      <c r="H171" s="2">
        <v>14.377264</v>
      </c>
      <c r="I171" s="2">
        <v>18.901949999999999</v>
      </c>
      <c r="J171" s="2">
        <v>25.839568</v>
      </c>
      <c r="K171" s="2">
        <v>46.873857000000001</v>
      </c>
      <c r="L171" s="2">
        <f t="shared" si="7"/>
        <v>25.285181499999993</v>
      </c>
      <c r="M171" s="2">
        <f t="shared" si="8"/>
        <v>3.877386058248466</v>
      </c>
      <c r="N171" s="2">
        <f t="shared" si="9"/>
        <v>4.3394120012698583</v>
      </c>
    </row>
    <row r="172" spans="2:14" x14ac:dyDescent="0.55000000000000004">
      <c r="B172" s="2" t="s">
        <v>39</v>
      </c>
      <c r="C172" s="2" t="s">
        <v>22</v>
      </c>
      <c r="D172" s="2">
        <v>0.95553299999999997</v>
      </c>
      <c r="E172" s="2">
        <v>0.948716</v>
      </c>
      <c r="F172" s="2">
        <v>0.93564000000000003</v>
      </c>
      <c r="G172" s="2">
        <v>0.92302099999999998</v>
      </c>
      <c r="H172" s="2">
        <v>0.95592699999999997</v>
      </c>
      <c r="I172" s="2">
        <v>0.94223500000000004</v>
      </c>
      <c r="J172" s="2">
        <v>0.95747499999999997</v>
      </c>
      <c r="K172" s="2">
        <v>0.92406100000000002</v>
      </c>
      <c r="L172" s="2">
        <f t="shared" ref="L172:L180" si="10">AVERAGE(D172:K172)</f>
        <v>0.94282600000000005</v>
      </c>
      <c r="M172" s="2">
        <f t="shared" si="8"/>
        <v>4.9618913408670459E-3</v>
      </c>
      <c r="N172" s="2">
        <f t="shared" si="9"/>
        <v>5.5531459880685625E-3</v>
      </c>
    </row>
    <row r="173" spans="2:14" x14ac:dyDescent="0.55000000000000004">
      <c r="C173" s="2" t="s">
        <v>24</v>
      </c>
      <c r="D173" s="2">
        <v>0.292798</v>
      </c>
      <c r="E173" s="2">
        <v>0.31300699999999998</v>
      </c>
      <c r="F173" s="2">
        <v>0.35219400000000001</v>
      </c>
      <c r="G173" s="2">
        <v>0.38522600000000001</v>
      </c>
      <c r="H173" s="2">
        <v>0.29280600000000001</v>
      </c>
      <c r="I173" s="2">
        <v>0.33518100000000001</v>
      </c>
      <c r="J173" s="2">
        <v>0.285941</v>
      </c>
      <c r="K173" s="2">
        <v>0.377666</v>
      </c>
      <c r="L173" s="2">
        <f t="shared" si="10"/>
        <v>0.32935237499999998</v>
      </c>
      <c r="M173" s="2">
        <f t="shared" si="8"/>
        <v>1.3910016723489975E-2</v>
      </c>
      <c r="N173" s="2">
        <f t="shared" si="9"/>
        <v>1.5567522191753037E-2</v>
      </c>
    </row>
    <row r="174" spans="2:14" x14ac:dyDescent="0.55000000000000004">
      <c r="C174" s="2" t="s">
        <v>26</v>
      </c>
      <c r="D174" s="2">
        <v>0.65669900000000003</v>
      </c>
      <c r="E174" s="2">
        <v>0.76573000000000002</v>
      </c>
      <c r="F174" s="2">
        <v>0.596167</v>
      </c>
      <c r="G174" s="2">
        <v>0.70485299999999995</v>
      </c>
      <c r="H174" s="2">
        <v>0.65331899999999998</v>
      </c>
      <c r="I174" s="2">
        <v>0.64909799999999995</v>
      </c>
      <c r="J174" s="2">
        <v>0.72831800000000002</v>
      </c>
      <c r="K174" s="2">
        <v>0.55125999999999997</v>
      </c>
      <c r="L174" s="2">
        <f t="shared" si="10"/>
        <v>0.66318050000000006</v>
      </c>
      <c r="M174" s="2">
        <f t="shared" si="8"/>
        <v>2.4586027697948397E-2</v>
      </c>
      <c r="N174" s="2">
        <f t="shared" si="9"/>
        <v>2.7515677328304282E-2</v>
      </c>
    </row>
    <row r="175" spans="2:14" x14ac:dyDescent="0.55000000000000004">
      <c r="C175" s="2" t="s">
        <v>28</v>
      </c>
      <c r="D175" s="2">
        <v>2.1782810000000001</v>
      </c>
      <c r="E175" s="2">
        <v>2.626862</v>
      </c>
      <c r="F175" s="2">
        <v>3.1404420000000002</v>
      </c>
      <c r="G175" s="2">
        <v>3.3956789999999999</v>
      </c>
      <c r="H175" s="2">
        <v>1.6834370000000001</v>
      </c>
      <c r="I175" s="2">
        <v>2.7688839999999999</v>
      </c>
      <c r="J175" s="2">
        <v>2.8919679999999999</v>
      </c>
      <c r="K175" s="2">
        <v>3.060762</v>
      </c>
      <c r="L175" s="2">
        <f t="shared" si="10"/>
        <v>2.7182893749999999</v>
      </c>
      <c r="M175" s="2">
        <f t="shared" si="8"/>
        <v>0.19630372652200528</v>
      </c>
      <c r="N175" s="2">
        <f t="shared" si="9"/>
        <v>0.219695107468455</v>
      </c>
    </row>
    <row r="176" spans="2:14" x14ac:dyDescent="0.55000000000000004">
      <c r="C176" s="2" t="s">
        <v>30</v>
      </c>
      <c r="D176" s="2">
        <v>15.469911</v>
      </c>
      <c r="E176" s="2">
        <v>20.733470000000001</v>
      </c>
      <c r="F176" s="2">
        <v>21.869966999999999</v>
      </c>
      <c r="G176" s="2">
        <v>35.670358</v>
      </c>
      <c r="H176" s="2">
        <v>12.259266</v>
      </c>
      <c r="I176" s="2">
        <v>17.282373</v>
      </c>
      <c r="J176" s="2">
        <v>22.185047999999998</v>
      </c>
      <c r="K176" s="2">
        <v>42.663598</v>
      </c>
      <c r="L176" s="2">
        <f t="shared" si="10"/>
        <v>23.516748875000001</v>
      </c>
      <c r="M176" s="2">
        <f t="shared" si="8"/>
        <v>3.6764063593244645</v>
      </c>
      <c r="N176" s="2">
        <f t="shared" si="9"/>
        <v>4.1144837366037432</v>
      </c>
    </row>
    <row r="177" spans="1:14" x14ac:dyDescent="0.55000000000000004">
      <c r="B177" s="2" t="s">
        <v>61</v>
      </c>
      <c r="C177" s="2" t="s">
        <v>22</v>
      </c>
      <c r="D177" s="2">
        <v>0.95621400000000001</v>
      </c>
      <c r="E177" s="2">
        <v>0.943137</v>
      </c>
      <c r="F177" s="2">
        <v>0.93409200000000003</v>
      </c>
      <c r="G177" s="2">
        <v>0.956978</v>
      </c>
      <c r="H177" s="2">
        <v>0.95204900000000003</v>
      </c>
      <c r="I177" s="2">
        <v>0.940994</v>
      </c>
      <c r="J177" s="2">
        <v>0.96367100000000006</v>
      </c>
      <c r="K177" s="2">
        <v>0.94909299999999996</v>
      </c>
      <c r="L177" s="2">
        <f t="shared" si="10"/>
        <v>0.9495285</v>
      </c>
      <c r="M177" s="2">
        <f t="shared" si="8"/>
        <v>3.4296978781977717E-3</v>
      </c>
      <c r="N177" s="2">
        <f t="shared" si="9"/>
        <v>3.8383776879066375E-3</v>
      </c>
    </row>
    <row r="178" spans="1:14" x14ac:dyDescent="0.55000000000000004">
      <c r="C178" s="2" t="s">
        <v>24</v>
      </c>
      <c r="D178" s="2">
        <v>0.29166700000000001</v>
      </c>
      <c r="E178" s="2">
        <v>0.32592199999999999</v>
      </c>
      <c r="F178" s="2">
        <v>0.36088199999999998</v>
      </c>
      <c r="G178" s="2">
        <v>0.27413900000000002</v>
      </c>
      <c r="H178" s="2">
        <v>0.30620000000000003</v>
      </c>
      <c r="I178" s="2">
        <v>0.339061</v>
      </c>
      <c r="J178" s="2">
        <v>0.26429999999999998</v>
      </c>
      <c r="K178" s="2">
        <v>0.31679499999999999</v>
      </c>
      <c r="L178" s="2">
        <f t="shared" si="10"/>
        <v>0.30987074999999997</v>
      </c>
      <c r="M178" s="2">
        <f t="shared" si="8"/>
        <v>1.1540385855999662E-2</v>
      </c>
      <c r="N178" s="2">
        <f t="shared" si="9"/>
        <v>1.2915528175554395E-2</v>
      </c>
    </row>
    <row r="179" spans="1:14" x14ac:dyDescent="0.55000000000000004">
      <c r="C179" s="2" t="s">
        <v>26</v>
      </c>
      <c r="D179" s="2">
        <v>0.65956099999999995</v>
      </c>
      <c r="E179" s="2">
        <v>0.77093500000000004</v>
      </c>
      <c r="F179" s="2">
        <v>0.605962</v>
      </c>
      <c r="G179" s="2">
        <v>0.77285099999999995</v>
      </c>
      <c r="H179" s="2">
        <v>0.64070000000000005</v>
      </c>
      <c r="I179" s="2">
        <v>0.67183300000000001</v>
      </c>
      <c r="J179" s="2">
        <v>0.74460300000000001</v>
      </c>
      <c r="K179" s="2">
        <v>0.57258900000000001</v>
      </c>
      <c r="L179" s="2">
        <f t="shared" si="10"/>
        <v>0.67987924999999994</v>
      </c>
      <c r="M179" s="2">
        <f t="shared" si="8"/>
        <v>2.6763382622231255E-2</v>
      </c>
      <c r="N179" s="2">
        <f t="shared" si="9"/>
        <v>2.9952483967498007E-2</v>
      </c>
    </row>
    <row r="180" spans="1:14" ht="13.5" customHeight="1" x14ac:dyDescent="0.55000000000000004">
      <c r="A180" s="2" t="s">
        <v>20</v>
      </c>
      <c r="B180" s="2" t="s">
        <v>21</v>
      </c>
      <c r="C180" s="2" t="s">
        <v>22</v>
      </c>
      <c r="D180" s="2">
        <v>0.95591700000000002</v>
      </c>
      <c r="E180" s="2">
        <v>0.95037099999999997</v>
      </c>
      <c r="F180" s="2">
        <v>0.93325000000000002</v>
      </c>
      <c r="G180" s="2">
        <v>0.92398400000000003</v>
      </c>
      <c r="H180" s="2">
        <v>0.95441299999999996</v>
      </c>
      <c r="I180" s="2">
        <v>0.93831399999999998</v>
      </c>
      <c r="J180" s="2">
        <v>0.95038900000000004</v>
      </c>
      <c r="K180" s="2">
        <v>0.93355699999999997</v>
      </c>
      <c r="L180" s="2">
        <f t="shared" si="10"/>
        <v>0.94252437500000008</v>
      </c>
      <c r="M180" s="2">
        <f xml:space="preserve"> _xlfn.STDEV.S(D180:K180) / SQRT(COUNT(D180:K180))</f>
        <v>4.1662424571853171E-3</v>
      </c>
      <c r="N180" s="2">
        <f>M180*$N$2</f>
        <v>4.6626882769256264E-3</v>
      </c>
    </row>
    <row r="181" spans="1:14" x14ac:dyDescent="0.55000000000000004">
      <c r="A181" s="2">
        <v>0.5</v>
      </c>
      <c r="C181" s="2" t="s">
        <v>23</v>
      </c>
      <c r="D181" s="2">
        <v>6.6000000000000005E-5</v>
      </c>
      <c r="E181" s="2">
        <v>3.39E-4</v>
      </c>
      <c r="F181" s="2">
        <v>1.8599999999999999E-4</v>
      </c>
      <c r="G181" s="2">
        <v>2.81E-4</v>
      </c>
      <c r="H181" s="2">
        <v>1.3300000000000001E-4</v>
      </c>
      <c r="I181" s="2">
        <v>1.85E-4</v>
      </c>
      <c r="J181" s="2">
        <v>3.1E-4</v>
      </c>
      <c r="K181" s="2">
        <v>4.1E-5</v>
      </c>
      <c r="L181" s="2">
        <f>(1/COUNT(D181:K181))*SQRT(SUMSQ(D181:K181))</f>
        <v>7.7311161063587698E-5</v>
      </c>
    </row>
    <row r="182" spans="1:14" x14ac:dyDescent="0.55000000000000004">
      <c r="C182" s="2" t="s">
        <v>24</v>
      </c>
      <c r="D182" s="2">
        <v>0.29184300000000002</v>
      </c>
      <c r="E182" s="2">
        <v>0.30804900000000002</v>
      </c>
      <c r="F182" s="2">
        <v>0.358267</v>
      </c>
      <c r="G182" s="2">
        <v>0.38234099999999999</v>
      </c>
      <c r="H182" s="2">
        <v>0.29764499999999999</v>
      </c>
      <c r="I182" s="2">
        <v>0.34603499999999998</v>
      </c>
      <c r="J182" s="2">
        <v>0.30659399999999998</v>
      </c>
      <c r="K182" s="2">
        <v>0.35678500000000002</v>
      </c>
      <c r="L182" s="2">
        <f>AVERAGE(D182:K182)</f>
        <v>0.33094487499999997</v>
      </c>
      <c r="M182" s="2">
        <f xml:space="preserve"> _xlfn.STDEV.S(D182:K182) / SQRT(COUNT(D182:K182))</f>
        <v>1.1981018187171708E-2</v>
      </c>
      <c r="N182" s="2">
        <f>M182*$N$2</f>
        <v>1.3408665871236739E-2</v>
      </c>
    </row>
    <row r="183" spans="1:14" x14ac:dyDescent="0.55000000000000004">
      <c r="C183" s="2" t="s">
        <v>25</v>
      </c>
      <c r="D183" s="2">
        <v>2.2900000000000001E-4</v>
      </c>
      <c r="E183" s="2">
        <v>1.0009999999999999E-3</v>
      </c>
      <c r="F183" s="2">
        <v>4.6799999999999999E-4</v>
      </c>
      <c r="G183" s="2">
        <v>6.7500000000000004E-4</v>
      </c>
      <c r="H183" s="2">
        <v>4.2200000000000001E-4</v>
      </c>
      <c r="I183" s="2">
        <v>5.0199999999999995E-4</v>
      </c>
      <c r="J183" s="2">
        <v>9.4300000000000004E-4</v>
      </c>
      <c r="K183" s="2">
        <v>1E-4</v>
      </c>
      <c r="L183" s="2">
        <f>(1/COUNT(D183:K183))*SQRT(SUMSQ(D183:K183))</f>
        <v>2.1860452305476206E-4</v>
      </c>
    </row>
    <row r="184" spans="1:14" x14ac:dyDescent="0.55000000000000004">
      <c r="C184" s="2" t="s">
        <v>26</v>
      </c>
      <c r="D184" s="2">
        <v>0.65792099999999998</v>
      </c>
      <c r="E184" s="2">
        <v>0.76938600000000001</v>
      </c>
      <c r="F184" s="2">
        <v>0.59319299999999997</v>
      </c>
      <c r="G184" s="2">
        <v>0.70237799999999995</v>
      </c>
      <c r="H184" s="2">
        <v>0.64933099999999999</v>
      </c>
      <c r="I184" s="2">
        <v>0.64070199999999999</v>
      </c>
      <c r="J184" s="2">
        <v>0.71187699999999998</v>
      </c>
      <c r="K184" s="2">
        <v>0.56523999999999996</v>
      </c>
      <c r="L184" s="2">
        <f>AVERAGE(D184:K184)</f>
        <v>0.66125350000000005</v>
      </c>
      <c r="M184" s="2">
        <f xml:space="preserve"> _xlfn.STDEV.S(D184:K184) / SQRT(COUNT(D184:K184))</f>
        <v>2.3288961351280325E-2</v>
      </c>
      <c r="N184" s="2">
        <f>M184*$N$2</f>
        <v>2.6064053686340381E-2</v>
      </c>
    </row>
    <row r="185" spans="1:14" x14ac:dyDescent="0.55000000000000004">
      <c r="C185" s="2" t="s">
        <v>27</v>
      </c>
      <c r="D185" s="2">
        <v>2.02E-4</v>
      </c>
      <c r="E185" s="2">
        <v>6.7400000000000001E-4</v>
      </c>
      <c r="F185" s="2">
        <v>2.2000000000000001E-4</v>
      </c>
      <c r="G185" s="2">
        <v>8.8400000000000002E-4</v>
      </c>
      <c r="H185" s="2">
        <v>4.44E-4</v>
      </c>
      <c r="I185" s="2">
        <v>3.8699999999999997E-4</v>
      </c>
      <c r="J185" s="2">
        <v>7.2000000000000005E-4</v>
      </c>
      <c r="K185" s="2">
        <v>8.2000000000000001E-5</v>
      </c>
      <c r="L185" s="2">
        <f>(1/COUNT(D185:K185))*SQRT(SUMSQ(D185:K185))</f>
        <v>1.8527703075394965E-4</v>
      </c>
    </row>
    <row r="186" spans="1:14" x14ac:dyDescent="0.55000000000000004">
      <c r="C186" s="2" t="s">
        <v>28</v>
      </c>
      <c r="D186" s="2">
        <v>2.1650559999999999</v>
      </c>
      <c r="E186" s="2">
        <v>2.55389</v>
      </c>
      <c r="F186" s="2">
        <v>3.1552530000000001</v>
      </c>
      <c r="G186" s="2">
        <v>3.430418</v>
      </c>
      <c r="H186" s="2">
        <v>1.7125859999999999</v>
      </c>
      <c r="I186" s="2">
        <v>2.9850270000000001</v>
      </c>
      <c r="J186" s="2">
        <v>3.0510380000000001</v>
      </c>
      <c r="K186" s="2">
        <v>2.6214520000000001</v>
      </c>
      <c r="L186" s="2">
        <f>AVERAGE(D186:K186)</f>
        <v>2.7093400000000005</v>
      </c>
      <c r="M186" s="2">
        <f xml:space="preserve"> _xlfn.STDEV.S(D186:K186) / SQRT(COUNT(D186:K186))</f>
        <v>0.19969643672343121</v>
      </c>
      <c r="N186" s="2">
        <f>M186*$N$2</f>
        <v>0.22349209006026555</v>
      </c>
    </row>
    <row r="187" spans="1:14" x14ac:dyDescent="0.55000000000000004">
      <c r="C187" s="2" t="s">
        <v>29</v>
      </c>
      <c r="D187" s="2">
        <v>2.8730000000000001E-3</v>
      </c>
      <c r="E187" s="2">
        <v>5.0489999999999997E-3</v>
      </c>
      <c r="F187" s="2">
        <v>2.235E-3</v>
      </c>
      <c r="G187" s="2">
        <v>1.0356000000000001E-2</v>
      </c>
      <c r="H187" s="2">
        <v>3.1800000000000001E-3</v>
      </c>
      <c r="I187" s="2">
        <v>6.6540000000000002E-3</v>
      </c>
      <c r="J187" s="2">
        <v>6.1919999999999996E-3</v>
      </c>
      <c r="K187" s="2">
        <v>7.18E-4</v>
      </c>
      <c r="L187" s="2">
        <f>(1/COUNT(D187:K187))*SQRT(SUMSQ(D187:K187))</f>
        <v>1.9333948243633529E-3</v>
      </c>
    </row>
    <row r="188" spans="1:14" x14ac:dyDescent="0.55000000000000004">
      <c r="C188" s="2" t="s">
        <v>30</v>
      </c>
      <c r="D188" s="2">
        <v>15.512682</v>
      </c>
      <c r="E188" s="2">
        <v>19.900936000000002</v>
      </c>
      <c r="F188" s="2">
        <v>21.576179</v>
      </c>
      <c r="G188" s="2">
        <v>34.533203999999998</v>
      </c>
      <c r="H188" s="2">
        <v>12.314802999999999</v>
      </c>
      <c r="I188" s="2">
        <v>17.802776000000001</v>
      </c>
      <c r="J188" s="2">
        <v>22.904501</v>
      </c>
      <c r="K188" s="2">
        <v>27.237822999999999</v>
      </c>
      <c r="L188" s="2">
        <f>AVERAGE(D188:K188)</f>
        <v>21.472863</v>
      </c>
      <c r="M188" s="2">
        <f xml:space="preserve"> _xlfn.STDEV.S(D188:K188) / SQRT(COUNT(D188:K188))</f>
        <v>2.4683780316305728</v>
      </c>
      <c r="N188" s="2">
        <f>M188*$N$2</f>
        <v>2.7625078063460111</v>
      </c>
    </row>
    <row r="189" spans="1:14" x14ac:dyDescent="0.55000000000000004">
      <c r="C189" s="2" t="s">
        <v>31</v>
      </c>
      <c r="D189" s="2">
        <v>2.1388000000000001E-2</v>
      </c>
      <c r="E189" s="2">
        <v>3.9815999999999997E-2</v>
      </c>
      <c r="F189" s="2">
        <v>4.3660000000000001E-3</v>
      </c>
      <c r="G189" s="2">
        <v>2.7466000000000001E-2</v>
      </c>
      <c r="H189" s="2">
        <v>2.8095999999999999E-2</v>
      </c>
      <c r="I189" s="2">
        <v>1.881E-2</v>
      </c>
      <c r="J189" s="2">
        <v>6.4870999999999998E-2</v>
      </c>
      <c r="K189" s="2">
        <v>8.3571000000000006E-2</v>
      </c>
      <c r="L189" s="2">
        <f>(1/COUNT(D189:K189))*SQRT(SUMSQ(D189:K189))</f>
        <v>1.5386562476516645E-2</v>
      </c>
    </row>
    <row r="190" spans="1:14" x14ac:dyDescent="0.55000000000000004">
      <c r="B190" s="2" t="s">
        <v>32</v>
      </c>
      <c r="C190" s="2" t="s">
        <v>22</v>
      </c>
      <c r="D190" s="2">
        <v>0.95031100000000002</v>
      </c>
      <c r="E190" s="2">
        <v>0.93997699999999995</v>
      </c>
      <c r="F190" s="2">
        <v>0.93220499999999995</v>
      </c>
      <c r="G190" s="2">
        <v>0.92319399999999996</v>
      </c>
      <c r="H190" s="2">
        <v>0.95140800000000003</v>
      </c>
      <c r="I190" s="2">
        <v>0.93703400000000003</v>
      </c>
      <c r="J190" s="2">
        <v>0.95099400000000001</v>
      </c>
      <c r="K190" s="2">
        <v>0.93241399999999997</v>
      </c>
      <c r="L190" s="2">
        <f>AVERAGE(D190:K190)</f>
        <v>0.93969212499999988</v>
      </c>
      <c r="M190" s="2">
        <f xml:space="preserve"> _xlfn.STDEV.S(D190:K190) / SQRT(COUNT(D190:K190))</f>
        <v>3.698739328848131E-3</v>
      </c>
      <c r="N190" s="2">
        <f>M190*$N$2</f>
        <v>4.1394778833095704E-3</v>
      </c>
    </row>
    <row r="191" spans="1:14" x14ac:dyDescent="0.55000000000000004">
      <c r="C191" s="2" t="s">
        <v>23</v>
      </c>
      <c r="D191" s="2">
        <v>4.7199999999999998E-4</v>
      </c>
      <c r="E191" s="2">
        <v>9.0499999999999999E-4</v>
      </c>
      <c r="F191" s="2">
        <v>6.2600000000000004E-4</v>
      </c>
      <c r="G191" s="2">
        <v>8.0800000000000002E-4</v>
      </c>
      <c r="H191" s="2">
        <v>1.84E-4</v>
      </c>
      <c r="I191" s="2">
        <v>5.9400000000000002E-4</v>
      </c>
      <c r="J191" s="2">
        <v>1.1609999999999999E-3</v>
      </c>
      <c r="K191" s="2">
        <v>1.0399999999999999E-4</v>
      </c>
      <c r="L191" s="2">
        <f>(1/COUNT(D191:K191))*SQRT(SUMSQ(D191:K191))</f>
        <v>2.4469298365502838E-4</v>
      </c>
    </row>
    <row r="192" spans="1:14" x14ac:dyDescent="0.55000000000000004">
      <c r="C192" s="2" t="s">
        <v>24</v>
      </c>
      <c r="D192" s="2">
        <v>0.309085</v>
      </c>
      <c r="E192" s="2">
        <v>0.33771200000000001</v>
      </c>
      <c r="F192" s="2">
        <v>0.36063499999999998</v>
      </c>
      <c r="G192" s="2">
        <v>0.384658</v>
      </c>
      <c r="H192" s="2">
        <v>0.30655100000000002</v>
      </c>
      <c r="I192" s="2">
        <v>0.34933900000000001</v>
      </c>
      <c r="J192" s="2">
        <v>0.30295800000000001</v>
      </c>
      <c r="K192" s="2">
        <v>0.359821</v>
      </c>
      <c r="L192" s="2">
        <f>AVERAGE(D192:K192)</f>
        <v>0.33884487499999999</v>
      </c>
      <c r="M192" s="2">
        <f xml:space="preserve"> _xlfn.STDEV.S(D192:K192) / SQRT(COUNT(D192:K192))</f>
        <v>1.0641455471472839E-2</v>
      </c>
      <c r="N192" s="2">
        <f>M192*$N$2</f>
        <v>1.1909482029949811E-2</v>
      </c>
    </row>
    <row r="193" spans="2:14" x14ac:dyDescent="0.55000000000000004">
      <c r="C193" s="2" t="s">
        <v>25</v>
      </c>
      <c r="D193" s="2">
        <v>1.2719999999999999E-3</v>
      </c>
      <c r="E193" s="2">
        <v>2.496E-3</v>
      </c>
      <c r="F193" s="2">
        <v>1.5020000000000001E-3</v>
      </c>
      <c r="G193" s="2">
        <v>1.836E-3</v>
      </c>
      <c r="H193" s="2">
        <v>5.44E-4</v>
      </c>
      <c r="I193" s="2">
        <v>1.5250000000000001E-3</v>
      </c>
      <c r="J193" s="2">
        <v>3.0049999999999999E-3</v>
      </c>
      <c r="K193" s="2">
        <v>2.8600000000000001E-4</v>
      </c>
      <c r="L193" s="2">
        <f>(1/COUNT(D193:K193))*SQRT(SUMSQ(D193:K193))</f>
        <v>6.275981247980271E-4</v>
      </c>
    </row>
    <row r="194" spans="2:14" x14ac:dyDescent="0.55000000000000004">
      <c r="C194" s="2" t="s">
        <v>26</v>
      </c>
      <c r="D194" s="2">
        <v>0.64562699999999995</v>
      </c>
      <c r="E194" s="2">
        <v>0.74905500000000003</v>
      </c>
      <c r="F194" s="2">
        <v>0.59273100000000001</v>
      </c>
      <c r="G194" s="2">
        <v>0.70539700000000005</v>
      </c>
      <c r="H194" s="2">
        <v>0.64169200000000004</v>
      </c>
      <c r="I194" s="2">
        <v>0.63871100000000003</v>
      </c>
      <c r="J194" s="2">
        <v>0.71677100000000005</v>
      </c>
      <c r="K194" s="2">
        <v>0.56315700000000002</v>
      </c>
      <c r="L194" s="2">
        <f>AVERAGE(D194:K194)</f>
        <v>0.65664262500000015</v>
      </c>
      <c r="M194" s="2">
        <f xml:space="preserve"> _xlfn.STDEV.S(D194:K194) / SQRT(COUNT(D194:K194))</f>
        <v>2.2369911178648543E-2</v>
      </c>
      <c r="N194" s="2">
        <f>M194*$N$2</f>
        <v>2.5035490296217437E-2</v>
      </c>
    </row>
    <row r="195" spans="2:14" x14ac:dyDescent="0.55000000000000004">
      <c r="C195" s="2" t="s">
        <v>27</v>
      </c>
      <c r="D195" s="2">
        <v>1.207E-3</v>
      </c>
      <c r="E195" s="2">
        <v>1.957E-3</v>
      </c>
      <c r="F195" s="2">
        <v>5.2099999999999998E-4</v>
      </c>
      <c r="G195" s="2">
        <v>2.3050000000000002E-3</v>
      </c>
      <c r="H195" s="2">
        <v>4.2499999999999998E-4</v>
      </c>
      <c r="I195" s="2">
        <v>1.2099999999999999E-3</v>
      </c>
      <c r="J195" s="2">
        <v>2.088E-3</v>
      </c>
      <c r="K195" s="2">
        <v>2.05E-4</v>
      </c>
      <c r="L195" s="2">
        <f>(1/COUNT(D195:K195))*SQRT(SUMSQ(D195:K195))</f>
        <v>5.1413850881839229E-4</v>
      </c>
    </row>
    <row r="196" spans="2:14" x14ac:dyDescent="0.55000000000000004">
      <c r="C196" s="2" t="s">
        <v>28</v>
      </c>
      <c r="D196" s="2">
        <v>2.421878</v>
      </c>
      <c r="E196" s="2">
        <v>2.7626140000000001</v>
      </c>
      <c r="F196" s="2">
        <v>3.1883970000000001</v>
      </c>
      <c r="G196" s="2">
        <v>3.4315910000000001</v>
      </c>
      <c r="H196" s="2">
        <v>1.7673080000000001</v>
      </c>
      <c r="I196" s="2">
        <v>3.0325199999999999</v>
      </c>
      <c r="J196" s="2">
        <v>3.1516579999999998</v>
      </c>
      <c r="K196" s="2">
        <v>2.6612130000000001</v>
      </c>
      <c r="L196" s="2">
        <f>AVERAGE(D196:K196)</f>
        <v>2.8021473750000006</v>
      </c>
      <c r="M196" s="2">
        <f xml:space="preserve"> _xlfn.STDEV.S(D196:K196) / SQRT(COUNT(D196:K196))</f>
        <v>0.18696542788764875</v>
      </c>
      <c r="N196" s="2">
        <f>M196*$N$2</f>
        <v>0.20924406530845044</v>
      </c>
    </row>
    <row r="197" spans="2:14" x14ac:dyDescent="0.55000000000000004">
      <c r="C197" s="2" t="s">
        <v>29</v>
      </c>
      <c r="D197" s="2">
        <v>2.7296999999999998E-2</v>
      </c>
      <c r="E197" s="2">
        <v>1.2484E-2</v>
      </c>
      <c r="F197" s="2">
        <v>6.8089999999999999E-3</v>
      </c>
      <c r="G197" s="2">
        <v>3.5453999999999999E-2</v>
      </c>
      <c r="H197" s="2">
        <v>3.3300000000000001E-3</v>
      </c>
      <c r="I197" s="2">
        <v>2.4830000000000001E-2</v>
      </c>
      <c r="J197" s="2">
        <v>3.1106999999999999E-2</v>
      </c>
      <c r="K197" s="2">
        <v>3.0739999999999999E-3</v>
      </c>
      <c r="L197" s="2">
        <f>(1/COUNT(D197:K197))*SQRT(SUMSQ(D197:K197))</f>
        <v>7.7146753283514795E-3</v>
      </c>
    </row>
    <row r="198" spans="2:14" x14ac:dyDescent="0.55000000000000004">
      <c r="C198" s="2" t="s">
        <v>30</v>
      </c>
      <c r="D198" s="2">
        <v>16.724322000000001</v>
      </c>
      <c r="E198" s="2">
        <v>19.992414</v>
      </c>
      <c r="F198" s="2">
        <v>21.83802</v>
      </c>
      <c r="G198" s="2">
        <v>35.860745000000001</v>
      </c>
      <c r="H198" s="2">
        <v>12.774428</v>
      </c>
      <c r="I198" s="2">
        <v>18.045227000000001</v>
      </c>
      <c r="J198" s="2">
        <v>24.776423999999999</v>
      </c>
      <c r="K198" s="2">
        <v>29.503820000000001</v>
      </c>
      <c r="L198" s="2">
        <f>AVERAGE(D198:K198)</f>
        <v>22.439425</v>
      </c>
      <c r="M198" s="2">
        <f xml:space="preserve"> _xlfn.STDEV.S(D198:K198) / SQRT(COUNT(D198:K198))</f>
        <v>2.6296121650702817</v>
      </c>
      <c r="N198" s="2">
        <f>M198*$N$2</f>
        <v>2.9429544585884959</v>
      </c>
    </row>
    <row r="199" spans="2:14" x14ac:dyDescent="0.55000000000000004">
      <c r="C199" s="2" t="s">
        <v>31</v>
      </c>
      <c r="D199" s="2">
        <v>6.2926999999999997E-2</v>
      </c>
      <c r="E199" s="2">
        <v>4.5444999999999999E-2</v>
      </c>
      <c r="F199" s="2">
        <v>2.6207999999999999E-2</v>
      </c>
      <c r="G199" s="2">
        <v>0.16206100000000001</v>
      </c>
      <c r="H199" s="2">
        <v>2.4895E-2</v>
      </c>
      <c r="I199" s="2">
        <v>7.4347999999999997E-2</v>
      </c>
      <c r="J199" s="2">
        <v>0.188693</v>
      </c>
      <c r="K199" s="2">
        <v>0.29052099999999997</v>
      </c>
      <c r="L199" s="2">
        <f>(1/COUNT(D199:K199))*SQRT(SUMSQ(D199:K199))</f>
        <v>4.9863966222802106E-2</v>
      </c>
    </row>
    <row r="200" spans="2:14" x14ac:dyDescent="0.55000000000000004">
      <c r="B200" s="2" t="s">
        <v>33</v>
      </c>
      <c r="C200" s="2" t="s">
        <v>22</v>
      </c>
      <c r="D200" s="2">
        <v>0.95602299999999996</v>
      </c>
      <c r="E200" s="2">
        <v>0.95004299999999997</v>
      </c>
      <c r="F200" s="2">
        <v>0.93323500000000004</v>
      </c>
      <c r="G200" s="2">
        <v>0.92433600000000005</v>
      </c>
      <c r="H200" s="2">
        <v>0.95447300000000002</v>
      </c>
      <c r="I200" s="2">
        <v>0.93948500000000001</v>
      </c>
      <c r="J200" s="2">
        <v>0.95100200000000001</v>
      </c>
      <c r="K200" s="2">
        <v>0.93355299999999997</v>
      </c>
      <c r="L200" s="2">
        <f>AVERAGE(D200:K200)</f>
        <v>0.94276875000000004</v>
      </c>
      <c r="M200" s="2">
        <f xml:space="preserve"> _xlfn.STDEV.S(D200:K200) / SQRT(COUNT(D200:K200))</f>
        <v>4.1398271476596636E-3</v>
      </c>
      <c r="N200" s="2">
        <f>M200*$N$2</f>
        <v>4.633125342141501E-3</v>
      </c>
    </row>
    <row r="201" spans="2:14" x14ac:dyDescent="0.55000000000000004">
      <c r="C201" s="2" t="s">
        <v>23</v>
      </c>
      <c r="D201" s="2">
        <v>6.2000000000000003E-5</v>
      </c>
      <c r="E201" s="2">
        <v>1.3200000000000001E-4</v>
      </c>
      <c r="F201" s="2">
        <v>3.6000000000000001E-5</v>
      </c>
      <c r="G201" s="2">
        <v>1.15E-4</v>
      </c>
      <c r="H201" s="2">
        <v>5.1999999999999997E-5</v>
      </c>
      <c r="I201" s="2">
        <v>5.1E-5</v>
      </c>
      <c r="J201" s="2">
        <v>6.0000000000000002E-5</v>
      </c>
      <c r="K201" s="2">
        <v>1.4E-5</v>
      </c>
      <c r="L201" s="2">
        <f>(1/COUNT(D201:K201))*SQRT(SUMSQ(D201:K201))</f>
        <v>2.6484075403910176E-5</v>
      </c>
    </row>
    <row r="202" spans="2:14" x14ac:dyDescent="0.55000000000000004">
      <c r="C202" s="2" t="s">
        <v>24</v>
      </c>
      <c r="D202" s="2">
        <v>0.29156599999999999</v>
      </c>
      <c r="E202" s="2">
        <v>0.308919</v>
      </c>
      <c r="F202" s="2">
        <v>0.358296</v>
      </c>
      <c r="G202" s="2">
        <v>0.38144800000000001</v>
      </c>
      <c r="H202" s="2">
        <v>0.29745899999999997</v>
      </c>
      <c r="I202" s="2">
        <v>0.34278900000000001</v>
      </c>
      <c r="J202" s="2">
        <v>0.30515900000000001</v>
      </c>
      <c r="K202" s="2">
        <v>0.35667399999999999</v>
      </c>
      <c r="L202" s="2">
        <f>AVERAGE(D202:K202)</f>
        <v>0.33028874999999996</v>
      </c>
      <c r="M202" s="2">
        <f xml:space="preserve"> _xlfn.STDEV.S(D202:K202) / SQRT(COUNT(D202:K202))</f>
        <v>1.1892019370374284E-2</v>
      </c>
      <c r="N202" s="2">
        <f>M202*$N$2</f>
        <v>1.330906203300454E-2</v>
      </c>
    </row>
    <row r="203" spans="2:14" x14ac:dyDescent="0.55000000000000004">
      <c r="C203" s="2" t="s">
        <v>25</v>
      </c>
      <c r="D203" s="2">
        <v>1.93E-4</v>
      </c>
      <c r="E203" s="2">
        <v>4.1399999999999998E-4</v>
      </c>
      <c r="F203" s="2">
        <v>9.0000000000000006E-5</v>
      </c>
      <c r="G203" s="2">
        <v>2.7900000000000001E-4</v>
      </c>
      <c r="H203" s="2">
        <v>1.5899999999999999E-4</v>
      </c>
      <c r="I203" s="2">
        <v>1.3999999999999999E-4</v>
      </c>
      <c r="J203" s="2">
        <v>1.56E-4</v>
      </c>
      <c r="K203" s="2">
        <v>3.8999999999999999E-5</v>
      </c>
      <c r="L203" s="2">
        <f>(1/COUNT(D203:K203))*SQRT(SUMSQ(D203:K203))</f>
        <v>7.5552547938504368E-5</v>
      </c>
    </row>
    <row r="204" spans="2:14" x14ac:dyDescent="0.55000000000000004">
      <c r="C204" s="2" t="s">
        <v>26</v>
      </c>
      <c r="D204" s="2">
        <v>0.65818600000000005</v>
      </c>
      <c r="E204" s="2">
        <v>0.76854599999999995</v>
      </c>
      <c r="F204" s="2">
        <v>0.59328800000000004</v>
      </c>
      <c r="G204" s="2">
        <v>0.70355999999999996</v>
      </c>
      <c r="H204" s="2">
        <v>0.64958899999999997</v>
      </c>
      <c r="I204" s="2">
        <v>0.64326700000000003</v>
      </c>
      <c r="J204" s="2">
        <v>0.71409199999999995</v>
      </c>
      <c r="K204" s="2">
        <v>0.56551099999999999</v>
      </c>
      <c r="L204" s="2">
        <f>AVERAGE(D204:K204)</f>
        <v>0.66200487499999994</v>
      </c>
      <c r="M204" s="2">
        <f xml:space="preserve"> _xlfn.STDEV.S(D204:K204) / SQRT(COUNT(D204:K204))</f>
        <v>2.3277760255566354E-2</v>
      </c>
      <c r="N204" s="2">
        <f>M204*$N$2</f>
        <v>2.6051517877824441E-2</v>
      </c>
    </row>
    <row r="205" spans="2:14" x14ac:dyDescent="0.55000000000000004">
      <c r="C205" s="2" t="s">
        <v>27</v>
      </c>
      <c r="D205" s="2">
        <v>1.92E-4</v>
      </c>
      <c r="E205" s="2">
        <v>2.9300000000000002E-4</v>
      </c>
      <c r="F205" s="2">
        <v>4.1E-5</v>
      </c>
      <c r="G205" s="2">
        <v>3.1100000000000002E-4</v>
      </c>
      <c r="H205" s="2">
        <v>1.2400000000000001E-4</v>
      </c>
      <c r="I205" s="2">
        <v>1.15E-4</v>
      </c>
      <c r="J205" s="2">
        <v>1.2400000000000001E-4</v>
      </c>
      <c r="K205" s="2">
        <v>3.1000000000000001E-5</v>
      </c>
      <c r="L205" s="2">
        <f>(1/COUNT(D205:K205))*SQRT(SUMSQ(D205:K205))</f>
        <v>6.4475407133262848E-5</v>
      </c>
    </row>
    <row r="206" spans="2:14" x14ac:dyDescent="0.55000000000000004">
      <c r="C206" s="2" t="s">
        <v>28</v>
      </c>
      <c r="D206" s="2">
        <v>2.161556</v>
      </c>
      <c r="E206" s="2">
        <v>2.5561729999999998</v>
      </c>
      <c r="F206" s="2">
        <v>3.1550989999999999</v>
      </c>
      <c r="G206" s="2">
        <v>3.4230969999999998</v>
      </c>
      <c r="H206" s="2">
        <v>1.7089080000000001</v>
      </c>
      <c r="I206" s="2">
        <v>2.82714</v>
      </c>
      <c r="J206" s="2">
        <v>3.1359699999999999</v>
      </c>
      <c r="K206" s="2">
        <v>2.6196269999999999</v>
      </c>
      <c r="L206" s="2">
        <f>AVERAGE(D206:K206)</f>
        <v>2.6984462500000004</v>
      </c>
      <c r="M206" s="2">
        <f xml:space="preserve"> _xlfn.STDEV.S(D206:K206) / SQRT(COUNT(D206:K206))</f>
        <v>0.19980038240237064</v>
      </c>
      <c r="N206" s="2">
        <f>M206*$N$2</f>
        <v>0.22360842181570434</v>
      </c>
    </row>
    <row r="207" spans="2:14" x14ac:dyDescent="0.55000000000000004">
      <c r="C207" s="2" t="s">
        <v>29</v>
      </c>
      <c r="D207" s="2">
        <v>2.0739999999999999E-3</v>
      </c>
      <c r="E207" s="2">
        <v>1.665E-3</v>
      </c>
      <c r="F207" s="2">
        <v>4.1399999999999998E-4</v>
      </c>
      <c r="G207" s="2">
        <v>3.2260000000000001E-3</v>
      </c>
      <c r="H207" s="2">
        <v>9.5100000000000002E-4</v>
      </c>
      <c r="I207" s="2">
        <v>1.926E-3</v>
      </c>
      <c r="J207" s="2">
        <v>1.274E-3</v>
      </c>
      <c r="K207" s="2">
        <v>4.7800000000000002E-4</v>
      </c>
      <c r="L207" s="2">
        <f>(1/COUNT(D207:K207))*SQRT(SUMSQ(D207:K207))</f>
        <v>6.1387104203570314E-4</v>
      </c>
    </row>
    <row r="208" spans="2:14" x14ac:dyDescent="0.55000000000000004">
      <c r="C208" s="2" t="s">
        <v>30</v>
      </c>
      <c r="D208" s="2">
        <v>15.511668999999999</v>
      </c>
      <c r="E208" s="2">
        <v>19.893843</v>
      </c>
      <c r="F208" s="2">
        <v>21.569541000000001</v>
      </c>
      <c r="G208" s="2">
        <v>34.597586</v>
      </c>
      <c r="H208" s="2">
        <v>12.245341</v>
      </c>
      <c r="I208" s="2">
        <v>17.285852999999999</v>
      </c>
      <c r="J208" s="2">
        <v>24.509633999999998</v>
      </c>
      <c r="K208" s="2">
        <v>26.918576999999999</v>
      </c>
      <c r="L208" s="2">
        <f>AVERAGE(D208:K208)</f>
        <v>21.566505500000002</v>
      </c>
      <c r="M208" s="2">
        <f xml:space="preserve"> _xlfn.STDEV.S(D208:K208) / SQRT(COUNT(D208:K208))</f>
        <v>2.5063586323546994</v>
      </c>
      <c r="N208" s="2">
        <f>M208*$N$2</f>
        <v>2.8050141423470656</v>
      </c>
    </row>
    <row r="209" spans="2:14" x14ac:dyDescent="0.55000000000000004">
      <c r="C209" s="2" t="s">
        <v>31</v>
      </c>
      <c r="D209" s="2">
        <v>5.0309999999999999E-3</v>
      </c>
      <c r="E209" s="2">
        <v>1.3591000000000001E-2</v>
      </c>
      <c r="F209" s="2">
        <v>1.1039999999999999E-3</v>
      </c>
      <c r="G209" s="2">
        <v>2.1728000000000001E-2</v>
      </c>
      <c r="H209" s="2">
        <v>9.1459999999999996E-3</v>
      </c>
      <c r="I209" s="2">
        <v>5.6499999999999996E-3</v>
      </c>
      <c r="J209" s="2">
        <v>6.306E-3</v>
      </c>
      <c r="K209" s="2">
        <v>2.8625999999999999E-2</v>
      </c>
      <c r="L209" s="2">
        <f>(1/COUNT(D209:K209))*SQRT(SUMSQ(D209:K209))</f>
        <v>5.0900275815804769E-3</v>
      </c>
    </row>
    <row r="210" spans="2:14" x14ac:dyDescent="0.55000000000000004">
      <c r="B210" s="2" t="s">
        <v>34</v>
      </c>
      <c r="C210" s="2" t="s">
        <v>22</v>
      </c>
      <c r="D210" s="2">
        <v>0.94771899999999998</v>
      </c>
      <c r="E210" s="2">
        <v>0.94123699999999999</v>
      </c>
      <c r="F210" s="2">
        <v>0.93202600000000002</v>
      </c>
      <c r="G210" s="2">
        <v>0.92318100000000003</v>
      </c>
      <c r="H210" s="2">
        <v>0.95152499999999995</v>
      </c>
      <c r="I210" s="2">
        <v>0.93906599999999996</v>
      </c>
      <c r="J210" s="2">
        <v>0.95287599999999995</v>
      </c>
      <c r="K210" s="2">
        <v>0.93245</v>
      </c>
      <c r="L210" s="2">
        <f>AVERAGE(D210:K210)</f>
        <v>0.9400099999999999</v>
      </c>
      <c r="M210" s="2">
        <f xml:space="preserve"> _xlfn.STDEV.S(D210:K210) / SQRT(COUNT(D210:K210))</f>
        <v>3.6937873130820139E-3</v>
      </c>
      <c r="N210" s="2">
        <f>M210*$N$2</f>
        <v>4.1339357896611317E-3</v>
      </c>
    </row>
    <row r="211" spans="2:14" x14ac:dyDescent="0.55000000000000004">
      <c r="C211" s="2" t="s">
        <v>23</v>
      </c>
      <c r="D211" s="2">
        <v>1.9659999999999999E-3</v>
      </c>
      <c r="E211" s="2">
        <v>6.6200000000000005E-4</v>
      </c>
      <c r="F211" s="2">
        <v>5.3399999999999997E-4</v>
      </c>
      <c r="G211" s="2">
        <v>7.2000000000000005E-4</v>
      </c>
      <c r="H211" s="2">
        <v>2.9599999999999998E-4</v>
      </c>
      <c r="I211" s="2">
        <v>6.1200000000000002E-4</v>
      </c>
      <c r="J211" s="2">
        <v>1.6559999999999999E-3</v>
      </c>
      <c r="K211" s="2">
        <v>1.2999999999999999E-4</v>
      </c>
      <c r="L211" s="2">
        <f>(1/COUNT(D211:K211))*SQRT(SUMSQ(D211:K211))</f>
        <v>3.607360530914535E-4</v>
      </c>
    </row>
    <row r="212" spans="2:14" x14ac:dyDescent="0.55000000000000004">
      <c r="C212" s="2" t="s">
        <v>24</v>
      </c>
      <c r="D212" s="2">
        <v>0.31646099999999999</v>
      </c>
      <c r="E212" s="2">
        <v>0.33394099999999999</v>
      </c>
      <c r="F212" s="2">
        <v>0.36125600000000002</v>
      </c>
      <c r="G212" s="2">
        <v>0.38427699999999998</v>
      </c>
      <c r="H212" s="2">
        <v>0.30623</v>
      </c>
      <c r="I212" s="2">
        <v>0.34354800000000002</v>
      </c>
      <c r="J212" s="2">
        <v>0.29904900000000001</v>
      </c>
      <c r="K212" s="2">
        <v>0.35985400000000001</v>
      </c>
      <c r="L212" s="2">
        <f>AVERAGE(D212:K212)</f>
        <v>0.33807700000000002</v>
      </c>
      <c r="M212" s="2">
        <f xml:space="preserve"> _xlfn.STDEV.S(D212:K212) / SQRT(COUNT(D212:K212))</f>
        <v>1.0520091115167612E-2</v>
      </c>
      <c r="N212" s="2">
        <f>M212*$N$2</f>
        <v>1.1773656002733114E-2</v>
      </c>
    </row>
    <row r="213" spans="2:14" x14ac:dyDescent="0.55000000000000004">
      <c r="C213" s="2" t="s">
        <v>25</v>
      </c>
      <c r="D213" s="2">
        <v>5.3099999999999996E-3</v>
      </c>
      <c r="E213" s="2">
        <v>1.7719999999999999E-3</v>
      </c>
      <c r="F213" s="2">
        <v>1.291E-3</v>
      </c>
      <c r="G213" s="2">
        <v>1.658E-3</v>
      </c>
      <c r="H213" s="2">
        <v>8.2399999999999997E-4</v>
      </c>
      <c r="I213" s="2">
        <v>1.6169999999999999E-3</v>
      </c>
      <c r="J213" s="2">
        <v>4.614E-3</v>
      </c>
      <c r="K213" s="2">
        <v>3.4200000000000002E-4</v>
      </c>
      <c r="L213" s="2">
        <f>(1/COUNT(D213:K213))*SQRT(SUMSQ(D213:K213))</f>
        <v>9.7188086011094996E-4</v>
      </c>
    </row>
    <row r="214" spans="2:14" x14ac:dyDescent="0.55000000000000004">
      <c r="C214" s="2" t="s">
        <v>26</v>
      </c>
      <c r="D214" s="2">
        <v>0.63816200000000001</v>
      </c>
      <c r="E214" s="2">
        <v>0.75227200000000005</v>
      </c>
      <c r="F214" s="2">
        <v>0.59181899999999998</v>
      </c>
      <c r="G214" s="2">
        <v>0.69698000000000004</v>
      </c>
      <c r="H214" s="2">
        <v>0.64190400000000003</v>
      </c>
      <c r="I214" s="2">
        <v>0.64247399999999999</v>
      </c>
      <c r="J214" s="2">
        <v>0.71867099999999995</v>
      </c>
      <c r="K214" s="2">
        <v>0.56286099999999994</v>
      </c>
      <c r="L214" s="2">
        <f>AVERAGE(D214:K214)</f>
        <v>0.65564287499999996</v>
      </c>
      <c r="M214" s="2">
        <f xml:space="preserve"> _xlfn.STDEV.S(D214:K214) / SQRT(COUNT(D214:K214))</f>
        <v>2.2507225243429772E-2</v>
      </c>
      <c r="N214" s="2">
        <f>M214*$N$2</f>
        <v>2.5189166585269752E-2</v>
      </c>
    </row>
    <row r="215" spans="2:14" x14ac:dyDescent="0.55000000000000004">
      <c r="C215" s="2" t="s">
        <v>27</v>
      </c>
      <c r="D215" s="2">
        <v>5.1669999999999997E-3</v>
      </c>
      <c r="E215" s="2">
        <v>1.374E-3</v>
      </c>
      <c r="F215" s="2">
        <v>5.4600000000000004E-4</v>
      </c>
      <c r="G215" s="2">
        <v>1.8090000000000001E-3</v>
      </c>
      <c r="H215" s="2">
        <v>7.6199999999999998E-4</v>
      </c>
      <c r="I215" s="2">
        <v>1.323E-3</v>
      </c>
      <c r="J215" s="2">
        <v>3.5820000000000001E-3</v>
      </c>
      <c r="K215" s="2">
        <v>2.33E-4</v>
      </c>
      <c r="L215" s="2">
        <f>(1/COUNT(D215:K215))*SQRT(SUMSQ(D215:K215))</f>
        <v>8.6034466203958057E-4</v>
      </c>
    </row>
    <row r="216" spans="2:14" x14ac:dyDescent="0.55000000000000004">
      <c r="C216" s="2" t="s">
        <v>28</v>
      </c>
      <c r="D216" s="2">
        <v>2.5193370000000002</v>
      </c>
      <c r="E216" s="2">
        <v>2.7517770000000001</v>
      </c>
      <c r="F216" s="2">
        <v>3.1898019999999998</v>
      </c>
      <c r="G216" s="2">
        <v>3.4944510000000002</v>
      </c>
      <c r="H216" s="2">
        <v>1.775746</v>
      </c>
      <c r="I216" s="2">
        <v>2.919038</v>
      </c>
      <c r="J216" s="2">
        <v>3.1032639999999998</v>
      </c>
      <c r="K216" s="2">
        <v>2.6541380000000001</v>
      </c>
      <c r="L216" s="2">
        <f>AVERAGE(D216:K216)</f>
        <v>2.800944125</v>
      </c>
      <c r="M216" s="2">
        <f xml:space="preserve"> _xlfn.STDEV.S(D216:K216) / SQRT(COUNT(D216:K216))</f>
        <v>0.18379962476774978</v>
      </c>
      <c r="N216" s="2">
        <f>M216*$N$2</f>
        <v>0.20570102784822061</v>
      </c>
    </row>
    <row r="217" spans="2:14" x14ac:dyDescent="0.55000000000000004">
      <c r="C217" s="2" t="s">
        <v>29</v>
      </c>
      <c r="D217" s="2">
        <v>9.4162999999999997E-2</v>
      </c>
      <c r="E217" s="2">
        <v>1.0003E-2</v>
      </c>
      <c r="F217" s="2">
        <v>5.7819999999999998E-3</v>
      </c>
      <c r="G217" s="2">
        <v>2.6279E-2</v>
      </c>
      <c r="H217" s="2">
        <v>7.4019999999999997E-3</v>
      </c>
      <c r="I217" s="2">
        <v>2.9128999999999999E-2</v>
      </c>
      <c r="J217" s="2">
        <v>3.9409E-2</v>
      </c>
      <c r="K217" s="2">
        <v>2.6480000000000002E-3</v>
      </c>
      <c r="L217" s="2">
        <f>(1/COUNT(D217:K217))*SQRT(SUMSQ(D217:K217))</f>
        <v>1.3780714203303287E-2</v>
      </c>
    </row>
    <row r="218" spans="2:14" x14ac:dyDescent="0.55000000000000004">
      <c r="C218" s="2" t="s">
        <v>30</v>
      </c>
      <c r="D218" s="2">
        <v>16.874890000000001</v>
      </c>
      <c r="E218" s="2">
        <v>20.266103000000001</v>
      </c>
      <c r="F218" s="2">
        <v>21.843733</v>
      </c>
      <c r="G218" s="2">
        <v>35.819316999999998</v>
      </c>
      <c r="H218" s="2">
        <v>12.759838</v>
      </c>
      <c r="I218" s="2">
        <v>17.751470000000001</v>
      </c>
      <c r="J218" s="2">
        <v>24.625007</v>
      </c>
      <c r="K218" s="2">
        <v>28.355346000000001</v>
      </c>
      <c r="L218" s="2">
        <f>AVERAGE(D218:K218)</f>
        <v>22.286963</v>
      </c>
      <c r="M218" s="2">
        <f xml:space="preserve"> _xlfn.STDEV.S(D218:K218) / SQRT(COUNT(D218:K218))</f>
        <v>2.571561492037346</v>
      </c>
      <c r="N218" s="2">
        <f>M218*$N$2</f>
        <v>2.877986517956165</v>
      </c>
    </row>
    <row r="219" spans="2:14" x14ac:dyDescent="0.55000000000000004">
      <c r="C219" s="2" t="s">
        <v>31</v>
      </c>
      <c r="D219" s="2">
        <v>0.13922300000000001</v>
      </c>
      <c r="E219" s="2">
        <v>7.4319999999999997E-2</v>
      </c>
      <c r="F219" s="2">
        <v>1.5833E-2</v>
      </c>
      <c r="G219" s="2">
        <v>0.137798</v>
      </c>
      <c r="H219" s="2">
        <v>5.8497E-2</v>
      </c>
      <c r="I219" s="2">
        <v>8.3321999999999993E-2</v>
      </c>
      <c r="J219" s="2">
        <v>0.23871400000000001</v>
      </c>
      <c r="K219" s="2">
        <v>0.23572199999999999</v>
      </c>
      <c r="L219" s="2">
        <f>(1/COUNT(D219:K219))*SQRT(SUMSQ(D219:K219))</f>
        <v>5.1091090312273386E-2</v>
      </c>
    </row>
    <row r="220" spans="2:14" x14ac:dyDescent="0.55000000000000004">
      <c r="B220" s="2" t="s">
        <v>35</v>
      </c>
      <c r="C220" s="2" t="s">
        <v>22</v>
      </c>
      <c r="D220" s="2">
        <v>0.94899500000000003</v>
      </c>
      <c r="E220" s="2">
        <v>0.93887399999999999</v>
      </c>
      <c r="F220" s="2">
        <v>0.92832800000000004</v>
      </c>
      <c r="G220" s="2">
        <v>0.92172699999999996</v>
      </c>
      <c r="H220" s="2">
        <v>0.95059899999999997</v>
      </c>
      <c r="I220" s="2">
        <v>0.93197200000000002</v>
      </c>
      <c r="J220" s="2">
        <v>0.94436799999999999</v>
      </c>
      <c r="K220" s="2">
        <v>0.93219399999999997</v>
      </c>
      <c r="L220" s="2">
        <f>AVERAGE(D220:K220)</f>
        <v>0.93713212499999998</v>
      </c>
      <c r="M220" s="2">
        <f xml:space="preserve"> _xlfn.STDEV.S(D220:K220) / SQRT(COUNT(D220:K220))</f>
        <v>3.6432888470128003E-3</v>
      </c>
      <c r="N220" s="2">
        <f>M220*$N$2</f>
        <v>4.0774199703915246E-3</v>
      </c>
    </row>
    <row r="221" spans="2:14" x14ac:dyDescent="0.55000000000000004">
      <c r="C221" s="2" t="s">
        <v>23</v>
      </c>
      <c r="D221" s="2">
        <v>1.8900000000000001E-4</v>
      </c>
      <c r="E221" s="2">
        <v>3.6000000000000002E-4</v>
      </c>
      <c r="F221" s="2">
        <v>2.32E-4</v>
      </c>
      <c r="G221" s="2">
        <v>3.0499999999999999E-4</v>
      </c>
      <c r="H221" s="2">
        <v>1.7100000000000001E-4</v>
      </c>
      <c r="I221" s="2">
        <v>3.5500000000000001E-4</v>
      </c>
      <c r="J221" s="2">
        <v>3.8200000000000002E-4</v>
      </c>
      <c r="K221" s="2">
        <v>1.03E-4</v>
      </c>
      <c r="L221" s="2">
        <f>(1/COUNT(D221:K221))*SQRT(SUMSQ(D221:K221))</f>
        <v>9.8739635532039515E-5</v>
      </c>
    </row>
    <row r="222" spans="2:14" x14ac:dyDescent="0.55000000000000004">
      <c r="C222" s="2" t="s">
        <v>24</v>
      </c>
      <c r="D222" s="2">
        <v>0.31078299999999998</v>
      </c>
      <c r="E222" s="2">
        <v>0.337646</v>
      </c>
      <c r="F222" s="2">
        <v>0.36965399999999998</v>
      </c>
      <c r="G222" s="2">
        <v>0.38738299999999998</v>
      </c>
      <c r="H222" s="2">
        <v>0.30880999999999997</v>
      </c>
      <c r="I222" s="2">
        <v>0.36288300000000001</v>
      </c>
      <c r="J222" s="2">
        <v>0.32201800000000003</v>
      </c>
      <c r="K222" s="2">
        <v>0.36087000000000002</v>
      </c>
      <c r="L222" s="2">
        <f>AVERAGE(D222:K222)</f>
        <v>0.34500587500000002</v>
      </c>
      <c r="M222" s="2">
        <f xml:space="preserve"> _xlfn.STDEV.S(D222:K222) / SQRT(COUNT(D222:K222))</f>
        <v>1.0384199490155189E-2</v>
      </c>
      <c r="N222" s="2">
        <f>M222*$N$2</f>
        <v>1.1621571650132601E-2</v>
      </c>
    </row>
    <row r="223" spans="2:14" x14ac:dyDescent="0.55000000000000004">
      <c r="C223" s="2" t="s">
        <v>25</v>
      </c>
      <c r="D223" s="2">
        <v>5.2899999999999996E-4</v>
      </c>
      <c r="E223" s="2">
        <v>9.2400000000000002E-4</v>
      </c>
      <c r="F223" s="2">
        <v>5.6099999999999998E-4</v>
      </c>
      <c r="G223" s="2">
        <v>7.2999999999999996E-4</v>
      </c>
      <c r="H223" s="2">
        <v>5.0699999999999996E-4</v>
      </c>
      <c r="I223" s="2">
        <v>9.2900000000000003E-4</v>
      </c>
      <c r="J223" s="2">
        <v>1.0070000000000001E-3</v>
      </c>
      <c r="K223" s="2">
        <v>2.63E-4</v>
      </c>
      <c r="L223" s="2">
        <f>(1/COUNT(D223:K223))*SQRT(SUMSQ(D223:K223))</f>
        <v>2.5570203606932815E-4</v>
      </c>
    </row>
    <row r="224" spans="2:14" x14ac:dyDescent="0.55000000000000004">
      <c r="C224" s="2" t="s">
        <v>26</v>
      </c>
      <c r="D224" s="2">
        <v>0.64056599999999997</v>
      </c>
      <c r="E224" s="2">
        <v>0.74776399999999998</v>
      </c>
      <c r="F224" s="2">
        <v>0.58905300000000005</v>
      </c>
      <c r="G224" s="2">
        <v>0.69538199999999994</v>
      </c>
      <c r="H224" s="2">
        <v>0.63944900000000005</v>
      </c>
      <c r="I224" s="2">
        <v>0.62669900000000001</v>
      </c>
      <c r="J224" s="2">
        <v>0.699793</v>
      </c>
      <c r="K224" s="2">
        <v>0.56124200000000002</v>
      </c>
      <c r="L224" s="2">
        <f>AVERAGE(D224:K224)</f>
        <v>0.6499935</v>
      </c>
      <c r="M224" s="2">
        <f xml:space="preserve"> _xlfn.STDEV.S(D224:K224) / SQRT(COUNT(D224:K224))</f>
        <v>2.1725745122023837E-2</v>
      </c>
      <c r="N224" s="2">
        <f>M224*$N$2</f>
        <v>2.4314565973765353E-2</v>
      </c>
    </row>
    <row r="225" spans="2:14" x14ac:dyDescent="0.55000000000000004">
      <c r="C225" s="2" t="s">
        <v>27</v>
      </c>
      <c r="D225" s="2">
        <v>5.1500000000000005E-4</v>
      </c>
      <c r="E225" s="2">
        <v>6.9800000000000005E-4</v>
      </c>
      <c r="F225" s="2">
        <v>2.7799999999999998E-4</v>
      </c>
      <c r="G225" s="2">
        <v>7.5500000000000003E-4</v>
      </c>
      <c r="H225" s="2">
        <v>3.6000000000000002E-4</v>
      </c>
      <c r="I225" s="2">
        <v>6.9300000000000004E-4</v>
      </c>
      <c r="J225" s="2">
        <v>7.6400000000000003E-4</v>
      </c>
      <c r="K225" s="2">
        <v>2.1000000000000001E-4</v>
      </c>
      <c r="L225" s="2">
        <f>(1/COUNT(D225:K225))*SQRT(SUMSQ(D225:K225))</f>
        <v>2.0300026939637297E-4</v>
      </c>
    </row>
    <row r="226" spans="2:14" x14ac:dyDescent="0.55000000000000004">
      <c r="C226" s="2" t="s">
        <v>28</v>
      </c>
      <c r="D226" s="2">
        <v>2.4506999999999999</v>
      </c>
      <c r="E226" s="2">
        <v>2.7386979999999999</v>
      </c>
      <c r="F226" s="2">
        <v>3.2113969999999998</v>
      </c>
      <c r="G226" s="2">
        <v>3.444194</v>
      </c>
      <c r="H226" s="2">
        <v>1.7900929999999999</v>
      </c>
      <c r="I226" s="2">
        <v>3.1820010000000001</v>
      </c>
      <c r="J226" s="2">
        <v>3.196679</v>
      </c>
      <c r="K226" s="2">
        <v>2.6799539999999999</v>
      </c>
      <c r="L226" s="2">
        <f>AVERAGE(D226:K226)</f>
        <v>2.8367144999999998</v>
      </c>
      <c r="M226" s="2">
        <f xml:space="preserve"> _xlfn.STDEV.S(D226:K226) / SQRT(COUNT(D226:K226))</f>
        <v>0.19071390194729976</v>
      </c>
      <c r="N226" s="2">
        <f>M226*$N$2</f>
        <v>0.21343920426973464</v>
      </c>
    </row>
    <row r="227" spans="2:14" x14ac:dyDescent="0.55000000000000004">
      <c r="C227" s="2" t="s">
        <v>29</v>
      </c>
      <c r="D227" s="2">
        <v>1.0101000000000001E-2</v>
      </c>
      <c r="E227" s="2">
        <v>6.1279999999999998E-3</v>
      </c>
      <c r="F227" s="2">
        <v>2.6250000000000002E-3</v>
      </c>
      <c r="G227" s="2">
        <v>9.0900000000000009E-3</v>
      </c>
      <c r="H227" s="2">
        <v>2.918E-3</v>
      </c>
      <c r="I227" s="2">
        <v>1.332E-2</v>
      </c>
      <c r="J227" s="2">
        <v>9.6889999999999997E-3</v>
      </c>
      <c r="K227" s="2">
        <v>3.424E-3</v>
      </c>
      <c r="L227" s="2">
        <f>(1/COUNT(D227:K227))*SQRT(SUMSQ(D227:K227))</f>
        <v>2.8521892112682496E-3</v>
      </c>
    </row>
    <row r="228" spans="2:14" x14ac:dyDescent="0.55000000000000004">
      <c r="C228" s="2" t="s">
        <v>30</v>
      </c>
      <c r="D228" s="2">
        <v>15.982054</v>
      </c>
      <c r="E228" s="2">
        <v>20.269753000000001</v>
      </c>
      <c r="F228" s="2">
        <v>21.678298999999999</v>
      </c>
      <c r="G228" s="2">
        <v>33.753968</v>
      </c>
      <c r="H228" s="2">
        <v>12.900388</v>
      </c>
      <c r="I228" s="2">
        <v>18.187190000000001</v>
      </c>
      <c r="J228" s="2">
        <v>24.382856</v>
      </c>
      <c r="K228" s="2">
        <v>33.240105999999997</v>
      </c>
      <c r="L228" s="2">
        <f>AVERAGE(D228:K228)</f>
        <v>22.549326749999999</v>
      </c>
      <c r="M228" s="2">
        <f xml:space="preserve"> _xlfn.STDEV.S(D228:K228) / SQRT(COUNT(D228:K228))</f>
        <v>2.687314941292442</v>
      </c>
      <c r="N228" s="2">
        <f>M228*$N$2</f>
        <v>3.0075330473293196</v>
      </c>
    </row>
    <row r="229" spans="2:14" x14ac:dyDescent="0.55000000000000004">
      <c r="C229" s="2" t="s">
        <v>31</v>
      </c>
      <c r="D229" s="2">
        <v>2.7515000000000001E-2</v>
      </c>
      <c r="E229" s="2">
        <v>6.7802000000000001E-2</v>
      </c>
      <c r="F229" s="2">
        <v>6.0949999999999997E-3</v>
      </c>
      <c r="G229" s="2">
        <v>7.4543999999999999E-2</v>
      </c>
      <c r="H229" s="2">
        <v>2.5978000000000001E-2</v>
      </c>
      <c r="I229" s="2">
        <v>3.4419999999999999E-2</v>
      </c>
      <c r="J229" s="2">
        <v>0.119426</v>
      </c>
      <c r="K229" s="2">
        <v>0.236156</v>
      </c>
      <c r="L229" s="2">
        <f>(1/COUNT(D229:K229))*SQRT(SUMSQ(D229:K229))</f>
        <v>3.5977415243368303E-2</v>
      </c>
    </row>
    <row r="230" spans="2:14" x14ac:dyDescent="0.55000000000000004">
      <c r="B230" s="2" t="s">
        <v>45</v>
      </c>
      <c r="C230" s="2" t="s">
        <v>22</v>
      </c>
      <c r="D230" s="2">
        <v>0.95168799999999998</v>
      </c>
      <c r="E230" s="2">
        <v>0.94084199999999996</v>
      </c>
      <c r="F230" s="2">
        <v>0.92429300000000003</v>
      </c>
      <c r="G230" s="2">
        <v>0.94367199999999996</v>
      </c>
      <c r="H230" s="2">
        <v>0.95314200000000004</v>
      </c>
      <c r="I230" s="2">
        <v>0.941222</v>
      </c>
      <c r="J230" s="2">
        <v>0.95598300000000003</v>
      </c>
      <c r="K230" s="2">
        <v>0.93391500000000005</v>
      </c>
      <c r="L230" s="2">
        <f>AVERAGE(D230:K230)</f>
        <v>0.94309462499999985</v>
      </c>
      <c r="M230" s="2">
        <f xml:space="preserve"> _xlfn.STDEV.S(D230:K230) / SQRT(COUNT(D230:K230))</f>
        <v>3.7502073082578643E-3</v>
      </c>
      <c r="N230" s="2">
        <f>M230*$N$2</f>
        <v>4.1970787422842886E-3</v>
      </c>
    </row>
    <row r="231" spans="2:14" x14ac:dyDescent="0.55000000000000004">
      <c r="C231" s="2" t="s">
        <v>23</v>
      </c>
      <c r="D231" s="2">
        <v>5.1900000000000004E-4</v>
      </c>
      <c r="E231" s="2">
        <v>1.6080000000000001E-3</v>
      </c>
      <c r="F231" s="2">
        <v>2.0439999999999998E-3</v>
      </c>
      <c r="G231" s="2">
        <v>1.224E-3</v>
      </c>
      <c r="H231" s="2">
        <v>3.7500000000000001E-4</v>
      </c>
      <c r="I231" s="2">
        <v>5.7899999999999998E-4</v>
      </c>
      <c r="J231" s="2">
        <v>8.8500000000000004E-4</v>
      </c>
      <c r="K231" s="2">
        <v>6.4899999999999995E-4</v>
      </c>
      <c r="L231" s="2">
        <f>(1/COUNT(D231:K231))*SQRT(SUMSQ(D231:K231))</f>
        <v>3.9944158286913496E-4</v>
      </c>
    </row>
    <row r="232" spans="2:14" x14ac:dyDescent="0.55000000000000004">
      <c r="C232" s="2" t="s">
        <v>24</v>
      </c>
      <c r="D232" s="2">
        <v>0.30352400000000002</v>
      </c>
      <c r="E232" s="2">
        <v>0.33065600000000001</v>
      </c>
      <c r="F232" s="2">
        <v>0.38024799999999997</v>
      </c>
      <c r="G232" s="2">
        <v>0.32755299999999998</v>
      </c>
      <c r="H232" s="2">
        <v>0.301176</v>
      </c>
      <c r="I232" s="2">
        <v>0.33726400000000001</v>
      </c>
      <c r="J232" s="2">
        <v>0.28798400000000002</v>
      </c>
      <c r="K232" s="2">
        <v>0.35633199999999998</v>
      </c>
      <c r="L232" s="2">
        <f>AVERAGE(D232:K232)</f>
        <v>0.32809212500000001</v>
      </c>
      <c r="M232" s="2">
        <f xml:space="preserve"> _xlfn.STDEV.S(D232:K232) / SQRT(COUNT(D232:K232))</f>
        <v>1.0811242066276422E-2</v>
      </c>
      <c r="N232" s="2">
        <f>M232*$N$2</f>
        <v>1.2099500247397633E-2</v>
      </c>
    </row>
    <row r="233" spans="2:14" x14ac:dyDescent="0.55000000000000004">
      <c r="C233" s="2" t="s">
        <v>25</v>
      </c>
      <c r="D233" s="2">
        <v>1.5039999999999999E-3</v>
      </c>
      <c r="E233" s="2">
        <v>3.8219999999999999E-3</v>
      </c>
      <c r="F233" s="2">
        <v>5.0090000000000004E-3</v>
      </c>
      <c r="G233" s="2">
        <v>3.042E-3</v>
      </c>
      <c r="H233" s="2">
        <v>1.0970000000000001E-3</v>
      </c>
      <c r="I233" s="2">
        <v>1.6639999999999999E-3</v>
      </c>
      <c r="J233" s="2">
        <v>2.2859999999999998E-3</v>
      </c>
      <c r="K233" s="2">
        <v>1.614E-3</v>
      </c>
      <c r="L233" s="2">
        <f>(1/COUNT(D233:K233))*SQRT(SUMSQ(D233:K233))</f>
        <v>9.9228777642879399E-4</v>
      </c>
    </row>
    <row r="234" spans="2:14" x14ac:dyDescent="0.55000000000000004">
      <c r="C234" s="2" t="s">
        <v>26</v>
      </c>
      <c r="D234" s="2">
        <v>0.64618900000000001</v>
      </c>
      <c r="E234" s="2">
        <v>0.75109899999999996</v>
      </c>
      <c r="F234" s="2">
        <v>0.58555599999999997</v>
      </c>
      <c r="G234" s="2">
        <v>0.73312999999999995</v>
      </c>
      <c r="H234" s="2">
        <v>0.64699200000000001</v>
      </c>
      <c r="I234" s="2">
        <v>0.64584900000000001</v>
      </c>
      <c r="J234" s="2">
        <v>0.72566399999999998</v>
      </c>
      <c r="K234" s="2">
        <v>0.56242899999999996</v>
      </c>
      <c r="L234" s="2">
        <f>AVERAGE(D234:K234)</f>
        <v>0.66211350000000002</v>
      </c>
      <c r="M234" s="2">
        <f xml:space="preserve"> _xlfn.STDEV.S(D234:K234) / SQRT(COUNT(D234:K234))</f>
        <v>2.4474936999043385E-2</v>
      </c>
      <c r="N234" s="2">
        <f>M234*$N$2</f>
        <v>2.7391349158548694E-2</v>
      </c>
    </row>
    <row r="235" spans="2:14" x14ac:dyDescent="0.55000000000000004">
      <c r="C235" s="2" t="s">
        <v>27</v>
      </c>
      <c r="D235" s="2">
        <v>1.4250000000000001E-3</v>
      </c>
      <c r="E235" s="2">
        <v>2.738E-3</v>
      </c>
      <c r="F235" s="2">
        <v>1.554E-3</v>
      </c>
      <c r="G235" s="2">
        <v>2.532E-3</v>
      </c>
      <c r="H235" s="2">
        <v>9.1500000000000001E-4</v>
      </c>
      <c r="I235" s="2">
        <v>1.1440000000000001E-3</v>
      </c>
      <c r="J235" s="2">
        <v>1.407E-3</v>
      </c>
      <c r="K235" s="2">
        <v>8.9300000000000002E-4</v>
      </c>
      <c r="L235" s="2">
        <f>(1/COUNT(D235:K235))*SQRT(SUMSQ(D235:K235))</f>
        <v>6.0306855953531522E-4</v>
      </c>
    </row>
    <row r="236" spans="2:14" x14ac:dyDescent="0.55000000000000004">
      <c r="C236" s="2" t="s">
        <v>28</v>
      </c>
      <c r="D236" s="2">
        <v>2.290359</v>
      </c>
      <c r="E236" s="2">
        <v>2.6321050000000001</v>
      </c>
      <c r="F236" s="2">
        <v>3.2389160000000001</v>
      </c>
      <c r="G236" s="2">
        <v>2.9956290000000001</v>
      </c>
      <c r="H236" s="2">
        <v>1.7137249999999999</v>
      </c>
      <c r="I236" s="2">
        <v>2.8043239999999998</v>
      </c>
      <c r="J236" s="2">
        <v>2.880976</v>
      </c>
      <c r="K236" s="2">
        <v>2.680901</v>
      </c>
      <c r="L236" s="2">
        <f>AVERAGE(D236:K236)</f>
        <v>2.6546168749999994</v>
      </c>
      <c r="M236" s="2">
        <f xml:space="preserve"> _xlfn.STDEV.S(D236:K236) / SQRT(COUNT(D236:K236))</f>
        <v>0.16639584758849793</v>
      </c>
      <c r="N236" s="2">
        <f>M236*$N$2</f>
        <v>0.1862234317500937</v>
      </c>
    </row>
    <row r="237" spans="2:14" x14ac:dyDescent="0.55000000000000004">
      <c r="C237" s="2" t="s">
        <v>29</v>
      </c>
      <c r="D237" s="2">
        <v>2.0913000000000001E-2</v>
      </c>
      <c r="E237" s="2">
        <v>3.0956999999999998E-2</v>
      </c>
      <c r="F237" s="2">
        <v>1.8270000000000002E-2</v>
      </c>
      <c r="G237" s="2">
        <v>3.0336999999999999E-2</v>
      </c>
      <c r="H237" s="2">
        <v>7.2420000000000002E-3</v>
      </c>
      <c r="I237" s="2">
        <v>2.1908E-2</v>
      </c>
      <c r="J237" s="2">
        <v>1.7526E-2</v>
      </c>
      <c r="K237" s="2">
        <v>1.3158E-2</v>
      </c>
      <c r="L237" s="2">
        <f>(1/COUNT(D237:K237))*SQRT(SUMSQ(D237:K237))</f>
        <v>7.5648411200682202E-3</v>
      </c>
    </row>
    <row r="238" spans="2:14" x14ac:dyDescent="0.55000000000000004">
      <c r="C238" s="2" t="s">
        <v>30</v>
      </c>
      <c r="D238" s="2">
        <v>15.522834</v>
      </c>
      <c r="E238" s="2">
        <v>19.399365</v>
      </c>
      <c r="F238" s="2">
        <v>21.660240999999999</v>
      </c>
      <c r="G238" s="2">
        <v>29.918624999999999</v>
      </c>
      <c r="H238" s="2">
        <v>12.538073000000001</v>
      </c>
      <c r="I238" s="2">
        <v>17.182136</v>
      </c>
      <c r="J238" s="2">
        <v>21.991944</v>
      </c>
      <c r="K238" s="2">
        <v>36.208208999999997</v>
      </c>
      <c r="L238" s="2">
        <f>AVERAGE(D238:K238)</f>
        <v>21.802678374999999</v>
      </c>
      <c r="M238" s="2">
        <f xml:space="preserve"> _xlfn.STDEV.S(D238:K238) / SQRT(COUNT(D238:K238))</f>
        <v>2.7575827187327198</v>
      </c>
      <c r="N238" s="2">
        <f>M238*$N$2</f>
        <v>3.0861738718812712</v>
      </c>
    </row>
    <row r="239" spans="2:14" x14ac:dyDescent="0.55000000000000004">
      <c r="C239" s="2" t="s">
        <v>31</v>
      </c>
      <c r="D239" s="2">
        <v>5.0039E-2</v>
      </c>
      <c r="E239" s="2">
        <v>0.15520200000000001</v>
      </c>
      <c r="F239" s="2">
        <v>8.9899999999999997E-3</v>
      </c>
      <c r="G239" s="2">
        <v>0.33039800000000003</v>
      </c>
      <c r="H239" s="2">
        <v>2.9276E-2</v>
      </c>
      <c r="I239" s="2">
        <v>0.108308</v>
      </c>
      <c r="J239" s="2">
        <v>7.7621999999999997E-2</v>
      </c>
      <c r="K239" s="2">
        <v>0.71424299999999996</v>
      </c>
      <c r="L239" s="2">
        <f>(1/COUNT(D239:K239))*SQRT(SUMSQ(D239:K239))</f>
        <v>0.10190307633067928</v>
      </c>
    </row>
    <row r="240" spans="2:14" x14ac:dyDescent="0.55000000000000004">
      <c r="B240" s="2" t="s">
        <v>46</v>
      </c>
      <c r="C240" s="2" t="s">
        <v>22</v>
      </c>
      <c r="L240" s="2" t="e">
        <f>AVERAGE(D240:K240)</f>
        <v>#DIV/0!</v>
      </c>
      <c r="M240" s="2" t="e">
        <f xml:space="preserve"> _xlfn.STDEV.S(D240:K240) / SQRT(COUNT(D240:K240))</f>
        <v>#DIV/0!</v>
      </c>
      <c r="N240" s="2" t="e">
        <f>M240*$N$2</f>
        <v>#DIV/0!</v>
      </c>
    </row>
    <row r="241" spans="2:14" x14ac:dyDescent="0.55000000000000004">
      <c r="C241" s="2" t="s">
        <v>23</v>
      </c>
      <c r="L241" s="2" t="e">
        <f>(1/COUNT(D241:K241))*SQRT(SUMSQ(D241:K241))</f>
        <v>#DIV/0!</v>
      </c>
    </row>
    <row r="242" spans="2:14" x14ac:dyDescent="0.55000000000000004">
      <c r="C242" s="2" t="s">
        <v>24</v>
      </c>
      <c r="L242" s="2" t="e">
        <f>AVERAGE(D242:K242)</f>
        <v>#DIV/0!</v>
      </c>
      <c r="M242" s="2" t="e">
        <f xml:space="preserve"> _xlfn.STDEV.S(D242:K242) / SQRT(COUNT(D242:K242))</f>
        <v>#DIV/0!</v>
      </c>
      <c r="N242" s="2" t="e">
        <f>M242*$N$2</f>
        <v>#DIV/0!</v>
      </c>
    </row>
    <row r="243" spans="2:14" x14ac:dyDescent="0.55000000000000004">
      <c r="C243" s="2" t="s">
        <v>25</v>
      </c>
      <c r="L243" s="2" t="e">
        <f>(1/COUNT(D243:K243))*SQRT(SUMSQ(D243:K243))</f>
        <v>#DIV/0!</v>
      </c>
    </row>
    <row r="244" spans="2:14" x14ac:dyDescent="0.55000000000000004">
      <c r="C244" s="2" t="s">
        <v>26</v>
      </c>
      <c r="L244" s="2" t="e">
        <f>AVERAGE(D244:K244)</f>
        <v>#DIV/0!</v>
      </c>
      <c r="M244" s="2" t="e">
        <f xml:space="preserve"> _xlfn.STDEV.S(D244:K244) / SQRT(COUNT(D244:K244))</f>
        <v>#DIV/0!</v>
      </c>
      <c r="N244" s="2" t="e">
        <f>M244*$N$2</f>
        <v>#DIV/0!</v>
      </c>
    </row>
    <row r="245" spans="2:14" x14ac:dyDescent="0.55000000000000004">
      <c r="C245" s="2" t="s">
        <v>27</v>
      </c>
      <c r="L245" s="2" t="e">
        <f>(1/COUNT(D245:K245))*SQRT(SUMSQ(D245:K245))</f>
        <v>#DIV/0!</v>
      </c>
    </row>
    <row r="246" spans="2:14" x14ac:dyDescent="0.55000000000000004">
      <c r="C246" s="2" t="s">
        <v>28</v>
      </c>
      <c r="L246" s="2" t="e">
        <f>AVERAGE(D246:K246)</f>
        <v>#DIV/0!</v>
      </c>
      <c r="M246" s="2" t="e">
        <f xml:space="preserve"> _xlfn.STDEV.S(D246:K246) / SQRT(COUNT(D246:K246))</f>
        <v>#DIV/0!</v>
      </c>
      <c r="N246" s="2" t="e">
        <f>M246*$N$2</f>
        <v>#DIV/0!</v>
      </c>
    </row>
    <row r="247" spans="2:14" x14ac:dyDescent="0.55000000000000004">
      <c r="C247" s="2" t="s">
        <v>29</v>
      </c>
      <c r="L247" s="2" t="e">
        <f>(1/COUNT(D247:K247))*SQRT(SUMSQ(D247:K247))</f>
        <v>#DIV/0!</v>
      </c>
    </row>
    <row r="248" spans="2:14" x14ac:dyDescent="0.55000000000000004">
      <c r="C248" s="2" t="s">
        <v>30</v>
      </c>
      <c r="L248" s="2" t="e">
        <f>AVERAGE(D248:K248)</f>
        <v>#DIV/0!</v>
      </c>
      <c r="M248" s="2" t="e">
        <f xml:space="preserve"> _xlfn.STDEV.S(D248:K248) / SQRT(COUNT(D248:K248))</f>
        <v>#DIV/0!</v>
      </c>
      <c r="N248" s="2" t="e">
        <f>M248*$N$2</f>
        <v>#DIV/0!</v>
      </c>
    </row>
    <row r="249" spans="2:14" x14ac:dyDescent="0.55000000000000004">
      <c r="C249" s="2" t="s">
        <v>31</v>
      </c>
      <c r="L249" s="2" t="e">
        <f>(1/COUNT(D249:K249))*SQRT(SUMSQ(D249:K249))</f>
        <v>#DIV/0!</v>
      </c>
    </row>
    <row r="250" spans="2:14" x14ac:dyDescent="0.55000000000000004">
      <c r="B250" s="2" t="s">
        <v>36</v>
      </c>
      <c r="C250" s="2" t="s">
        <v>22</v>
      </c>
      <c r="D250" s="2">
        <v>0.95198199999999999</v>
      </c>
      <c r="E250" s="2">
        <v>0.945214</v>
      </c>
      <c r="F250" s="2">
        <v>0.93072100000000002</v>
      </c>
      <c r="G250" s="2">
        <v>0.94373700000000005</v>
      </c>
      <c r="H250" s="2">
        <v>0.95531999999999995</v>
      </c>
      <c r="I250" s="2">
        <v>0.94253200000000004</v>
      </c>
      <c r="J250" s="2">
        <v>0.95682900000000004</v>
      </c>
      <c r="K250" s="2">
        <v>0.934145</v>
      </c>
      <c r="L250" s="2">
        <f>AVERAGE(D250:K250)</f>
        <v>0.94506000000000001</v>
      </c>
      <c r="M250" s="2">
        <f xml:space="preserve"> _xlfn.STDEV.S(D250:K250) / SQRT(COUNT(D250:K250))</f>
        <v>3.3396963613050606E-3</v>
      </c>
      <c r="N250" s="2">
        <f>M250*$N$2</f>
        <v>3.7376516687097905E-3</v>
      </c>
    </row>
    <row r="251" spans="2:14" x14ac:dyDescent="0.55000000000000004">
      <c r="C251" s="2" t="s">
        <v>24</v>
      </c>
      <c r="D251" s="2">
        <v>0.30315799999999998</v>
      </c>
      <c r="E251" s="2">
        <v>0.32233600000000001</v>
      </c>
      <c r="F251" s="2">
        <v>0.36468699999999998</v>
      </c>
      <c r="G251" s="2">
        <v>0.327565</v>
      </c>
      <c r="H251" s="2">
        <v>0.29468699999999998</v>
      </c>
      <c r="I251" s="2">
        <v>0.33426800000000001</v>
      </c>
      <c r="J251" s="2">
        <v>0.28644999999999998</v>
      </c>
      <c r="K251" s="2">
        <v>0.35563899999999998</v>
      </c>
      <c r="L251" s="2">
        <f t="shared" ref="L251:L267" si="11">AVERAGE(D251:K251)</f>
        <v>0.32359874999999999</v>
      </c>
      <c r="M251" s="2">
        <f t="shared" ref="M251:M267" si="12" xml:space="preserve"> _xlfn.STDEV.S(D251:K251) / SQRT(COUNT(D251:K251))</f>
        <v>9.8920275036985493E-3</v>
      </c>
      <c r="N251" s="2">
        <f t="shared" ref="N251:N267" si="13">M251*$N$2</f>
        <v>1.1070752878765909E-2</v>
      </c>
    </row>
    <row r="252" spans="2:14" x14ac:dyDescent="0.55000000000000004">
      <c r="C252" s="2" t="s">
        <v>26</v>
      </c>
      <c r="D252" s="2">
        <v>0.64565600000000001</v>
      </c>
      <c r="E252" s="2">
        <v>0.75825500000000001</v>
      </c>
      <c r="F252" s="2">
        <v>0.59012399999999998</v>
      </c>
      <c r="G252" s="2">
        <v>0.73391200000000001</v>
      </c>
      <c r="H252" s="2">
        <v>0.65170799999999995</v>
      </c>
      <c r="I252" s="2">
        <v>0.64802800000000005</v>
      </c>
      <c r="J252" s="2">
        <v>0.72671699999999995</v>
      </c>
      <c r="K252" s="2">
        <v>0.56331900000000001</v>
      </c>
      <c r="L252" s="2">
        <f t="shared" si="11"/>
        <v>0.66471487499999993</v>
      </c>
      <c r="M252" s="2">
        <f t="shared" si="12"/>
        <v>2.4654054291649984E-2</v>
      </c>
      <c r="N252" s="2">
        <f t="shared" si="13"/>
        <v>2.7591809911616742E-2</v>
      </c>
    </row>
    <row r="253" spans="2:14" x14ac:dyDescent="0.55000000000000004">
      <c r="C253" s="2" t="s">
        <v>28</v>
      </c>
      <c r="D253" s="2">
        <v>2.3015569999999999</v>
      </c>
      <c r="E253" s="2">
        <v>2.5663299999999998</v>
      </c>
      <c r="F253" s="2">
        <v>3.1616659999999999</v>
      </c>
      <c r="G253" s="2">
        <v>2.9928940000000002</v>
      </c>
      <c r="H253" s="2">
        <v>1.6784600000000001</v>
      </c>
      <c r="I253" s="2">
        <v>2.776214</v>
      </c>
      <c r="J253" s="2">
        <v>2.87046</v>
      </c>
      <c r="K253" s="2">
        <v>2.676031</v>
      </c>
      <c r="L253" s="2">
        <f t="shared" si="11"/>
        <v>2.6279515</v>
      </c>
      <c r="M253" s="2">
        <f t="shared" si="12"/>
        <v>0.16437124048280821</v>
      </c>
      <c r="N253" s="2">
        <f t="shared" si="13"/>
        <v>0.18395757422641579</v>
      </c>
    </row>
    <row r="254" spans="2:14" x14ac:dyDescent="0.55000000000000004">
      <c r="C254" s="2" t="s">
        <v>30</v>
      </c>
      <c r="D254" s="2">
        <v>15.387638000000001</v>
      </c>
      <c r="E254" s="2">
        <v>19.052453</v>
      </c>
      <c r="F254" s="2">
        <v>21.805222000000001</v>
      </c>
      <c r="G254" s="2">
        <v>29.796132</v>
      </c>
      <c r="H254" s="2">
        <v>12.406836999999999</v>
      </c>
      <c r="I254" s="2">
        <v>17.290672000000001</v>
      </c>
      <c r="J254" s="2">
        <v>21.981051000000001</v>
      </c>
      <c r="K254" s="2">
        <v>41.245505999999999</v>
      </c>
      <c r="L254" s="2">
        <f t="shared" si="11"/>
        <v>22.370688875000003</v>
      </c>
      <c r="M254" s="2">
        <f t="shared" si="12"/>
        <v>3.2643258493670184</v>
      </c>
      <c r="N254" s="2">
        <f t="shared" si="13"/>
        <v>3.6533000722650617</v>
      </c>
    </row>
    <row r="255" spans="2:14" x14ac:dyDescent="0.55000000000000004">
      <c r="B255" s="2" t="s">
        <v>37</v>
      </c>
      <c r="C255" s="2" t="s">
        <v>22</v>
      </c>
      <c r="D255" s="2">
        <v>0.94062900000000005</v>
      </c>
      <c r="E255" s="2">
        <v>0.92479999999999996</v>
      </c>
      <c r="F255" s="2">
        <v>0.92321799999999998</v>
      </c>
      <c r="G255" s="2">
        <v>0.91800499999999996</v>
      </c>
      <c r="H255" s="2">
        <v>0.94003499999999995</v>
      </c>
      <c r="I255" s="2">
        <v>0.92376800000000003</v>
      </c>
      <c r="J255" s="2">
        <v>0.94516</v>
      </c>
      <c r="K255" s="2">
        <v>0.92510599999999998</v>
      </c>
      <c r="L255" s="2">
        <f t="shared" si="11"/>
        <v>0.93009012499999999</v>
      </c>
      <c r="M255" s="2">
        <f t="shared" si="12"/>
        <v>3.5935013140663318E-3</v>
      </c>
      <c r="N255" s="2">
        <f t="shared" si="13"/>
        <v>4.0216997984158917E-3</v>
      </c>
    </row>
    <row r="256" spans="2:14" x14ac:dyDescent="0.55000000000000004">
      <c r="C256" s="2" t="s">
        <v>24</v>
      </c>
      <c r="D256" s="2">
        <v>0.33783600000000003</v>
      </c>
      <c r="E256" s="2">
        <v>0.369944</v>
      </c>
      <c r="F256" s="2">
        <v>0.38244099999999998</v>
      </c>
      <c r="G256" s="2">
        <v>0.39638200000000001</v>
      </c>
      <c r="H256" s="2">
        <v>0.33917599999999998</v>
      </c>
      <c r="I256" s="2">
        <v>0.38305600000000001</v>
      </c>
      <c r="J256" s="2">
        <v>0.31980999999999998</v>
      </c>
      <c r="K256" s="2">
        <v>0.38008500000000001</v>
      </c>
      <c r="L256" s="2">
        <f t="shared" si="11"/>
        <v>0.36359125000000003</v>
      </c>
      <c r="M256" s="2">
        <f t="shared" si="12"/>
        <v>9.7266747194616459E-3</v>
      </c>
      <c r="N256" s="2">
        <f t="shared" si="13"/>
        <v>1.0885696800887211E-2</v>
      </c>
    </row>
    <row r="257" spans="1:14" x14ac:dyDescent="0.55000000000000004">
      <c r="C257" s="2" t="s">
        <v>26</v>
      </c>
      <c r="D257" s="2">
        <v>0.61555199999999999</v>
      </c>
      <c r="E257" s="2">
        <v>0.72568999999999995</v>
      </c>
      <c r="F257" s="2">
        <v>0.582596</v>
      </c>
      <c r="G257" s="2">
        <v>0.69504100000000002</v>
      </c>
      <c r="H257" s="2">
        <v>0.61156600000000005</v>
      </c>
      <c r="I257" s="2">
        <v>0.612124</v>
      </c>
      <c r="J257" s="2">
        <v>0.70229200000000003</v>
      </c>
      <c r="K257" s="2">
        <v>0.54522199999999998</v>
      </c>
      <c r="L257" s="2">
        <f t="shared" si="11"/>
        <v>0.63626037499999999</v>
      </c>
      <c r="M257" s="2">
        <f t="shared" si="12"/>
        <v>2.2599802314193479E-2</v>
      </c>
      <c r="N257" s="2">
        <f t="shared" si="13"/>
        <v>2.5292775059091912E-2</v>
      </c>
    </row>
    <row r="258" spans="1:14" x14ac:dyDescent="0.55000000000000004">
      <c r="C258" s="2" t="s">
        <v>28</v>
      </c>
      <c r="D258" s="2">
        <v>2.701276</v>
      </c>
      <c r="E258" s="2">
        <v>2.9819149999999999</v>
      </c>
      <c r="F258" s="2">
        <v>3.313831</v>
      </c>
      <c r="G258" s="2">
        <v>3.5312039999999998</v>
      </c>
      <c r="H258" s="2">
        <v>2.060238</v>
      </c>
      <c r="I258" s="2">
        <v>3.722461</v>
      </c>
      <c r="J258" s="2">
        <v>3.3503630000000002</v>
      </c>
      <c r="K258" s="2">
        <v>3.034087</v>
      </c>
      <c r="L258" s="2">
        <f t="shared" si="11"/>
        <v>3.0869218750000003</v>
      </c>
      <c r="M258" s="2">
        <f t="shared" si="12"/>
        <v>0.1860686341904923</v>
      </c>
      <c r="N258" s="2">
        <f t="shared" si="13"/>
        <v>0.20824041045602085</v>
      </c>
    </row>
    <row r="259" spans="1:14" x14ac:dyDescent="0.55000000000000004">
      <c r="C259" s="2" t="s">
        <v>30</v>
      </c>
      <c r="D259" s="2">
        <v>16.582153000000002</v>
      </c>
      <c r="E259" s="2">
        <v>22.157554999999999</v>
      </c>
      <c r="F259" s="2">
        <v>22.333003999999999</v>
      </c>
      <c r="G259" s="2">
        <v>36.539518999999999</v>
      </c>
      <c r="H259" s="2">
        <v>15.192050999999999</v>
      </c>
      <c r="I259" s="2">
        <v>20.420078</v>
      </c>
      <c r="J259" s="2">
        <v>26.137696999999999</v>
      </c>
      <c r="K259" s="2">
        <v>50.015284999999999</v>
      </c>
      <c r="L259" s="2">
        <f t="shared" si="11"/>
        <v>26.17216775</v>
      </c>
      <c r="M259" s="2">
        <f t="shared" si="12"/>
        <v>4.1240833991225259</v>
      </c>
      <c r="N259" s="2">
        <f t="shared" si="13"/>
        <v>4.6155055822515374</v>
      </c>
    </row>
    <row r="260" spans="1:14" x14ac:dyDescent="0.55000000000000004">
      <c r="B260" s="2" t="s">
        <v>39</v>
      </c>
      <c r="C260" s="2" t="s">
        <v>22</v>
      </c>
      <c r="D260" s="2">
        <v>0.95371300000000003</v>
      </c>
      <c r="E260" s="2">
        <v>0.94838199999999995</v>
      </c>
      <c r="F260" s="2">
        <v>0.93333500000000003</v>
      </c>
      <c r="G260" s="2">
        <v>0.91847500000000004</v>
      </c>
      <c r="H260" s="2">
        <v>0.95535700000000001</v>
      </c>
      <c r="I260" s="2">
        <v>0.93978899999999999</v>
      </c>
      <c r="J260" s="2">
        <v>0.95477299999999998</v>
      </c>
      <c r="K260" s="2">
        <v>0.92280099999999998</v>
      </c>
      <c r="L260" s="2">
        <f t="shared" si="11"/>
        <v>0.94082812500000002</v>
      </c>
      <c r="M260" s="2">
        <f t="shared" si="12"/>
        <v>5.1935655844429921E-3</v>
      </c>
      <c r="N260" s="2">
        <f t="shared" si="13"/>
        <v>5.8124263325727973E-3</v>
      </c>
    </row>
    <row r="261" spans="1:14" x14ac:dyDescent="0.55000000000000004">
      <c r="C261" s="2" t="s">
        <v>24</v>
      </c>
      <c r="D261" s="2">
        <v>0.29818600000000001</v>
      </c>
      <c r="E261" s="2">
        <v>0.31422499999999998</v>
      </c>
      <c r="F261" s="2">
        <v>0.35792299999999999</v>
      </c>
      <c r="G261" s="2">
        <v>0.39561499999999999</v>
      </c>
      <c r="H261" s="2">
        <v>0.29461100000000001</v>
      </c>
      <c r="I261" s="2">
        <v>0.34198299999999998</v>
      </c>
      <c r="J261" s="2">
        <v>0.293819</v>
      </c>
      <c r="K261" s="2">
        <v>0.37962200000000001</v>
      </c>
      <c r="L261" s="2">
        <f t="shared" si="11"/>
        <v>0.33449800000000002</v>
      </c>
      <c r="M261" s="2">
        <f t="shared" si="12"/>
        <v>1.4237481091170207E-2</v>
      </c>
      <c r="N261" s="2">
        <f t="shared" si="13"/>
        <v>1.5934006928055449E-2</v>
      </c>
    </row>
    <row r="262" spans="1:14" x14ac:dyDescent="0.55000000000000004">
      <c r="C262" s="2" t="s">
        <v>26</v>
      </c>
      <c r="D262" s="2">
        <v>0.65156700000000001</v>
      </c>
      <c r="E262" s="2">
        <v>0.76498500000000003</v>
      </c>
      <c r="F262" s="2">
        <v>0.59351799999999999</v>
      </c>
      <c r="G262" s="2">
        <v>0.69253200000000004</v>
      </c>
      <c r="H262" s="2">
        <v>0.65163000000000004</v>
      </c>
      <c r="I262" s="2">
        <v>0.64499300000000004</v>
      </c>
      <c r="J262" s="2">
        <v>0.72317100000000001</v>
      </c>
      <c r="K262" s="2">
        <v>0.54938299999999995</v>
      </c>
      <c r="L262" s="2">
        <f t="shared" si="11"/>
        <v>0.65897237499999994</v>
      </c>
      <c r="M262" s="2">
        <f t="shared" si="12"/>
        <v>2.4306329215378029E-2</v>
      </c>
      <c r="N262" s="2">
        <f t="shared" si="13"/>
        <v>2.7202650218346832E-2</v>
      </c>
    </row>
    <row r="263" spans="1:14" x14ac:dyDescent="0.55000000000000004">
      <c r="C263" s="2" t="s">
        <v>28</v>
      </c>
      <c r="D263" s="2">
        <v>2.244818</v>
      </c>
      <c r="E263" s="2">
        <v>2.6328279999999999</v>
      </c>
      <c r="F263" s="2">
        <v>3.1655220000000002</v>
      </c>
      <c r="G263" s="2">
        <v>3.5179659999999999</v>
      </c>
      <c r="H263" s="2">
        <v>1.6957819999999999</v>
      </c>
      <c r="I263" s="2">
        <v>2.9153570000000002</v>
      </c>
      <c r="J263" s="2">
        <v>3.0591539999999999</v>
      </c>
      <c r="K263" s="2">
        <v>3.1716899999999999</v>
      </c>
      <c r="L263" s="2">
        <f t="shared" si="11"/>
        <v>2.8003896250000002</v>
      </c>
      <c r="M263" s="2">
        <f t="shared" si="12"/>
        <v>0.20801668488522809</v>
      </c>
      <c r="N263" s="2">
        <f t="shared" si="13"/>
        <v>0.23280377174077238</v>
      </c>
    </row>
    <row r="264" spans="1:14" x14ac:dyDescent="0.55000000000000004">
      <c r="C264" s="2" t="s">
        <v>30</v>
      </c>
      <c r="D264" s="2">
        <v>15.562018</v>
      </c>
      <c r="E264" s="2">
        <v>20.780899999999999</v>
      </c>
      <c r="F264" s="2">
        <v>21.792272000000001</v>
      </c>
      <c r="G264" s="2">
        <v>35.644742999999998</v>
      </c>
      <c r="H264" s="2">
        <v>12.370203999999999</v>
      </c>
      <c r="I264" s="2">
        <v>17.521739</v>
      </c>
      <c r="J264" s="2">
        <v>24.361505000000001</v>
      </c>
      <c r="K264" s="2">
        <v>52.978216000000003</v>
      </c>
      <c r="L264" s="2">
        <f t="shared" si="11"/>
        <v>25.126449624999999</v>
      </c>
      <c r="M264" s="2">
        <f t="shared" si="12"/>
        <v>4.684649793345729</v>
      </c>
      <c r="N264" s="2">
        <f t="shared" si="13"/>
        <v>5.2428685793990502</v>
      </c>
    </row>
    <row r="265" spans="1:14" x14ac:dyDescent="0.55000000000000004">
      <c r="B265" s="2" t="s">
        <v>61</v>
      </c>
      <c r="C265" s="2" t="s">
        <v>22</v>
      </c>
      <c r="D265" s="2">
        <v>0.94138900000000003</v>
      </c>
      <c r="E265" s="2">
        <v>0.92087399999999997</v>
      </c>
      <c r="F265" s="2">
        <v>0.91872399999999999</v>
      </c>
      <c r="G265" s="2">
        <v>0.94338200000000005</v>
      </c>
      <c r="H265" s="2">
        <v>0.936809</v>
      </c>
      <c r="I265" s="2">
        <v>0.92199399999999998</v>
      </c>
      <c r="J265" s="2">
        <v>0.951631</v>
      </c>
      <c r="K265" s="2">
        <v>0.93495099999999998</v>
      </c>
      <c r="L265" s="2">
        <f t="shared" si="11"/>
        <v>0.93371925</v>
      </c>
      <c r="M265" s="2">
        <f t="shared" si="12"/>
        <v>4.2498483407814574E-3</v>
      </c>
      <c r="N265" s="2">
        <f t="shared" si="13"/>
        <v>4.756256564736965E-3</v>
      </c>
    </row>
    <row r="266" spans="1:14" x14ac:dyDescent="0.55000000000000004">
      <c r="C266" s="2" t="s">
        <v>24</v>
      </c>
      <c r="D266" s="2">
        <v>0.33831499999999998</v>
      </c>
      <c r="E266" s="2">
        <v>0.38402599999999998</v>
      </c>
      <c r="F266" s="2">
        <v>0.39919399999999999</v>
      </c>
      <c r="G266" s="2">
        <v>0.31272299999999997</v>
      </c>
      <c r="H266" s="2">
        <v>0.350082</v>
      </c>
      <c r="I266" s="2">
        <v>0.389658</v>
      </c>
      <c r="J266" s="2">
        <v>0.30142600000000003</v>
      </c>
      <c r="K266" s="2">
        <v>0.35682700000000001</v>
      </c>
      <c r="L266" s="2">
        <f t="shared" si="11"/>
        <v>0.35403137499999998</v>
      </c>
      <c r="M266" s="2">
        <f t="shared" si="12"/>
        <v>1.2643971943094775E-2</v>
      </c>
      <c r="N266" s="2">
        <f t="shared" si="13"/>
        <v>1.4150616618859489E-2</v>
      </c>
    </row>
    <row r="267" spans="1:14" x14ac:dyDescent="0.55000000000000004">
      <c r="C267" s="2" t="s">
        <v>26</v>
      </c>
      <c r="D267" s="2">
        <v>0.62438800000000005</v>
      </c>
      <c r="E267" s="2">
        <v>0.73387000000000002</v>
      </c>
      <c r="F267" s="2">
        <v>0.58365500000000003</v>
      </c>
      <c r="G267" s="2">
        <v>0.74496499999999999</v>
      </c>
      <c r="H267" s="2">
        <v>0.60233499999999995</v>
      </c>
      <c r="I267" s="2">
        <v>0.63061</v>
      </c>
      <c r="J267" s="2">
        <v>0.71717600000000004</v>
      </c>
      <c r="K267" s="2">
        <v>0.54397499999999999</v>
      </c>
      <c r="L267" s="2">
        <f t="shared" si="11"/>
        <v>0.64762175</v>
      </c>
      <c r="M267" s="2">
        <f t="shared" si="12"/>
        <v>2.6547381171454467E-2</v>
      </c>
      <c r="N267" s="2">
        <f t="shared" si="13"/>
        <v>2.9710743972121867E-2</v>
      </c>
    </row>
    <row r="268" spans="1:14" x14ac:dyDescent="0.55000000000000004">
      <c r="A268" s="2" t="s">
        <v>20</v>
      </c>
      <c r="B268" s="2" t="s">
        <v>21</v>
      </c>
      <c r="C268" s="2" t="s">
        <v>22</v>
      </c>
      <c r="D268" s="2">
        <v>0.95595200000000002</v>
      </c>
      <c r="E268" s="2">
        <v>0.95028199999999996</v>
      </c>
      <c r="F268" s="2">
        <v>0.93277500000000002</v>
      </c>
      <c r="G268" s="2">
        <v>0.92347199999999996</v>
      </c>
      <c r="H268" s="2">
        <v>0.95443100000000003</v>
      </c>
      <c r="I268" s="2">
        <v>0.93825599999999998</v>
      </c>
      <c r="J268" s="2">
        <v>0.95056200000000002</v>
      </c>
      <c r="K268" s="2">
        <v>0.932925</v>
      </c>
      <c r="L268" s="2">
        <f>AVERAGE(D268:K268)</f>
        <v>0.94233187499999993</v>
      </c>
      <c r="M268" s="2">
        <f xml:space="preserve"> _xlfn.STDEV.S(D268:K268) / SQRT(COUNT(D268:K268))</f>
        <v>4.2572771204034575E-3</v>
      </c>
      <c r="N268" s="2">
        <f>M268*$N$2</f>
        <v>4.7645705512635115E-3</v>
      </c>
    </row>
    <row r="269" spans="1:14" x14ac:dyDescent="0.55000000000000004">
      <c r="A269" s="2">
        <v>0.66700000000000004</v>
      </c>
      <c r="C269" s="2" t="s">
        <v>23</v>
      </c>
      <c r="D269" s="2">
        <v>1.4899999999999999E-4</v>
      </c>
      <c r="E269" s="2">
        <v>4.0200000000000001E-4</v>
      </c>
      <c r="F269" s="2">
        <v>3.88E-4</v>
      </c>
      <c r="G269" s="2">
        <v>2.1900000000000001E-4</v>
      </c>
      <c r="H269" s="2">
        <v>1.05E-4</v>
      </c>
      <c r="I269" s="2">
        <v>2.1699999999999999E-4</v>
      </c>
      <c r="J269" s="2">
        <v>4.0400000000000001E-4</v>
      </c>
      <c r="K269" s="2">
        <v>4.8000000000000001E-5</v>
      </c>
      <c r="L269" s="2">
        <f>(1/COUNT(D269:K269))*SQRT(SUMSQ(D269:K269))</f>
        <v>9.7303006120057762E-5</v>
      </c>
    </row>
    <row r="270" spans="1:14" x14ac:dyDescent="0.55000000000000004">
      <c r="C270" s="2" t="s">
        <v>24</v>
      </c>
      <c r="D270" s="2">
        <v>0.29179899999999998</v>
      </c>
      <c r="E270" s="2">
        <v>0.30835899999999999</v>
      </c>
      <c r="F270" s="2">
        <v>0.35926200000000003</v>
      </c>
      <c r="G270" s="2">
        <v>0.38357200000000002</v>
      </c>
      <c r="H270" s="2">
        <v>0.29758200000000001</v>
      </c>
      <c r="I270" s="2">
        <v>0.34620400000000001</v>
      </c>
      <c r="J270" s="2">
        <v>0.30474800000000002</v>
      </c>
      <c r="K270" s="2">
        <v>0.35843999999999998</v>
      </c>
      <c r="L270" s="2">
        <f>AVERAGE(D270:K270)</f>
        <v>0.33124575000000001</v>
      </c>
      <c r="M270" s="2">
        <f xml:space="preserve"> _xlfn.STDEV.S(D270:K270) / SQRT(COUNT(D270:K270))</f>
        <v>1.2248506767226188E-2</v>
      </c>
      <c r="N270" s="2">
        <f>M270*$N$2</f>
        <v>1.3708028157337128E-2</v>
      </c>
    </row>
    <row r="271" spans="1:14" x14ac:dyDescent="0.55000000000000004">
      <c r="C271" s="2" t="s">
        <v>25</v>
      </c>
      <c r="D271" s="2">
        <v>4.08E-4</v>
      </c>
      <c r="E271" s="2">
        <v>1.2279999999999999E-3</v>
      </c>
      <c r="F271" s="2">
        <v>8.3900000000000001E-4</v>
      </c>
      <c r="G271" s="2">
        <v>5.1900000000000004E-4</v>
      </c>
      <c r="H271" s="2">
        <v>3.28E-4</v>
      </c>
      <c r="I271" s="2">
        <v>5.9800000000000001E-4</v>
      </c>
      <c r="J271" s="2">
        <v>1.0319999999999999E-3</v>
      </c>
      <c r="K271" s="2">
        <v>1.4300000000000001E-4</v>
      </c>
      <c r="L271" s="2">
        <f>(1/COUNT(D271:K271))*SQRT(SUMSQ(D271:K271))</f>
        <v>2.5612469497297597E-4</v>
      </c>
    </row>
    <row r="272" spans="1:14" x14ac:dyDescent="0.55000000000000004">
      <c r="C272" s="2" t="s">
        <v>26</v>
      </c>
      <c r="D272" s="2">
        <v>0.65794900000000001</v>
      </c>
      <c r="E272" s="2">
        <v>0.76914700000000003</v>
      </c>
      <c r="F272" s="2">
        <v>0.59327600000000003</v>
      </c>
      <c r="G272" s="2">
        <v>0.700712</v>
      </c>
      <c r="H272" s="2">
        <v>0.64910599999999996</v>
      </c>
      <c r="I272" s="2">
        <v>0.64045200000000002</v>
      </c>
      <c r="J272" s="2">
        <v>0.71494100000000005</v>
      </c>
      <c r="K272" s="2">
        <v>0.56415199999999999</v>
      </c>
      <c r="L272" s="2">
        <f>AVERAGE(D272:K272)</f>
        <v>0.66121687500000004</v>
      </c>
      <c r="M272" s="2">
        <f xml:space="preserve"> _xlfn.STDEV.S(D272:K272) / SQRT(COUNT(D272:K272))</f>
        <v>2.3422037538271444E-2</v>
      </c>
      <c r="N272" s="2">
        <f>M272*$N$2</f>
        <v>2.6212987115779018E-2</v>
      </c>
    </row>
    <row r="273" spans="2:14" x14ac:dyDescent="0.55000000000000004">
      <c r="C273" s="2" t="s">
        <v>27</v>
      </c>
      <c r="D273" s="2">
        <v>3.3799999999999998E-4</v>
      </c>
      <c r="E273" s="2">
        <v>8.1999999999999998E-4</v>
      </c>
      <c r="F273" s="2">
        <v>2.13E-4</v>
      </c>
      <c r="G273" s="2">
        <v>7.1400000000000001E-4</v>
      </c>
      <c r="H273" s="2">
        <v>3.5E-4</v>
      </c>
      <c r="I273" s="2">
        <v>4.57E-4</v>
      </c>
      <c r="J273" s="2">
        <v>7.7800000000000005E-4</v>
      </c>
      <c r="K273" s="2">
        <v>1.4200000000000001E-4</v>
      </c>
      <c r="L273" s="2">
        <f>(1/COUNT(D273:K273))*SQRT(SUMSQ(D273:K273))</f>
        <v>1.8951442887020503E-4</v>
      </c>
    </row>
    <row r="274" spans="2:14" x14ac:dyDescent="0.55000000000000004">
      <c r="C274" s="2" t="s">
        <v>28</v>
      </c>
      <c r="D274" s="2">
        <v>2.1642079999999999</v>
      </c>
      <c r="E274" s="2">
        <v>2.5561099999999999</v>
      </c>
      <c r="F274" s="2">
        <v>3.15978</v>
      </c>
      <c r="G274" s="2">
        <v>3.4514939999999998</v>
      </c>
      <c r="H274" s="2">
        <v>1.7146790000000001</v>
      </c>
      <c r="I274" s="2">
        <v>2.8776969999999999</v>
      </c>
      <c r="J274" s="2">
        <v>3.1497549999999999</v>
      </c>
      <c r="K274" s="2">
        <v>2.6328559999999999</v>
      </c>
      <c r="L274" s="2">
        <f>AVERAGE(D274:K274)</f>
        <v>2.7133223750000002</v>
      </c>
      <c r="M274" s="2">
        <f xml:space="preserve"> _xlfn.STDEV.S(D274:K274) / SQRT(COUNT(D274:K274))</f>
        <v>0.20229575096192101</v>
      </c>
      <c r="N274" s="2">
        <f>M274*$N$2</f>
        <v>0.22640113631775108</v>
      </c>
    </row>
    <row r="275" spans="2:14" x14ac:dyDescent="0.55000000000000004">
      <c r="C275" s="2" t="s">
        <v>29</v>
      </c>
      <c r="D275" s="2">
        <v>5.2370000000000003E-3</v>
      </c>
      <c r="E275" s="2">
        <v>4.9950000000000003E-3</v>
      </c>
      <c r="F275" s="2">
        <v>3.421E-3</v>
      </c>
      <c r="G275" s="2">
        <v>9.2259999999999998E-3</v>
      </c>
      <c r="H275" s="2">
        <v>2.941E-3</v>
      </c>
      <c r="I275" s="2">
        <v>7.8879999999999992E-3</v>
      </c>
      <c r="J275" s="2">
        <v>9.6989999999999993E-3</v>
      </c>
      <c r="K275" s="2">
        <v>2.2279999999999999E-3</v>
      </c>
      <c r="L275" s="2">
        <f>(1/COUNT(D275:K275))*SQRT(SUMSQ(D275:K275))</f>
        <v>2.232932212501087E-3</v>
      </c>
    </row>
    <row r="276" spans="2:14" x14ac:dyDescent="0.55000000000000004">
      <c r="C276" s="2" t="s">
        <v>30</v>
      </c>
      <c r="D276" s="2">
        <v>15.513372</v>
      </c>
      <c r="E276" s="2">
        <v>19.900841</v>
      </c>
      <c r="F276" s="2">
        <v>21.614666</v>
      </c>
      <c r="G276" s="2">
        <v>34.520390999999996</v>
      </c>
      <c r="H276" s="2">
        <v>12.311049000000001</v>
      </c>
      <c r="I276" s="2">
        <v>17.397828000000001</v>
      </c>
      <c r="J276" s="2">
        <v>24.302388000000001</v>
      </c>
      <c r="K276" s="2">
        <v>27.787872</v>
      </c>
      <c r="L276" s="2">
        <f>AVERAGE(D276:K276)</f>
        <v>21.668550875000001</v>
      </c>
      <c r="M276" s="2">
        <f xml:space="preserve"> _xlfn.STDEV.S(D276:K276) / SQRT(COUNT(D276:K276))</f>
        <v>2.5226432693679972</v>
      </c>
      <c r="N276" s="2">
        <f>M276*$N$2</f>
        <v>2.8232392425125492</v>
      </c>
    </row>
    <row r="277" spans="2:14" x14ac:dyDescent="0.55000000000000004">
      <c r="C277" s="2" t="s">
        <v>31</v>
      </c>
      <c r="D277" s="2">
        <v>3.225E-3</v>
      </c>
      <c r="E277" s="2">
        <v>3.0143E-2</v>
      </c>
      <c r="F277" s="2">
        <v>4.8300000000000001E-3</v>
      </c>
      <c r="G277" s="2">
        <v>2.087E-2</v>
      </c>
      <c r="H277" s="2">
        <v>2.2960000000000001E-2</v>
      </c>
      <c r="I277" s="2">
        <v>2.6620999999999999E-2</v>
      </c>
      <c r="J277" s="2">
        <v>4.9394E-2</v>
      </c>
      <c r="K277" s="2">
        <v>0.208427</v>
      </c>
      <c r="L277" s="2">
        <f>(1/COUNT(D277:K277))*SQRT(SUMSQ(D277:K277))</f>
        <v>2.7527062729248829E-2</v>
      </c>
    </row>
    <row r="278" spans="2:14" x14ac:dyDescent="0.55000000000000004">
      <c r="B278" s="2" t="s">
        <v>32</v>
      </c>
      <c r="C278" s="2" t="s">
        <v>22</v>
      </c>
      <c r="D278" s="2">
        <v>0.94989599999999996</v>
      </c>
      <c r="E278" s="2">
        <v>0.94176300000000002</v>
      </c>
      <c r="F278" s="2">
        <v>0.93104600000000004</v>
      </c>
      <c r="G278" s="2">
        <v>0.92217300000000002</v>
      </c>
      <c r="H278" s="2">
        <v>0.95149099999999998</v>
      </c>
      <c r="I278" s="2">
        <v>0.93636299999999995</v>
      </c>
      <c r="J278" s="2">
        <v>0.95205499999999998</v>
      </c>
      <c r="K278" s="2">
        <v>0.93240999999999996</v>
      </c>
      <c r="L278" s="2">
        <f>AVERAGE(D278:K278)</f>
        <v>0.93964962499999993</v>
      </c>
      <c r="M278" s="2">
        <f xml:space="preserve"> _xlfn.STDEV.S(D278:K278) / SQRT(COUNT(D278:K278))</f>
        <v>3.8873303910519864E-3</v>
      </c>
      <c r="N278" s="2">
        <f>M278*$N$2</f>
        <v>4.3505412921023816E-3</v>
      </c>
    </row>
    <row r="279" spans="2:14" x14ac:dyDescent="0.55000000000000004">
      <c r="C279" s="2" t="s">
        <v>23</v>
      </c>
      <c r="D279" s="2">
        <v>5.53E-4</v>
      </c>
      <c r="E279" s="2">
        <v>9.5100000000000002E-4</v>
      </c>
      <c r="F279" s="2">
        <v>6.6699999999999995E-4</v>
      </c>
      <c r="G279" s="2">
        <v>4.8099999999999998E-4</v>
      </c>
      <c r="H279" s="2">
        <v>1.5899999999999999E-4</v>
      </c>
      <c r="I279" s="2">
        <v>7.6900000000000004E-4</v>
      </c>
      <c r="J279" s="2">
        <v>7.7200000000000001E-4</v>
      </c>
      <c r="K279" s="2">
        <v>1.01E-4</v>
      </c>
      <c r="L279" s="2">
        <f>(1/COUNT(D279:K279))*SQRT(SUMSQ(D279:K279))</f>
        <v>2.2041463058290845E-4</v>
      </c>
    </row>
    <row r="280" spans="2:14" x14ac:dyDescent="0.55000000000000004">
      <c r="C280" s="2" t="s">
        <v>24</v>
      </c>
      <c r="D280" s="2">
        <v>0.31017</v>
      </c>
      <c r="E280" s="2">
        <v>0.33237800000000001</v>
      </c>
      <c r="F280" s="2">
        <v>0.36352600000000002</v>
      </c>
      <c r="G280" s="2">
        <v>0.38697900000000002</v>
      </c>
      <c r="H280" s="2">
        <v>0.30637700000000001</v>
      </c>
      <c r="I280" s="2">
        <v>0.35101300000000002</v>
      </c>
      <c r="J280" s="2">
        <v>0.30215799999999998</v>
      </c>
      <c r="K280" s="2">
        <v>0.35983300000000001</v>
      </c>
      <c r="L280" s="2">
        <f>AVERAGE(D280:K280)</f>
        <v>0.33905425</v>
      </c>
      <c r="M280" s="2">
        <f xml:space="preserve"> _xlfn.STDEV.S(D280:K280) / SQRT(COUNT(D280:K280))</f>
        <v>1.1001967768394242E-2</v>
      </c>
      <c r="N280" s="2">
        <f>M280*$N$2</f>
        <v>1.2312952657935921E-2</v>
      </c>
    </row>
    <row r="281" spans="2:14" x14ac:dyDescent="0.55000000000000004">
      <c r="C281" s="2" t="s">
        <v>25</v>
      </c>
      <c r="D281" s="2">
        <v>1.462E-3</v>
      </c>
      <c r="E281" s="2">
        <v>2.6319999999999998E-3</v>
      </c>
      <c r="F281" s="2">
        <v>1.575E-3</v>
      </c>
      <c r="G281" s="2">
        <v>1.093E-3</v>
      </c>
      <c r="H281" s="2">
        <v>4.5399999999999998E-4</v>
      </c>
      <c r="I281" s="2">
        <v>2.0010000000000002E-3</v>
      </c>
      <c r="J281" s="2">
        <v>2.088E-3</v>
      </c>
      <c r="K281" s="2">
        <v>2.8499999999999999E-4</v>
      </c>
      <c r="L281" s="2">
        <f>(1/COUNT(D281:K281))*SQRT(SUMSQ(D281:K281))</f>
        <v>5.78133148591222E-4</v>
      </c>
    </row>
    <row r="282" spans="2:14" x14ac:dyDescent="0.55000000000000004">
      <c r="C282" s="2" t="s">
        <v>26</v>
      </c>
      <c r="D282" s="2">
        <v>0.64453800000000006</v>
      </c>
      <c r="E282" s="2">
        <v>0.75145200000000001</v>
      </c>
      <c r="F282" s="2">
        <v>0.59093200000000001</v>
      </c>
      <c r="G282" s="2">
        <v>0.70276799999999995</v>
      </c>
      <c r="H282" s="2">
        <v>0.64170700000000003</v>
      </c>
      <c r="I282" s="2">
        <v>0.63755399999999995</v>
      </c>
      <c r="J282" s="2">
        <v>0.71588200000000002</v>
      </c>
      <c r="K282" s="2">
        <v>0.56314500000000001</v>
      </c>
      <c r="L282" s="2">
        <f>AVERAGE(D282:K282)</f>
        <v>0.65599724999999998</v>
      </c>
      <c r="M282" s="2">
        <f xml:space="preserve"> _xlfn.STDEV.S(D282:K282) / SQRT(COUNT(D282:K282))</f>
        <v>2.2526175983849477E-2</v>
      </c>
      <c r="N282" s="2">
        <f>M282*$N$2</f>
        <v>2.5210375479399673E-2</v>
      </c>
    </row>
    <row r="283" spans="2:14" x14ac:dyDescent="0.55000000000000004">
      <c r="C283" s="2" t="s">
        <v>27</v>
      </c>
      <c r="D283" s="2">
        <v>1.418E-3</v>
      </c>
      <c r="E283" s="2">
        <v>1.9810000000000001E-3</v>
      </c>
      <c r="F283" s="2">
        <v>5.9699999999999998E-4</v>
      </c>
      <c r="G283" s="2">
        <v>1.436E-3</v>
      </c>
      <c r="H283" s="2">
        <v>3.2000000000000003E-4</v>
      </c>
      <c r="I283" s="2">
        <v>1.5659999999999999E-3</v>
      </c>
      <c r="J283" s="2">
        <v>1.6130000000000001E-3</v>
      </c>
      <c r="K283" s="2">
        <v>2.3000000000000001E-4</v>
      </c>
      <c r="L283" s="2">
        <f>(1/COUNT(D283:K283))*SQRT(SUMSQ(D283:K283))</f>
        <v>4.6034998574454196E-4</v>
      </c>
    </row>
    <row r="284" spans="2:14" x14ac:dyDescent="0.55000000000000004">
      <c r="C284" s="2" t="s">
        <v>28</v>
      </c>
      <c r="D284" s="2">
        <v>2.4477090000000001</v>
      </c>
      <c r="E284" s="2">
        <v>2.7182469999999999</v>
      </c>
      <c r="F284" s="2">
        <v>3.205381</v>
      </c>
      <c r="G284" s="2">
        <v>3.4504730000000001</v>
      </c>
      <c r="H284" s="2">
        <v>1.767673</v>
      </c>
      <c r="I284" s="2">
        <v>3.0550549999999999</v>
      </c>
      <c r="J284" s="2">
        <v>3.1242930000000002</v>
      </c>
      <c r="K284" s="2">
        <v>2.6599620000000002</v>
      </c>
      <c r="L284" s="2">
        <f>AVERAGE(D284:K284)</f>
        <v>2.8035991250000003</v>
      </c>
      <c r="M284" s="2">
        <f xml:space="preserve"> _xlfn.STDEV.S(D284:K284) / SQRT(COUNT(D284:K284))</f>
        <v>0.18773396974655701</v>
      </c>
      <c r="N284" s="2">
        <f>M284*$N$2</f>
        <v>0.21010418594537542</v>
      </c>
    </row>
    <row r="285" spans="2:14" x14ac:dyDescent="0.55000000000000004">
      <c r="C285" s="2" t="s">
        <v>29</v>
      </c>
      <c r="D285" s="2">
        <v>3.4583999999999997E-2</v>
      </c>
      <c r="E285" s="2">
        <v>1.3978000000000001E-2</v>
      </c>
      <c r="F285" s="2">
        <v>8.1390000000000004E-3</v>
      </c>
      <c r="G285" s="2">
        <v>1.77E-2</v>
      </c>
      <c r="H285" s="2">
        <v>2.6310000000000001E-3</v>
      </c>
      <c r="I285" s="2">
        <v>3.0360000000000002E-2</v>
      </c>
      <c r="J285" s="2">
        <v>1.6111E-2</v>
      </c>
      <c r="K285" s="2">
        <v>2.8389999999999999E-3</v>
      </c>
      <c r="L285" s="2">
        <f>(1/COUNT(D285:K285))*SQRT(SUMSQ(D285:K285))</f>
        <v>6.8090551657333485E-3</v>
      </c>
    </row>
    <row r="286" spans="2:14" x14ac:dyDescent="0.55000000000000004">
      <c r="C286" s="2" t="s">
        <v>30</v>
      </c>
      <c r="D286" s="2">
        <v>16.754318000000001</v>
      </c>
      <c r="E286" s="2">
        <v>20.469681999999999</v>
      </c>
      <c r="F286" s="2">
        <v>21.884837999999998</v>
      </c>
      <c r="G286" s="2">
        <v>35.855744000000001</v>
      </c>
      <c r="H286" s="2">
        <v>12.78389</v>
      </c>
      <c r="I286" s="2">
        <v>18.086099999999998</v>
      </c>
      <c r="J286" s="2">
        <v>24.879102</v>
      </c>
      <c r="K286" s="2">
        <v>29.458278</v>
      </c>
      <c r="L286" s="2">
        <f>AVERAGE(D286:K286)</f>
        <v>22.521494000000001</v>
      </c>
      <c r="M286" s="2">
        <f xml:space="preserve"> _xlfn.STDEV.S(D286:K286) / SQRT(COUNT(D286:K286))</f>
        <v>2.6180989039334013</v>
      </c>
      <c r="N286" s="2">
        <f>M286*$N$2</f>
        <v>2.9300692872899479</v>
      </c>
    </row>
    <row r="287" spans="2:14" x14ac:dyDescent="0.55000000000000004">
      <c r="C287" s="2" t="s">
        <v>31</v>
      </c>
      <c r="D287" s="2">
        <v>7.4489E-2</v>
      </c>
      <c r="E287" s="2">
        <v>6.0137000000000003E-2</v>
      </c>
      <c r="F287" s="2">
        <v>2.0577000000000002E-2</v>
      </c>
      <c r="G287" s="2">
        <v>0.113216</v>
      </c>
      <c r="H287" s="2">
        <v>2.4726999999999999E-2</v>
      </c>
      <c r="I287" s="2">
        <v>8.4417000000000006E-2</v>
      </c>
      <c r="J287" s="2">
        <v>0.13248599999999999</v>
      </c>
      <c r="K287" s="2">
        <v>0.34025</v>
      </c>
      <c r="L287" s="2">
        <f>(1/COUNT(D287:K287))*SQRT(SUMSQ(D287:K287))</f>
        <v>5.0538754094784775E-2</v>
      </c>
    </row>
    <row r="288" spans="2:14" x14ac:dyDescent="0.55000000000000004">
      <c r="B288" s="2" t="s">
        <v>33</v>
      </c>
      <c r="C288" s="2" t="s">
        <v>22</v>
      </c>
      <c r="D288" s="2">
        <v>0.955924</v>
      </c>
      <c r="E288" s="2">
        <v>0.94968600000000003</v>
      </c>
      <c r="F288" s="2">
        <v>0.93134899999999998</v>
      </c>
      <c r="G288" s="2">
        <v>0.923095</v>
      </c>
      <c r="H288" s="2">
        <v>0.95422300000000004</v>
      </c>
      <c r="I288" s="2">
        <v>0.93868799999999997</v>
      </c>
      <c r="J288" s="2">
        <v>0.94925899999999996</v>
      </c>
      <c r="K288" s="2">
        <v>0.93317099999999997</v>
      </c>
      <c r="L288" s="2">
        <f>AVERAGE(D288:K288)</f>
        <v>0.94192437499999992</v>
      </c>
      <c r="M288" s="2">
        <f xml:space="preserve"> _xlfn.STDEV.S(D288:K288) / SQRT(COUNT(D288:K288))</f>
        <v>4.2568533815546903E-3</v>
      </c>
      <c r="N288" s="2">
        <f>M288*$N$2</f>
        <v>4.7640963200628718E-3</v>
      </c>
    </row>
    <row r="289" spans="2:14" x14ac:dyDescent="0.55000000000000004">
      <c r="C289" s="2" t="s">
        <v>23</v>
      </c>
      <c r="D289" s="2">
        <v>4.0000000000000003E-5</v>
      </c>
      <c r="E289" s="2">
        <v>1.3799999999999999E-4</v>
      </c>
      <c r="F289" s="2">
        <v>3.4999999999999997E-5</v>
      </c>
      <c r="G289" s="2">
        <v>1.2899999999999999E-4</v>
      </c>
      <c r="H289" s="2">
        <v>4.6E-5</v>
      </c>
      <c r="I289" s="2">
        <v>6.3999999999999997E-5</v>
      </c>
      <c r="J289" s="2">
        <v>9.5000000000000005E-5</v>
      </c>
      <c r="K289" s="2">
        <v>3.1000000000000001E-5</v>
      </c>
      <c r="L289" s="2">
        <f>(1/COUNT(D289:K289))*SQRT(SUMSQ(D289:K289))</f>
        <v>2.9237176676279805E-5</v>
      </c>
    </row>
    <row r="290" spans="2:14" x14ac:dyDescent="0.55000000000000004">
      <c r="C290" s="2" t="s">
        <v>24</v>
      </c>
      <c r="D290" s="2">
        <v>0.29187400000000002</v>
      </c>
      <c r="E290" s="2">
        <v>0.30998399999999998</v>
      </c>
      <c r="F290" s="2">
        <v>0.36288900000000002</v>
      </c>
      <c r="G290" s="2">
        <v>0.38439200000000001</v>
      </c>
      <c r="H290" s="2">
        <v>0.29819099999999998</v>
      </c>
      <c r="I290" s="2">
        <v>0.34498099999999998</v>
      </c>
      <c r="J290" s="2">
        <v>0.30859700000000001</v>
      </c>
      <c r="K290" s="2">
        <v>0.357657</v>
      </c>
      <c r="L290" s="2">
        <f>AVERAGE(D290:K290)</f>
        <v>0.33232062500000004</v>
      </c>
      <c r="M290" s="2">
        <f xml:space="preserve"> _xlfn.STDEV.S(D290:K290) / SQRT(COUNT(D290:K290))</f>
        <v>1.2182075982679137E-2</v>
      </c>
      <c r="N290" s="2">
        <f>M290*$N$2</f>
        <v>1.363368153840709E-2</v>
      </c>
    </row>
    <row r="291" spans="2:14" x14ac:dyDescent="0.55000000000000004">
      <c r="C291" s="2" t="s">
        <v>25</v>
      </c>
      <c r="D291" s="2">
        <v>1.2E-4</v>
      </c>
      <c r="E291" s="2">
        <v>4.28E-4</v>
      </c>
      <c r="F291" s="2">
        <v>8.5000000000000006E-5</v>
      </c>
      <c r="G291" s="2">
        <v>3.1100000000000002E-4</v>
      </c>
      <c r="H291" s="2">
        <v>1.4100000000000001E-4</v>
      </c>
      <c r="I291" s="2">
        <v>1.7699999999999999E-4</v>
      </c>
      <c r="J291" s="2">
        <v>2.6200000000000003E-4</v>
      </c>
      <c r="K291" s="2">
        <v>8.1000000000000004E-5</v>
      </c>
      <c r="L291" s="2">
        <f>(1/COUNT(D291:K291))*SQRT(SUMSQ(D291:K291))</f>
        <v>8.177188162810002E-5</v>
      </c>
    </row>
    <row r="292" spans="2:14" x14ac:dyDescent="0.55000000000000004">
      <c r="C292" s="2" t="s">
        <v>26</v>
      </c>
      <c r="D292" s="2">
        <v>0.65786900000000004</v>
      </c>
      <c r="E292" s="2">
        <v>0.76770499999999997</v>
      </c>
      <c r="F292" s="2">
        <v>0.59101499999999996</v>
      </c>
      <c r="G292" s="2">
        <v>0.69982900000000003</v>
      </c>
      <c r="H292" s="2">
        <v>0.64883400000000002</v>
      </c>
      <c r="I292" s="2">
        <v>0.64145600000000003</v>
      </c>
      <c r="J292" s="2">
        <v>0.71187100000000003</v>
      </c>
      <c r="K292" s="2">
        <v>0.56495899999999999</v>
      </c>
      <c r="L292" s="2">
        <f>AVERAGE(D292:K292)</f>
        <v>0.66044225000000001</v>
      </c>
      <c r="M292" s="2">
        <f xml:space="preserve"> _xlfn.STDEV.S(D292:K292) / SQRT(COUNT(D292:K292))</f>
        <v>2.3199667017892119E-2</v>
      </c>
      <c r="N292" s="2">
        <f>M292*$N$2</f>
        <v>2.5964119118018027E-2</v>
      </c>
    </row>
    <row r="293" spans="2:14" x14ac:dyDescent="0.55000000000000004">
      <c r="C293" s="2" t="s">
        <v>27</v>
      </c>
      <c r="D293" s="2">
        <v>1.13E-4</v>
      </c>
      <c r="E293" s="2">
        <v>2.9799999999999998E-4</v>
      </c>
      <c r="F293" s="2">
        <v>3.6999999999999998E-5</v>
      </c>
      <c r="G293" s="2">
        <v>3.8200000000000002E-4</v>
      </c>
      <c r="H293" s="2">
        <v>9.5000000000000005E-5</v>
      </c>
      <c r="I293" s="2">
        <v>1.4200000000000001E-4</v>
      </c>
      <c r="J293" s="2">
        <v>2.05E-4</v>
      </c>
      <c r="K293" s="2">
        <v>5.3999999999999998E-5</v>
      </c>
      <c r="L293" s="2">
        <f>(1/COUNT(D293:K293))*SQRT(SUMSQ(D293:K293))</f>
        <v>7.1040921305962805E-5</v>
      </c>
    </row>
    <row r="294" spans="2:14" x14ac:dyDescent="0.55000000000000004">
      <c r="C294" s="2" t="s">
        <v>28</v>
      </c>
      <c r="D294" s="2">
        <v>2.1659639999999998</v>
      </c>
      <c r="E294" s="2">
        <v>2.562141</v>
      </c>
      <c r="F294" s="2">
        <v>3.1764700000000001</v>
      </c>
      <c r="G294" s="2">
        <v>3.4672209999999999</v>
      </c>
      <c r="H294" s="2">
        <v>1.716237</v>
      </c>
      <c r="I294" s="2">
        <v>2.8582480000000001</v>
      </c>
      <c r="J294" s="2">
        <v>3.1820659999999998</v>
      </c>
      <c r="K294" s="2">
        <v>2.6242480000000001</v>
      </c>
      <c r="L294" s="2">
        <f>AVERAGE(D294:K294)</f>
        <v>2.7190743749999999</v>
      </c>
      <c r="M294" s="2">
        <f xml:space="preserve"> _xlfn.STDEV.S(D294:K294) / SQRT(COUNT(D294:K294))</f>
        <v>0.20476025555154356</v>
      </c>
      <c r="N294" s="2">
        <f>M294*$N$2</f>
        <v>0.22915930912611565</v>
      </c>
    </row>
    <row r="295" spans="2:14" x14ac:dyDescent="0.55000000000000004">
      <c r="C295" s="2" t="s">
        <v>29</v>
      </c>
      <c r="D295" s="2">
        <v>1.547E-3</v>
      </c>
      <c r="E295" s="2">
        <v>1.8990000000000001E-3</v>
      </c>
      <c r="F295" s="2">
        <v>4.1300000000000001E-4</v>
      </c>
      <c r="G295" s="2">
        <v>4.2779999999999997E-3</v>
      </c>
      <c r="H295" s="2">
        <v>7.1599999999999995E-4</v>
      </c>
      <c r="I295" s="2">
        <v>2.2659999999999998E-3</v>
      </c>
      <c r="J295" s="2">
        <v>2.4169999999999999E-3</v>
      </c>
      <c r="K295" s="2">
        <v>7.2599999999999997E-4</v>
      </c>
      <c r="L295" s="2">
        <f>(1/COUNT(D295:K295))*SQRT(SUMSQ(D295:K295))</f>
        <v>7.5506249741329353E-4</v>
      </c>
    </row>
    <row r="296" spans="2:14" x14ac:dyDescent="0.55000000000000004">
      <c r="C296" s="2" t="s">
        <v>30</v>
      </c>
      <c r="D296" s="2">
        <v>15.526873</v>
      </c>
      <c r="E296" s="2">
        <v>19.888584999999999</v>
      </c>
      <c r="F296" s="2">
        <v>21.624089999999999</v>
      </c>
      <c r="G296" s="2">
        <v>34.554949000000001</v>
      </c>
      <c r="H296" s="2">
        <v>12.277531</v>
      </c>
      <c r="I296" s="2">
        <v>17.309640000000002</v>
      </c>
      <c r="J296" s="2">
        <v>24.560556999999999</v>
      </c>
      <c r="K296" s="2">
        <v>26.950662999999999</v>
      </c>
      <c r="L296" s="2">
        <f>AVERAGE(D296:K296)</f>
        <v>21.586610999999998</v>
      </c>
      <c r="M296" s="2">
        <f xml:space="preserve"> _xlfn.STDEV.S(D296:K296) / SQRT(COUNT(D296:K296))</f>
        <v>2.5012560135355266</v>
      </c>
      <c r="N296" s="2">
        <f>M296*$N$2</f>
        <v>2.7993034999170399</v>
      </c>
    </row>
    <row r="297" spans="2:14" x14ac:dyDescent="0.55000000000000004">
      <c r="C297" s="2" t="s">
        <v>31</v>
      </c>
      <c r="D297" s="2">
        <v>5.7809999999999997E-3</v>
      </c>
      <c r="E297" s="2">
        <v>1.0552000000000001E-2</v>
      </c>
      <c r="F297" s="2">
        <v>1.14E-3</v>
      </c>
      <c r="G297" s="2">
        <v>2.0480000000000002E-2</v>
      </c>
      <c r="H297" s="2">
        <v>8.5039999999999994E-3</v>
      </c>
      <c r="I297" s="2">
        <v>5.9550000000000002E-3</v>
      </c>
      <c r="J297" s="2">
        <v>1.8664E-2</v>
      </c>
      <c r="K297" s="2">
        <v>5.6599999999999998E-2</v>
      </c>
      <c r="L297" s="2">
        <f>(1/COUNT(D297:K297))*SQRT(SUMSQ(D297:K297))</f>
        <v>8.125172692395528E-3</v>
      </c>
    </row>
    <row r="298" spans="2:14" x14ac:dyDescent="0.55000000000000004">
      <c r="B298" s="2" t="s">
        <v>34</v>
      </c>
      <c r="C298" s="2" t="s">
        <v>22</v>
      </c>
      <c r="D298" s="2">
        <v>0.94894000000000001</v>
      </c>
      <c r="E298" s="2">
        <v>0.94623100000000004</v>
      </c>
      <c r="F298" s="2">
        <v>0.93196199999999996</v>
      </c>
      <c r="G298" s="2">
        <v>0.92044099999999995</v>
      </c>
      <c r="H298" s="2">
        <v>0.95147199999999998</v>
      </c>
      <c r="I298" s="2">
        <v>0.93888799999999994</v>
      </c>
      <c r="J298" s="2">
        <v>0.952511</v>
      </c>
      <c r="K298" s="2">
        <v>0.93245199999999995</v>
      </c>
      <c r="L298" s="2">
        <f>AVERAGE(D298:K298)</f>
        <v>0.94036212499999994</v>
      </c>
      <c r="M298" s="2">
        <f xml:space="preserve"> _xlfn.STDEV.S(D298:K298) / SQRT(COUNT(D298:K298))</f>
        <v>4.0337959853392873E-3</v>
      </c>
      <c r="N298" s="2">
        <f>M298*$N$2</f>
        <v>4.5144595989398866E-3</v>
      </c>
    </row>
    <row r="299" spans="2:14" x14ac:dyDescent="0.55000000000000004">
      <c r="C299" s="2" t="s">
        <v>23</v>
      </c>
      <c r="D299" s="2">
        <v>5.5699999999999999E-4</v>
      </c>
      <c r="E299" s="2">
        <v>5.1099999999999995E-4</v>
      </c>
      <c r="F299" s="2">
        <v>7.0399999999999998E-4</v>
      </c>
      <c r="G299" s="2">
        <v>1.856E-3</v>
      </c>
      <c r="H299" s="2">
        <v>3.1500000000000001E-4</v>
      </c>
      <c r="I299" s="2">
        <v>4.4000000000000002E-4</v>
      </c>
      <c r="J299" s="2">
        <v>1.1349999999999999E-3</v>
      </c>
      <c r="K299" s="2">
        <v>1.0399999999999999E-4</v>
      </c>
      <c r="L299" s="2">
        <f>(1/COUNT(D299:K299))*SQRT(SUMSQ(D299:K299))</f>
        <v>3.0881800870415571E-4</v>
      </c>
    </row>
    <row r="300" spans="2:14" x14ac:dyDescent="0.55000000000000004">
      <c r="C300" s="2" t="s">
        <v>24</v>
      </c>
      <c r="D300" s="2">
        <v>0.31240099999999998</v>
      </c>
      <c r="E300" s="2">
        <v>0.32000899999999999</v>
      </c>
      <c r="F300" s="2">
        <v>0.36137399999999997</v>
      </c>
      <c r="G300" s="2">
        <v>0.390374</v>
      </c>
      <c r="H300" s="2">
        <v>0.30641800000000002</v>
      </c>
      <c r="I300" s="2">
        <v>0.343976</v>
      </c>
      <c r="J300" s="2">
        <v>0.30012299999999997</v>
      </c>
      <c r="K300" s="2">
        <v>0.35983700000000002</v>
      </c>
      <c r="L300" s="2">
        <f>AVERAGE(D300:K300)</f>
        <v>0.336814</v>
      </c>
      <c r="M300" s="2">
        <f xml:space="preserve"> _xlfn.STDEV.S(D300:K300) / SQRT(COUNT(D300:K300))</f>
        <v>1.134032695421836E-2</v>
      </c>
      <c r="N300" s="2">
        <f>M300*$N$2</f>
        <v>1.2691630429415901E-2</v>
      </c>
    </row>
    <row r="301" spans="2:14" x14ac:dyDescent="0.55000000000000004">
      <c r="C301" s="2" t="s">
        <v>25</v>
      </c>
      <c r="D301" s="2">
        <v>1.5900000000000001E-3</v>
      </c>
      <c r="E301" s="2">
        <v>1.482E-3</v>
      </c>
      <c r="F301" s="2">
        <v>1.696E-3</v>
      </c>
      <c r="G301" s="2">
        <v>4.182E-3</v>
      </c>
      <c r="H301" s="2">
        <v>9.1200000000000005E-4</v>
      </c>
      <c r="I301" s="2">
        <v>1.1839999999999999E-3</v>
      </c>
      <c r="J301" s="2">
        <v>3.1740000000000002E-3</v>
      </c>
      <c r="K301" s="2">
        <v>2.7300000000000002E-4</v>
      </c>
      <c r="L301" s="2">
        <f>(1/COUNT(D301:K301))*SQRT(SUMSQ(D301:K301))</f>
        <v>7.6518348494005015E-4</v>
      </c>
    </row>
    <row r="302" spans="2:14" x14ac:dyDescent="0.55000000000000004">
      <c r="C302" s="2" t="s">
        <v>26</v>
      </c>
      <c r="D302" s="2">
        <v>0.638347</v>
      </c>
      <c r="E302" s="2">
        <v>0.76064100000000001</v>
      </c>
      <c r="F302" s="2">
        <v>0.59199800000000002</v>
      </c>
      <c r="G302" s="2">
        <v>0.69342800000000004</v>
      </c>
      <c r="H302" s="2">
        <v>0.64170799999999995</v>
      </c>
      <c r="I302" s="2">
        <v>0.64219300000000001</v>
      </c>
      <c r="J302" s="2">
        <v>0.718024</v>
      </c>
      <c r="K302" s="2">
        <v>0.56288000000000005</v>
      </c>
      <c r="L302" s="2">
        <f>AVERAGE(D302:K302)</f>
        <v>0.65615237500000001</v>
      </c>
      <c r="M302" s="2">
        <f xml:space="preserve"> _xlfn.STDEV.S(D302:K302) / SQRT(COUNT(D302:K302))</f>
        <v>2.3018431365613989E-2</v>
      </c>
      <c r="N302" s="2">
        <f>M302*$N$2</f>
        <v>2.5761287583386434E-2</v>
      </c>
    </row>
    <row r="303" spans="2:14" x14ac:dyDescent="0.55000000000000004">
      <c r="C303" s="2" t="s">
        <v>27</v>
      </c>
      <c r="D303" s="2">
        <v>1.5560000000000001E-3</v>
      </c>
      <c r="E303" s="2">
        <v>1.0939999999999999E-3</v>
      </c>
      <c r="F303" s="2">
        <v>7.3800000000000005E-4</v>
      </c>
      <c r="G303" s="2">
        <v>4.2529999999999998E-3</v>
      </c>
      <c r="H303" s="2">
        <v>7.2000000000000005E-4</v>
      </c>
      <c r="I303" s="2">
        <v>1.023E-3</v>
      </c>
      <c r="J303" s="2">
        <v>2.428E-3</v>
      </c>
      <c r="K303" s="2">
        <v>1.95E-4</v>
      </c>
      <c r="L303" s="2">
        <f>(1/COUNT(D303:K303))*SQRT(SUMSQ(D303:K303))</f>
        <v>6.8178033256687594E-4</v>
      </c>
    </row>
    <row r="304" spans="2:14" x14ac:dyDescent="0.55000000000000004">
      <c r="C304" s="2" t="s">
        <v>28</v>
      </c>
      <c r="D304" s="2">
        <v>2.421001</v>
      </c>
      <c r="E304" s="2">
        <v>2.6139839999999999</v>
      </c>
      <c r="F304" s="2">
        <v>3.188266</v>
      </c>
      <c r="G304" s="2">
        <v>3.5888879999999999</v>
      </c>
      <c r="H304" s="2">
        <v>1.7773460000000001</v>
      </c>
      <c r="I304" s="2">
        <v>2.925433</v>
      </c>
      <c r="J304" s="2">
        <v>3.1103170000000002</v>
      </c>
      <c r="K304" s="2">
        <v>2.655662</v>
      </c>
      <c r="L304" s="2">
        <f>AVERAGE(D304:K304)</f>
        <v>2.7851121249999995</v>
      </c>
      <c r="M304" s="2">
        <f xml:space="preserve"> _xlfn.STDEV.S(D304:K304) / SQRT(COUNT(D304:K304))</f>
        <v>0.19494726882814215</v>
      </c>
      <c r="N304" s="2">
        <f>M304*$N$2</f>
        <v>0.21817701545813206</v>
      </c>
    </row>
    <row r="305" spans="2:14" x14ac:dyDescent="0.55000000000000004">
      <c r="C305" s="2" t="s">
        <v>29</v>
      </c>
      <c r="D305" s="2">
        <v>2.0579E-2</v>
      </c>
      <c r="E305" s="2">
        <v>7.1830000000000001E-3</v>
      </c>
      <c r="F305" s="2">
        <v>7.9559999999999995E-3</v>
      </c>
      <c r="G305" s="2">
        <v>6.0649000000000002E-2</v>
      </c>
      <c r="H305" s="2">
        <v>6.2950000000000002E-3</v>
      </c>
      <c r="I305" s="2">
        <v>2.0315E-2</v>
      </c>
      <c r="J305" s="2">
        <v>2.5430999999999999E-2</v>
      </c>
      <c r="K305" s="2">
        <v>3.2339999999999999E-3</v>
      </c>
      <c r="L305" s="2">
        <f>(1/COUNT(D305:K305))*SQRT(SUMSQ(D305:K305))</f>
        <v>9.1226115315873237E-3</v>
      </c>
    </row>
    <row r="306" spans="2:14" x14ac:dyDescent="0.55000000000000004">
      <c r="C306" s="2" t="s">
        <v>30</v>
      </c>
      <c r="D306" s="2">
        <v>15.901176</v>
      </c>
      <c r="E306" s="2">
        <v>20.095196000000001</v>
      </c>
      <c r="F306" s="2">
        <v>21.825391</v>
      </c>
      <c r="G306" s="2">
        <v>35.624153</v>
      </c>
      <c r="H306" s="2">
        <v>12.737786</v>
      </c>
      <c r="I306" s="2">
        <v>17.795950999999999</v>
      </c>
      <c r="J306" s="2">
        <v>24.568180999999999</v>
      </c>
      <c r="K306" s="2">
        <v>28.516705999999999</v>
      </c>
      <c r="L306" s="2">
        <f>AVERAGE(D306:K306)</f>
        <v>22.133067500000003</v>
      </c>
      <c r="M306" s="2">
        <f xml:space="preserve"> _xlfn.STDEV.S(D306:K306) / SQRT(COUNT(D306:K306))</f>
        <v>2.6010161371863898</v>
      </c>
      <c r="N306" s="2">
        <f>M306*$N$2</f>
        <v>2.9109509529473621</v>
      </c>
    </row>
    <row r="307" spans="2:14" x14ac:dyDescent="0.55000000000000004">
      <c r="C307" s="2" t="s">
        <v>31</v>
      </c>
      <c r="D307" s="2">
        <v>3.2518999999999999E-2</v>
      </c>
      <c r="E307" s="2">
        <v>9.7142999999999993E-2</v>
      </c>
      <c r="F307" s="2">
        <v>1.7425E-2</v>
      </c>
      <c r="G307" s="2">
        <v>0.196548</v>
      </c>
      <c r="H307" s="2">
        <v>5.4144999999999999E-2</v>
      </c>
      <c r="I307" s="2">
        <v>5.0215000000000003E-2</v>
      </c>
      <c r="J307" s="2">
        <v>0.182475</v>
      </c>
      <c r="K307" s="2">
        <v>0.24474000000000001</v>
      </c>
      <c r="L307" s="2">
        <f>(1/COUNT(D307:K307))*SQRT(SUMSQ(D307:K307))</f>
        <v>4.8100970496641235E-2</v>
      </c>
    </row>
    <row r="308" spans="2:14" x14ac:dyDescent="0.55000000000000004">
      <c r="B308" s="2" t="s">
        <v>35</v>
      </c>
      <c r="C308" s="2" t="s">
        <v>22</v>
      </c>
      <c r="D308" s="2">
        <v>0.94846699999999995</v>
      </c>
      <c r="E308" s="2">
        <v>0.938585</v>
      </c>
      <c r="F308" s="2">
        <v>0.92702600000000002</v>
      </c>
      <c r="G308" s="2">
        <v>0.92117899999999997</v>
      </c>
      <c r="H308" s="2">
        <v>0.94997600000000004</v>
      </c>
      <c r="I308" s="2">
        <v>0.93108100000000005</v>
      </c>
      <c r="J308" s="2">
        <v>0.94247599999999998</v>
      </c>
      <c r="K308" s="2">
        <v>0.92921100000000001</v>
      </c>
      <c r="L308" s="2">
        <f>AVERAGE(D308:K308)</f>
        <v>0.93600012500000007</v>
      </c>
      <c r="M308" s="2">
        <f xml:space="preserve"> _xlfn.STDEV.S(D308:K308) / SQRT(COUNT(D308:K308))</f>
        <v>3.7077555418989173E-3</v>
      </c>
      <c r="N308" s="2">
        <f>M308*$N$2</f>
        <v>4.1495684604486091E-3</v>
      </c>
    </row>
    <row r="309" spans="2:14" x14ac:dyDescent="0.55000000000000004">
      <c r="C309" s="2" t="s">
        <v>23</v>
      </c>
      <c r="D309" s="2">
        <v>2.5599999999999999E-4</v>
      </c>
      <c r="E309" s="2">
        <v>4.9700000000000005E-4</v>
      </c>
      <c r="F309" s="2">
        <v>2.14E-4</v>
      </c>
      <c r="G309" s="2">
        <v>2.9799999999999998E-4</v>
      </c>
      <c r="H309" s="2">
        <v>1.13E-4</v>
      </c>
      <c r="I309" s="2">
        <v>2.8600000000000001E-4</v>
      </c>
      <c r="J309" s="2">
        <v>4.17E-4</v>
      </c>
      <c r="K309" s="2">
        <v>9.2E-5</v>
      </c>
      <c r="L309" s="2">
        <f>(1/COUNT(D309:K309))*SQRT(SUMSQ(D309:K309))</f>
        <v>1.0636486438199412E-4</v>
      </c>
    </row>
    <row r="310" spans="2:14" x14ac:dyDescent="0.55000000000000004">
      <c r="C310" s="2" t="s">
        <v>24</v>
      </c>
      <c r="D310" s="2">
        <v>0.31214500000000001</v>
      </c>
      <c r="E310" s="2">
        <v>0.33849699999999999</v>
      </c>
      <c r="F310" s="2">
        <v>0.37261300000000003</v>
      </c>
      <c r="G310" s="2">
        <v>0.38872000000000001</v>
      </c>
      <c r="H310" s="2">
        <v>0.31046699999999999</v>
      </c>
      <c r="I310" s="2">
        <v>0.36532599999999998</v>
      </c>
      <c r="J310" s="2">
        <v>0.32655899999999999</v>
      </c>
      <c r="K310" s="2">
        <v>0.36889899999999998</v>
      </c>
      <c r="L310" s="2">
        <f>AVERAGE(D310:K310)</f>
        <v>0.34790325</v>
      </c>
      <c r="M310" s="2">
        <f xml:space="preserve"> _xlfn.STDEV.S(D310:K310) / SQRT(COUNT(D310:K310))</f>
        <v>1.0560313480787396E-2</v>
      </c>
      <c r="N310" s="2">
        <f>M310*$N$2</f>
        <v>1.1818671230380783E-2</v>
      </c>
    </row>
    <row r="311" spans="2:14" x14ac:dyDescent="0.55000000000000004">
      <c r="C311" s="2" t="s">
        <v>25</v>
      </c>
      <c r="D311" s="2">
        <v>6.9099999999999999E-4</v>
      </c>
      <c r="E311" s="2">
        <v>1.3079999999999999E-3</v>
      </c>
      <c r="F311" s="2">
        <v>4.9799999999999996E-4</v>
      </c>
      <c r="G311" s="2">
        <v>7.0899999999999999E-4</v>
      </c>
      <c r="H311" s="2">
        <v>3.3E-4</v>
      </c>
      <c r="I311" s="2">
        <v>7.1699999999999997E-4</v>
      </c>
      <c r="J311" s="2">
        <v>1.129E-3</v>
      </c>
      <c r="K311" s="2">
        <v>2.3000000000000001E-4</v>
      </c>
      <c r="L311" s="2">
        <f>(1/COUNT(D311:K311))*SQRT(SUMSQ(D311:K311))</f>
        <v>2.7640436863407206E-4</v>
      </c>
    </row>
    <row r="312" spans="2:14" x14ac:dyDescent="0.55000000000000004">
      <c r="C312" s="2" t="s">
        <v>26</v>
      </c>
      <c r="D312" s="2">
        <v>0.63940200000000003</v>
      </c>
      <c r="E312" s="2">
        <v>0.74614599999999998</v>
      </c>
      <c r="F312" s="2">
        <v>0.58774400000000004</v>
      </c>
      <c r="G312" s="2">
        <v>0.69411400000000001</v>
      </c>
      <c r="H312" s="2">
        <v>0.638019</v>
      </c>
      <c r="I312" s="2">
        <v>0.624861</v>
      </c>
      <c r="J312" s="2">
        <v>0.69667400000000002</v>
      </c>
      <c r="K312" s="2">
        <v>0.55270300000000006</v>
      </c>
      <c r="L312" s="2">
        <f>AVERAGE(D312:K312)</f>
        <v>0.64745787500000007</v>
      </c>
      <c r="M312" s="2">
        <f xml:space="preserve"> _xlfn.STDEV.S(D312:K312) / SQRT(COUNT(D312:K312))</f>
        <v>2.2179144170205653E-2</v>
      </c>
      <c r="N312" s="2">
        <f>M312*$N$2</f>
        <v>2.4821991657328388E-2</v>
      </c>
    </row>
    <row r="313" spans="2:14" x14ac:dyDescent="0.55000000000000004">
      <c r="C313" s="2" t="s">
        <v>27</v>
      </c>
      <c r="D313" s="2">
        <v>6.1600000000000001E-4</v>
      </c>
      <c r="E313" s="2">
        <v>9.3099999999999997E-4</v>
      </c>
      <c r="F313" s="2">
        <v>2.02E-4</v>
      </c>
      <c r="G313" s="2">
        <v>9.2900000000000003E-4</v>
      </c>
      <c r="H313" s="2">
        <v>2.5700000000000001E-4</v>
      </c>
      <c r="I313" s="2">
        <v>5.0699999999999996E-4</v>
      </c>
      <c r="J313" s="2">
        <v>8.2799999999999996E-4</v>
      </c>
      <c r="K313" s="2">
        <v>1.4200000000000001E-4</v>
      </c>
      <c r="L313" s="2">
        <f>(1/COUNT(D313:K313))*SQRT(SUMSQ(D313:K313))</f>
        <v>2.2286865526583143E-4</v>
      </c>
    </row>
    <row r="314" spans="2:14" x14ac:dyDescent="0.55000000000000004">
      <c r="C314" s="2" t="s">
        <v>28</v>
      </c>
      <c r="D314" s="2">
        <v>2.479784</v>
      </c>
      <c r="E314" s="2">
        <v>2.7371129999999999</v>
      </c>
      <c r="F314" s="2">
        <v>3.2280639999999998</v>
      </c>
      <c r="G314" s="2">
        <v>3.4552640000000001</v>
      </c>
      <c r="H314" s="2">
        <v>1.804635</v>
      </c>
      <c r="I314" s="2">
        <v>3.277266</v>
      </c>
      <c r="J314" s="2">
        <v>3.2498040000000001</v>
      </c>
      <c r="K314" s="2">
        <v>2.910104</v>
      </c>
      <c r="L314" s="2">
        <f>AVERAGE(D314:K314)</f>
        <v>2.8927542499999999</v>
      </c>
      <c r="M314" s="2">
        <f xml:space="preserve"> _xlfn.STDEV.S(D314:K314) / SQRT(COUNT(D314:K314))</f>
        <v>0.1928756445820875</v>
      </c>
      <c r="N314" s="2">
        <f>M314*$N$2</f>
        <v>0.2158585382726253</v>
      </c>
    </row>
    <row r="315" spans="2:14" x14ac:dyDescent="0.55000000000000004">
      <c r="C315" s="2" t="s">
        <v>29</v>
      </c>
      <c r="D315" s="2">
        <v>1.2775E-2</v>
      </c>
      <c r="E315" s="2">
        <v>8.1349999999999999E-3</v>
      </c>
      <c r="F315" s="2">
        <v>2.4060000000000002E-3</v>
      </c>
      <c r="G315" s="2">
        <v>1.1129E-2</v>
      </c>
      <c r="H315" s="2">
        <v>2.3349999999999998E-3</v>
      </c>
      <c r="I315" s="2">
        <v>1.2988E-2</v>
      </c>
      <c r="J315" s="2">
        <v>1.0265E-2</v>
      </c>
      <c r="K315" s="2">
        <v>1.83E-3</v>
      </c>
      <c r="L315" s="2">
        <f>(1/COUNT(D315:K315))*SQRT(SUMSQ(D315:K315))</f>
        <v>3.1669233418453627E-3</v>
      </c>
    </row>
    <row r="316" spans="2:14" x14ac:dyDescent="0.55000000000000004">
      <c r="C316" s="2" t="s">
        <v>30</v>
      </c>
      <c r="D316" s="2">
        <v>16.036999999999999</v>
      </c>
      <c r="E316" s="2">
        <v>20.057776</v>
      </c>
      <c r="F316" s="2">
        <v>21.687867000000001</v>
      </c>
      <c r="G316" s="2">
        <v>33.828671</v>
      </c>
      <c r="H316" s="2">
        <v>12.981225</v>
      </c>
      <c r="I316" s="2">
        <v>18.487763999999999</v>
      </c>
      <c r="J316" s="2">
        <v>24.757781999999999</v>
      </c>
      <c r="K316" s="2">
        <v>48.574728</v>
      </c>
      <c r="L316" s="2">
        <f>AVERAGE(D316:K316)</f>
        <v>24.551601624999996</v>
      </c>
      <c r="M316" s="2">
        <f xml:space="preserve"> _xlfn.STDEV.S(D316:K316) / SQRT(COUNT(D316:K316))</f>
        <v>4.0855904341056544</v>
      </c>
      <c r="N316" s="2">
        <f>M316*$N$2</f>
        <v>4.5724258290752111</v>
      </c>
    </row>
    <row r="317" spans="2:14" x14ac:dyDescent="0.55000000000000004">
      <c r="C317" s="2" t="s">
        <v>31</v>
      </c>
      <c r="D317" s="2">
        <v>3.0533000000000001E-2</v>
      </c>
      <c r="E317" s="2">
        <v>5.6966000000000003E-2</v>
      </c>
      <c r="F317" s="2">
        <v>6.0800000000000003E-3</v>
      </c>
      <c r="G317" s="2">
        <v>9.5921000000000006E-2</v>
      </c>
      <c r="H317" s="2">
        <v>1.7656000000000002E-2</v>
      </c>
      <c r="I317" s="2">
        <v>3.7124999999999998E-2</v>
      </c>
      <c r="J317" s="2">
        <v>0.102201</v>
      </c>
      <c r="K317" s="2">
        <v>6.3200000000000006E-2</v>
      </c>
      <c r="L317" s="2">
        <f>(1/COUNT(D317:K317))*SQRT(SUMSQ(D317:K317))</f>
        <v>2.1485634098741418E-2</v>
      </c>
    </row>
    <row r="318" spans="2:14" x14ac:dyDescent="0.55000000000000004">
      <c r="B318" s="2" t="s">
        <v>45</v>
      </c>
      <c r="C318" s="2" t="s">
        <v>22</v>
      </c>
      <c r="D318" s="2">
        <v>0.94706000000000001</v>
      </c>
      <c r="E318" s="2">
        <v>0.93588199999999999</v>
      </c>
      <c r="F318" s="2">
        <v>0.923732</v>
      </c>
      <c r="G318" s="2">
        <v>0.93669899999999995</v>
      </c>
      <c r="H318" s="2">
        <v>0.95180500000000001</v>
      </c>
      <c r="I318" s="2">
        <v>0.93063799999999997</v>
      </c>
      <c r="J318" s="2">
        <v>0.95144200000000001</v>
      </c>
      <c r="K318" s="2">
        <v>0.93151799999999996</v>
      </c>
      <c r="L318" s="2">
        <f>AVERAGE(D318:K318)</f>
        <v>0.93859700000000001</v>
      </c>
      <c r="M318" s="2">
        <f xml:space="preserve"> _xlfn.STDEV.S(D318:K318) / SQRT(COUNT(D318:K318))</f>
        <v>3.6753703263364261E-3</v>
      </c>
      <c r="N318" s="2">
        <f>M318*$N$2</f>
        <v>4.1133242508278964E-3</v>
      </c>
    </row>
    <row r="319" spans="2:14" x14ac:dyDescent="0.55000000000000004">
      <c r="C319" s="2" t="s">
        <v>23</v>
      </c>
      <c r="D319" s="2">
        <v>7.36E-4</v>
      </c>
      <c r="E319" s="2">
        <v>9.3300000000000002E-4</v>
      </c>
      <c r="F319" s="2">
        <v>8.0000000000000004E-4</v>
      </c>
      <c r="G319" s="2">
        <v>1.9759999999999999E-3</v>
      </c>
      <c r="H319" s="2">
        <v>6.9300000000000004E-4</v>
      </c>
      <c r="I319" s="2">
        <v>8.03E-4</v>
      </c>
      <c r="J319" s="2">
        <v>3.0800000000000001E-4</v>
      </c>
      <c r="K319" s="2">
        <v>9.0300000000000005E-4</v>
      </c>
      <c r="L319" s="2">
        <f>(1/COUNT(D319:K319))*SQRT(SUMSQ(D319:K319))</f>
        <v>3.5337860362506384E-4</v>
      </c>
    </row>
    <row r="320" spans="2:14" x14ac:dyDescent="0.55000000000000004">
      <c r="C320" s="2" t="s">
        <v>24</v>
      </c>
      <c r="D320" s="2">
        <v>0.31526199999999999</v>
      </c>
      <c r="E320" s="2">
        <v>0.34225800000000001</v>
      </c>
      <c r="F320" s="2">
        <v>0.38108399999999998</v>
      </c>
      <c r="G320" s="2">
        <v>0.34515200000000001</v>
      </c>
      <c r="H320" s="2">
        <v>0.30512099999999998</v>
      </c>
      <c r="I320" s="2">
        <v>0.36470599999999997</v>
      </c>
      <c r="J320" s="2">
        <v>0.30119200000000002</v>
      </c>
      <c r="K320" s="2">
        <v>0.36212299999999997</v>
      </c>
      <c r="L320" s="2">
        <f>AVERAGE(D320:K320)</f>
        <v>0.33961224999999995</v>
      </c>
      <c r="M320" s="2">
        <f xml:space="preserve"> _xlfn.STDEV.S(D320:K320) / SQRT(COUNT(D320:K320))</f>
        <v>1.0481890537544808E-2</v>
      </c>
      <c r="N320" s="2">
        <f>M320*$N$2</f>
        <v>1.1730903477577876E-2</v>
      </c>
    </row>
    <row r="321" spans="2:14" x14ac:dyDescent="0.55000000000000004">
      <c r="C321" s="2" t="s">
        <v>25</v>
      </c>
      <c r="D321" s="2">
        <v>2.1020000000000001E-3</v>
      </c>
      <c r="E321" s="2">
        <v>2.4069999999999999E-3</v>
      </c>
      <c r="F321" s="2">
        <v>1.8010000000000001E-3</v>
      </c>
      <c r="G321" s="2">
        <v>4.8170000000000001E-3</v>
      </c>
      <c r="H321" s="2">
        <v>2.134E-3</v>
      </c>
      <c r="I321" s="2">
        <v>1.9170000000000001E-3</v>
      </c>
      <c r="J321" s="2">
        <v>9.0200000000000002E-4</v>
      </c>
      <c r="K321" s="2">
        <v>2.1879999999999998E-3</v>
      </c>
      <c r="L321" s="2">
        <f>(1/COUNT(D321:K321))*SQRT(SUMSQ(D321:K321))</f>
        <v>8.8819458735121771E-4</v>
      </c>
    </row>
    <row r="322" spans="2:14" x14ac:dyDescent="0.55000000000000004">
      <c r="C322" s="2" t="s">
        <v>26</v>
      </c>
      <c r="D322" s="2">
        <v>0.63677799999999996</v>
      </c>
      <c r="E322" s="2">
        <v>0.74321700000000002</v>
      </c>
      <c r="F322" s="2">
        <v>0.58425899999999997</v>
      </c>
      <c r="G322" s="2">
        <v>0.71540099999999995</v>
      </c>
      <c r="H322" s="2">
        <v>0.64392099999999997</v>
      </c>
      <c r="I322" s="2">
        <v>0.626614</v>
      </c>
      <c r="J322" s="2">
        <v>0.71601300000000001</v>
      </c>
      <c r="K322" s="2">
        <v>0.55878799999999995</v>
      </c>
      <c r="L322" s="2">
        <f>AVERAGE(D322:K322)</f>
        <v>0.65312387500000002</v>
      </c>
      <c r="M322" s="2">
        <f xml:space="preserve"> _xlfn.STDEV.S(D322:K322) / SQRT(COUNT(D322:K322))</f>
        <v>2.3393579646101243E-2</v>
      </c>
      <c r="N322" s="2">
        <f>M322*$N$2</f>
        <v>2.6181138205982814E-2</v>
      </c>
    </row>
    <row r="323" spans="2:14" x14ac:dyDescent="0.55000000000000004">
      <c r="C323" s="2" t="s">
        <v>27</v>
      </c>
      <c r="D323" s="2">
        <v>2.163E-3</v>
      </c>
      <c r="E323" s="2">
        <v>1.8450000000000001E-3</v>
      </c>
      <c r="F323" s="2">
        <v>4.5600000000000003E-4</v>
      </c>
      <c r="G323" s="2">
        <v>4.4980000000000003E-3</v>
      </c>
      <c r="H323" s="2">
        <v>1.3749999999999999E-3</v>
      </c>
      <c r="I323" s="2">
        <v>1.3259999999999999E-3</v>
      </c>
      <c r="J323" s="2">
        <v>8.6600000000000002E-4</v>
      </c>
      <c r="K323" s="2">
        <v>1.3010000000000001E-3</v>
      </c>
      <c r="L323" s="2">
        <f>(1/COUNT(D323:K323))*SQRT(SUMSQ(D323:K323))</f>
        <v>7.3542071292560156E-4</v>
      </c>
    </row>
    <row r="324" spans="2:14" x14ac:dyDescent="0.55000000000000004">
      <c r="C324" s="2" t="s">
        <v>28</v>
      </c>
      <c r="D324" s="2">
        <v>2.5505369999999998</v>
      </c>
      <c r="E324" s="2">
        <v>2.7225730000000001</v>
      </c>
      <c r="F324" s="2">
        <v>3.2541090000000001</v>
      </c>
      <c r="G324" s="2">
        <v>3.2591839999999999</v>
      </c>
      <c r="H324" s="2">
        <v>1.7384809999999999</v>
      </c>
      <c r="I324" s="2">
        <v>3.4810140000000001</v>
      </c>
      <c r="J324" s="2">
        <v>2.9884360000000001</v>
      </c>
      <c r="K324" s="2">
        <v>2.7329629999999998</v>
      </c>
      <c r="L324" s="2">
        <f>AVERAGE(D324:K324)</f>
        <v>2.840912125</v>
      </c>
      <c r="M324" s="2">
        <f xml:space="preserve"> _xlfn.STDEV.S(D324:K324) / SQRT(COUNT(D324:K324))</f>
        <v>0.19376467611148057</v>
      </c>
      <c r="N324" s="2">
        <f>M324*$N$2</f>
        <v>0.2168535060241466</v>
      </c>
    </row>
    <row r="325" spans="2:14" x14ac:dyDescent="0.55000000000000004">
      <c r="C325" s="2" t="s">
        <v>29</v>
      </c>
      <c r="D325" s="2">
        <v>3.8043E-2</v>
      </c>
      <c r="E325" s="2">
        <v>1.8984999999999998E-2</v>
      </c>
      <c r="F325" s="2">
        <v>5.581E-3</v>
      </c>
      <c r="G325" s="2">
        <v>7.3032E-2</v>
      </c>
      <c r="H325" s="2">
        <v>1.1332999999999999E-2</v>
      </c>
      <c r="I325" s="2">
        <v>3.9232000000000003E-2</v>
      </c>
      <c r="J325" s="2">
        <v>9.3039999999999998E-3</v>
      </c>
      <c r="K325" s="2">
        <v>2.7432000000000002E-2</v>
      </c>
      <c r="L325" s="2">
        <f>(1/COUNT(D325:K325))*SQRT(SUMSQ(D325:K325))</f>
        <v>1.2297857036390528E-2</v>
      </c>
    </row>
    <row r="326" spans="2:14" x14ac:dyDescent="0.55000000000000004">
      <c r="C326" s="2" t="s">
        <v>30</v>
      </c>
      <c r="D326" s="2">
        <v>16.070170999999998</v>
      </c>
      <c r="E326" s="2">
        <v>19.634633000000001</v>
      </c>
      <c r="F326" s="2">
        <v>21.734428999999999</v>
      </c>
      <c r="G326" s="2">
        <v>29.427925999999999</v>
      </c>
      <c r="H326" s="2">
        <v>12.687488</v>
      </c>
      <c r="I326" s="2">
        <v>19.244624000000002</v>
      </c>
      <c r="J326" s="2">
        <v>22.290693000000001</v>
      </c>
      <c r="K326" s="2">
        <v>37.784998000000002</v>
      </c>
      <c r="L326" s="2">
        <f>AVERAGE(D326:K326)</f>
        <v>22.359370249999998</v>
      </c>
      <c r="M326" s="2">
        <f xml:space="preserve"> _xlfn.STDEV.S(D326:K326) / SQRT(COUNT(D326:K326))</f>
        <v>2.7983889202748053</v>
      </c>
      <c r="N326" s="2">
        <f>M326*$N$2</f>
        <v>3.1318425048308498</v>
      </c>
    </row>
    <row r="327" spans="2:14" x14ac:dyDescent="0.55000000000000004">
      <c r="C327" s="2" t="s">
        <v>31</v>
      </c>
      <c r="D327" s="2">
        <v>0.167741</v>
      </c>
      <c r="E327" s="2">
        <v>0.105445</v>
      </c>
      <c r="F327" s="2">
        <v>1.0355E-2</v>
      </c>
      <c r="G327" s="2">
        <v>0.21484600000000001</v>
      </c>
      <c r="H327" s="2">
        <v>4.1730999999999997E-2</v>
      </c>
      <c r="I327" s="2">
        <v>0.119877</v>
      </c>
      <c r="J327" s="2">
        <v>0.162191</v>
      </c>
      <c r="K327" s="2">
        <v>1.1202369999999999</v>
      </c>
      <c r="L327" s="2">
        <f>(1/COUNT(D327:K327))*SQRT(SUMSQ(D327:K327))</f>
        <v>0.14699439556636801</v>
      </c>
    </row>
    <row r="328" spans="2:14" x14ac:dyDescent="0.55000000000000004">
      <c r="B328" s="2" t="s">
        <v>46</v>
      </c>
      <c r="C328" s="2" t="s">
        <v>22</v>
      </c>
      <c r="L328" s="2" t="e">
        <f>AVERAGE(D328:K328)</f>
        <v>#DIV/0!</v>
      </c>
      <c r="M328" s="2" t="e">
        <f xml:space="preserve"> _xlfn.STDEV.S(D328:K328) / SQRT(COUNT(D328:K328))</f>
        <v>#DIV/0!</v>
      </c>
      <c r="N328" s="2" t="e">
        <f>M328*$N$2</f>
        <v>#DIV/0!</v>
      </c>
    </row>
    <row r="329" spans="2:14" x14ac:dyDescent="0.55000000000000004">
      <c r="C329" s="2" t="s">
        <v>23</v>
      </c>
      <c r="L329" s="2" t="e">
        <f>(1/COUNT(D329:K329))*SQRT(SUMSQ(D329:K329))</f>
        <v>#DIV/0!</v>
      </c>
    </row>
    <row r="330" spans="2:14" x14ac:dyDescent="0.55000000000000004">
      <c r="C330" s="2" t="s">
        <v>24</v>
      </c>
      <c r="L330" s="2" t="e">
        <f>AVERAGE(D330:K330)</f>
        <v>#DIV/0!</v>
      </c>
      <c r="M330" s="2" t="e">
        <f xml:space="preserve"> _xlfn.STDEV.S(D330:K330) / SQRT(COUNT(D330:K330))</f>
        <v>#DIV/0!</v>
      </c>
      <c r="N330" s="2" t="e">
        <f>M330*$N$2</f>
        <v>#DIV/0!</v>
      </c>
    </row>
    <row r="331" spans="2:14" x14ac:dyDescent="0.55000000000000004">
      <c r="C331" s="2" t="s">
        <v>25</v>
      </c>
      <c r="L331" s="2" t="e">
        <f>(1/COUNT(D331:K331))*SQRT(SUMSQ(D331:K331))</f>
        <v>#DIV/0!</v>
      </c>
    </row>
    <row r="332" spans="2:14" x14ac:dyDescent="0.55000000000000004">
      <c r="C332" s="2" t="s">
        <v>26</v>
      </c>
      <c r="L332" s="2" t="e">
        <f>AVERAGE(D332:K332)</f>
        <v>#DIV/0!</v>
      </c>
      <c r="M332" s="2" t="e">
        <f xml:space="preserve"> _xlfn.STDEV.S(D332:K332) / SQRT(COUNT(D332:K332))</f>
        <v>#DIV/0!</v>
      </c>
      <c r="N332" s="2" t="e">
        <f>M332*$N$2</f>
        <v>#DIV/0!</v>
      </c>
    </row>
    <row r="333" spans="2:14" x14ac:dyDescent="0.55000000000000004">
      <c r="C333" s="2" t="s">
        <v>27</v>
      </c>
      <c r="L333" s="2" t="e">
        <f>(1/COUNT(D333:K333))*SQRT(SUMSQ(D333:K333))</f>
        <v>#DIV/0!</v>
      </c>
    </row>
    <row r="334" spans="2:14" x14ac:dyDescent="0.55000000000000004">
      <c r="C334" s="2" t="s">
        <v>28</v>
      </c>
      <c r="L334" s="2" t="e">
        <f>AVERAGE(D334:K334)</f>
        <v>#DIV/0!</v>
      </c>
      <c r="M334" s="2" t="e">
        <f xml:space="preserve"> _xlfn.STDEV.S(D334:K334) / SQRT(COUNT(D334:K334))</f>
        <v>#DIV/0!</v>
      </c>
      <c r="N334" s="2" t="e">
        <f>M334*$N$2</f>
        <v>#DIV/0!</v>
      </c>
    </row>
    <row r="335" spans="2:14" x14ac:dyDescent="0.55000000000000004">
      <c r="C335" s="2" t="s">
        <v>29</v>
      </c>
      <c r="L335" s="2" t="e">
        <f>(1/COUNT(D335:K335))*SQRT(SUMSQ(D335:K335))</f>
        <v>#DIV/0!</v>
      </c>
    </row>
    <row r="336" spans="2:14" x14ac:dyDescent="0.55000000000000004">
      <c r="C336" s="2" t="s">
        <v>30</v>
      </c>
      <c r="L336" s="2" t="e">
        <f>AVERAGE(D336:K336)</f>
        <v>#DIV/0!</v>
      </c>
      <c r="M336" s="2" t="e">
        <f xml:space="preserve"> _xlfn.STDEV.S(D336:K336) / SQRT(COUNT(D336:K336))</f>
        <v>#DIV/0!</v>
      </c>
      <c r="N336" s="2" t="e">
        <f>M336*$N$2</f>
        <v>#DIV/0!</v>
      </c>
    </row>
    <row r="337" spans="2:14" x14ac:dyDescent="0.55000000000000004">
      <c r="C337" s="2" t="s">
        <v>31</v>
      </c>
      <c r="L337" s="2" t="e">
        <f>(1/COUNT(D337:K337))*SQRT(SUMSQ(D337:K337))</f>
        <v>#DIV/0!</v>
      </c>
    </row>
    <row r="338" spans="2:14" x14ac:dyDescent="0.55000000000000004">
      <c r="B338" s="2" t="s">
        <v>36</v>
      </c>
      <c r="C338" s="2" t="s">
        <v>22</v>
      </c>
      <c r="D338" s="2">
        <v>0.94798899999999997</v>
      </c>
      <c r="E338" s="2">
        <v>0.93944499999999997</v>
      </c>
      <c r="F338" s="2">
        <v>0.92775200000000002</v>
      </c>
      <c r="G338" s="2">
        <v>0.93944000000000005</v>
      </c>
      <c r="H338" s="2">
        <v>0.95398300000000003</v>
      </c>
      <c r="I338" s="2">
        <v>0.93927300000000002</v>
      </c>
      <c r="J338" s="2">
        <v>0.95116999999999996</v>
      </c>
      <c r="K338" s="2">
        <v>0.93168399999999996</v>
      </c>
      <c r="L338" s="2">
        <f>AVERAGE(D338:K338)</f>
        <v>0.94134200000000001</v>
      </c>
      <c r="M338" s="2">
        <f xml:space="preserve"> _xlfn.STDEV.S(D338:K338) / SQRT(COUNT(D338:K338))</f>
        <v>3.2459565836371151E-3</v>
      </c>
      <c r="N338" s="2">
        <f>M338*$N$2</f>
        <v>3.6327419408421447E-3</v>
      </c>
    </row>
    <row r="339" spans="2:14" x14ac:dyDescent="0.55000000000000004">
      <c r="C339" s="2" t="s">
        <v>24</v>
      </c>
      <c r="D339" s="2">
        <v>0.31451000000000001</v>
      </c>
      <c r="E339" s="2">
        <v>0.33801300000000001</v>
      </c>
      <c r="F339" s="2">
        <v>0.37116300000000002</v>
      </c>
      <c r="G339" s="2">
        <v>0.33829399999999998</v>
      </c>
      <c r="H339" s="2">
        <v>0.29876399999999997</v>
      </c>
      <c r="I339" s="2">
        <v>0.34267300000000001</v>
      </c>
      <c r="J339" s="2">
        <v>0.30269000000000001</v>
      </c>
      <c r="K339" s="2">
        <v>0.36189700000000002</v>
      </c>
      <c r="L339" s="2">
        <f t="shared" ref="L339:L347" si="14">AVERAGE(D339:K339)</f>
        <v>0.33350049999999998</v>
      </c>
      <c r="M339" s="2">
        <f t="shared" ref="M339:M355" si="15" xml:space="preserve"> _xlfn.STDEV.S(D339:K339) / SQRT(COUNT(D339:K339))</f>
        <v>9.3243638293145029E-3</v>
      </c>
      <c r="N339" s="2">
        <f t="shared" ref="N339:N355" si="16">M339*$N$2</f>
        <v>1.043544689573985E-2</v>
      </c>
    </row>
    <row r="340" spans="2:14" x14ac:dyDescent="0.55000000000000004">
      <c r="C340" s="2" t="s">
        <v>26</v>
      </c>
      <c r="D340" s="2">
        <v>0.63451599999999997</v>
      </c>
      <c r="E340" s="2">
        <v>0.74751599999999996</v>
      </c>
      <c r="F340" s="2">
        <v>0.58823899999999996</v>
      </c>
      <c r="G340" s="2">
        <v>0.72338000000000002</v>
      </c>
      <c r="H340" s="2">
        <v>0.64821300000000004</v>
      </c>
      <c r="I340" s="2">
        <v>0.64185800000000004</v>
      </c>
      <c r="J340" s="2">
        <v>0.71462400000000004</v>
      </c>
      <c r="K340" s="2">
        <v>0.55808400000000002</v>
      </c>
      <c r="L340" s="2">
        <f t="shared" si="14"/>
        <v>0.65705374999999999</v>
      </c>
      <c r="M340" s="2">
        <f t="shared" si="15"/>
        <v>2.3620672273871521E-2</v>
      </c>
      <c r="N340" s="2">
        <f t="shared" si="16"/>
        <v>2.643529099333549E-2</v>
      </c>
    </row>
    <row r="341" spans="2:14" x14ac:dyDescent="0.55000000000000004">
      <c r="C341" s="2" t="s">
        <v>28</v>
      </c>
      <c r="D341" s="2">
        <v>2.4715980000000002</v>
      </c>
      <c r="E341" s="2">
        <v>2.662112</v>
      </c>
      <c r="F341" s="2">
        <v>3.174614</v>
      </c>
      <c r="G341" s="2">
        <v>3.1104240000000001</v>
      </c>
      <c r="H341" s="2">
        <v>1.7082870000000001</v>
      </c>
      <c r="I341" s="2">
        <v>2.9708019999999999</v>
      </c>
      <c r="J341" s="2">
        <v>2.9984099999999998</v>
      </c>
      <c r="K341" s="2">
        <v>2.760103</v>
      </c>
      <c r="L341" s="2">
        <f t="shared" si="14"/>
        <v>2.7320437500000003</v>
      </c>
      <c r="M341" s="2">
        <f t="shared" si="15"/>
        <v>0.16842676258590672</v>
      </c>
      <c r="N341" s="2">
        <f t="shared" si="16"/>
        <v>0.18849634880836977</v>
      </c>
    </row>
    <row r="342" spans="2:14" x14ac:dyDescent="0.55000000000000004">
      <c r="C342" s="2" t="s">
        <v>30</v>
      </c>
      <c r="D342" s="2">
        <v>15.691186</v>
      </c>
      <c r="E342" s="2">
        <v>19.393070999999999</v>
      </c>
      <c r="F342" s="2">
        <v>21.432317000000001</v>
      </c>
      <c r="G342" s="2">
        <v>29.804311999999999</v>
      </c>
      <c r="H342" s="2">
        <v>12.522078</v>
      </c>
      <c r="I342" s="2">
        <v>17.844173000000001</v>
      </c>
      <c r="J342" s="2">
        <v>22.194631000000001</v>
      </c>
      <c r="K342" s="2">
        <v>45.864642000000003</v>
      </c>
      <c r="L342" s="2">
        <f t="shared" si="14"/>
        <v>23.09330125</v>
      </c>
      <c r="M342" s="2">
        <f t="shared" si="15"/>
        <v>3.71993957372149</v>
      </c>
      <c r="N342" s="2">
        <f t="shared" si="16"/>
        <v>4.1632043308830866</v>
      </c>
    </row>
    <row r="343" spans="2:14" x14ac:dyDescent="0.55000000000000004">
      <c r="B343" s="2" t="s">
        <v>37</v>
      </c>
      <c r="C343" s="2" t="s">
        <v>22</v>
      </c>
      <c r="D343" s="2">
        <v>0.93519300000000005</v>
      </c>
      <c r="E343" s="2">
        <v>0.91390199999999999</v>
      </c>
      <c r="F343" s="2">
        <v>0.91502600000000001</v>
      </c>
      <c r="G343" s="2">
        <v>0.91341600000000001</v>
      </c>
      <c r="H343" s="2">
        <v>0.93340100000000004</v>
      </c>
      <c r="I343" s="2">
        <v>0.91522099999999995</v>
      </c>
      <c r="J343" s="2">
        <v>0.93820999999999999</v>
      </c>
      <c r="K343" s="2">
        <v>0.92155200000000004</v>
      </c>
      <c r="L343" s="2">
        <f t="shared" si="14"/>
        <v>0.92324012499999997</v>
      </c>
      <c r="M343" s="2">
        <f t="shared" si="15"/>
        <v>3.7525080919180911E-3</v>
      </c>
      <c r="N343" s="2">
        <f t="shared" si="16"/>
        <v>4.1996536853200163E-3</v>
      </c>
    </row>
    <row r="344" spans="2:14" x14ac:dyDescent="0.55000000000000004">
      <c r="C344" s="2" t="s">
        <v>24</v>
      </c>
      <c r="D344" s="2">
        <v>0.35220400000000002</v>
      </c>
      <c r="E344" s="2">
        <v>0.39350600000000002</v>
      </c>
      <c r="F344" s="2">
        <v>0.401146</v>
      </c>
      <c r="G344" s="2">
        <v>0.406418</v>
      </c>
      <c r="H344" s="2">
        <v>0.35621700000000001</v>
      </c>
      <c r="I344" s="2">
        <v>0.40305800000000003</v>
      </c>
      <c r="J344" s="2">
        <v>0.33779300000000001</v>
      </c>
      <c r="K344" s="2">
        <v>0.38878000000000001</v>
      </c>
      <c r="L344" s="2">
        <f t="shared" si="14"/>
        <v>0.37989025000000004</v>
      </c>
      <c r="M344" s="2">
        <f t="shared" si="15"/>
        <v>9.5017094641475647E-3</v>
      </c>
      <c r="N344" s="2">
        <f t="shared" si="16"/>
        <v>1.0633924881838312E-2</v>
      </c>
    </row>
    <row r="345" spans="2:14" x14ac:dyDescent="0.55000000000000004">
      <c r="C345" s="2" t="s">
        <v>26</v>
      </c>
      <c r="D345" s="2">
        <v>0.60197500000000004</v>
      </c>
      <c r="E345" s="2">
        <v>0.70878099999999999</v>
      </c>
      <c r="F345" s="2">
        <v>0.57397500000000001</v>
      </c>
      <c r="G345" s="2">
        <v>0.68449499999999996</v>
      </c>
      <c r="H345" s="2">
        <v>0.59638800000000003</v>
      </c>
      <c r="I345" s="2">
        <v>0.59863900000000003</v>
      </c>
      <c r="J345" s="2">
        <v>0.688442</v>
      </c>
      <c r="K345" s="2">
        <v>0.53975399999999996</v>
      </c>
      <c r="L345" s="2">
        <f t="shared" si="14"/>
        <v>0.62405612500000007</v>
      </c>
      <c r="M345" s="2">
        <f t="shared" si="15"/>
        <v>2.1749713372854806E-2</v>
      </c>
      <c r="N345" s="2">
        <f t="shared" si="16"/>
        <v>2.4341390260473689E-2</v>
      </c>
    </row>
    <row r="346" spans="2:14" x14ac:dyDescent="0.55000000000000004">
      <c r="C346" s="2" t="s">
        <v>28</v>
      </c>
      <c r="D346" s="2">
        <v>2.9255</v>
      </c>
      <c r="E346" s="2">
        <v>3.223875</v>
      </c>
      <c r="F346" s="2">
        <v>3.4279299999999999</v>
      </c>
      <c r="G346" s="2">
        <v>3.6697009999999999</v>
      </c>
      <c r="H346" s="2">
        <v>2.2242760000000001</v>
      </c>
      <c r="I346" s="2">
        <v>4.195208</v>
      </c>
      <c r="J346" s="2">
        <v>3.5438540000000001</v>
      </c>
      <c r="K346" s="2">
        <v>3.1351840000000002</v>
      </c>
      <c r="L346" s="2">
        <f t="shared" si="14"/>
        <v>3.2931909999999998</v>
      </c>
      <c r="M346" s="2">
        <f t="shared" si="15"/>
        <v>0.20458703416403459</v>
      </c>
      <c r="N346" s="2">
        <f t="shared" si="16"/>
        <v>0.22896544682905756</v>
      </c>
    </row>
    <row r="347" spans="2:14" x14ac:dyDescent="0.55000000000000004">
      <c r="C347" s="2" t="s">
        <v>30</v>
      </c>
      <c r="D347" s="2">
        <v>16.724163999999998</v>
      </c>
      <c r="E347" s="2">
        <v>23.725276000000001</v>
      </c>
      <c r="F347" s="2">
        <v>22.907354999999999</v>
      </c>
      <c r="G347" s="2">
        <v>36.772295999999997</v>
      </c>
      <c r="H347" s="2">
        <v>15.890435</v>
      </c>
      <c r="I347" s="2">
        <v>22.175090000000001</v>
      </c>
      <c r="J347" s="2">
        <v>27.792992999999999</v>
      </c>
      <c r="K347" s="2">
        <v>53.449274000000003</v>
      </c>
      <c r="L347" s="2">
        <f t="shared" si="14"/>
        <v>27.429610374999999</v>
      </c>
      <c r="M347" s="2">
        <f t="shared" si="15"/>
        <v>4.379299394412925</v>
      </c>
      <c r="N347" s="2">
        <f t="shared" si="16"/>
        <v>4.9011328930846183</v>
      </c>
    </row>
    <row r="348" spans="2:14" x14ac:dyDescent="0.55000000000000004">
      <c r="B348" s="2" t="s">
        <v>39</v>
      </c>
      <c r="C348" s="2" t="s">
        <v>22</v>
      </c>
      <c r="D348" s="2">
        <v>0.952569</v>
      </c>
      <c r="E348" s="2">
        <v>0.94851700000000005</v>
      </c>
      <c r="F348" s="2">
        <v>0.93188899999999997</v>
      </c>
      <c r="G348" s="2">
        <v>0.91540500000000002</v>
      </c>
      <c r="H348" s="2">
        <v>0.95462899999999995</v>
      </c>
      <c r="I348" s="2">
        <v>0.93877100000000002</v>
      </c>
      <c r="J348" s="2">
        <v>0.95367000000000002</v>
      </c>
      <c r="K348" s="2">
        <v>0.92582399999999998</v>
      </c>
      <c r="L348" s="2">
        <f t="shared" ref="L348:L356" si="17">AVERAGE(D348:K348)</f>
        <v>0.94015925</v>
      </c>
      <c r="M348" s="2">
        <f t="shared" si="15"/>
        <v>5.1830156512470051E-3</v>
      </c>
      <c r="N348" s="2">
        <f t="shared" si="16"/>
        <v>5.8006192785329059E-3</v>
      </c>
    </row>
    <row r="349" spans="2:14" x14ac:dyDescent="0.55000000000000004">
      <c r="C349" s="2" t="s">
        <v>24</v>
      </c>
      <c r="D349" s="2">
        <v>0.30148900000000001</v>
      </c>
      <c r="E349" s="2">
        <v>0.31390699999999999</v>
      </c>
      <c r="F349" s="2">
        <v>0.36183799999999999</v>
      </c>
      <c r="G349" s="2">
        <v>0.402422</v>
      </c>
      <c r="H349" s="2">
        <v>0.29694399999999999</v>
      </c>
      <c r="I349" s="2">
        <v>0.34470499999999998</v>
      </c>
      <c r="J349" s="2">
        <v>0.297066</v>
      </c>
      <c r="K349" s="2">
        <v>0.37428600000000001</v>
      </c>
      <c r="L349" s="2">
        <f t="shared" si="17"/>
        <v>0.33658212500000001</v>
      </c>
      <c r="M349" s="2">
        <f t="shared" si="15"/>
        <v>1.4229437203303875E-2</v>
      </c>
      <c r="N349" s="2">
        <f t="shared" si="16"/>
        <v>1.5925004537522328E-2</v>
      </c>
    </row>
    <row r="350" spans="2:14" x14ac:dyDescent="0.55000000000000004">
      <c r="C350" s="2" t="s">
        <v>26</v>
      </c>
      <c r="D350" s="2">
        <v>0.648478</v>
      </c>
      <c r="E350" s="2">
        <v>0.76513500000000001</v>
      </c>
      <c r="F350" s="2">
        <v>0.59102699999999997</v>
      </c>
      <c r="G350" s="2">
        <v>0.68455200000000005</v>
      </c>
      <c r="H350" s="2">
        <v>0.64945399999999998</v>
      </c>
      <c r="I350" s="2">
        <v>0.64259699999999997</v>
      </c>
      <c r="J350" s="2">
        <v>0.72065800000000002</v>
      </c>
      <c r="K350" s="2">
        <v>0.55280899999999999</v>
      </c>
      <c r="L350" s="2">
        <f t="shared" si="17"/>
        <v>0.65683875000000003</v>
      </c>
      <c r="M350" s="2">
        <f t="shared" si="15"/>
        <v>2.3923105276332755E-2</v>
      </c>
      <c r="N350" s="2">
        <f t="shared" si="16"/>
        <v>2.6773761648757714E-2</v>
      </c>
    </row>
    <row r="351" spans="2:14" x14ac:dyDescent="0.55000000000000004">
      <c r="C351" s="2" t="s">
        <v>28</v>
      </c>
      <c r="D351" s="2">
        <v>2.2904460000000002</v>
      </c>
      <c r="E351" s="2">
        <v>2.632358</v>
      </c>
      <c r="F351" s="2">
        <v>3.177759</v>
      </c>
      <c r="G351" s="2">
        <v>3.6110959999999999</v>
      </c>
      <c r="H351" s="2">
        <v>1.7130259999999999</v>
      </c>
      <c r="I351" s="2">
        <v>2.9583900000000001</v>
      </c>
      <c r="J351" s="2">
        <v>3.0823299999999998</v>
      </c>
      <c r="K351" s="2">
        <v>2.9695279999999999</v>
      </c>
      <c r="L351" s="2">
        <f t="shared" si="17"/>
        <v>2.8043666250000001</v>
      </c>
      <c r="M351" s="2">
        <f t="shared" si="15"/>
        <v>0.20715871259934757</v>
      </c>
      <c r="N351" s="2">
        <f t="shared" si="16"/>
        <v>0.23184356422514812</v>
      </c>
    </row>
    <row r="352" spans="2:14" x14ac:dyDescent="0.55000000000000004">
      <c r="C352" s="2" t="s">
        <v>30</v>
      </c>
      <c r="D352" s="2">
        <v>15.593978</v>
      </c>
      <c r="E352" s="2">
        <v>20.829826000000001</v>
      </c>
      <c r="F352" s="2">
        <v>21.640015999999999</v>
      </c>
      <c r="G352" s="2">
        <v>35.519474000000002</v>
      </c>
      <c r="H352" s="2">
        <v>12.41919</v>
      </c>
      <c r="I352" s="2">
        <v>17.617861000000001</v>
      </c>
      <c r="J352" s="2">
        <v>24.428276</v>
      </c>
      <c r="K352" s="2">
        <v>41.199218999999999</v>
      </c>
      <c r="L352" s="2">
        <f t="shared" si="17"/>
        <v>23.655980000000003</v>
      </c>
      <c r="M352" s="2">
        <f t="shared" si="15"/>
        <v>3.507328118439125</v>
      </c>
      <c r="N352" s="2">
        <f t="shared" si="16"/>
        <v>3.9252582799096341</v>
      </c>
    </row>
    <row r="353" spans="1:14" x14ac:dyDescent="0.55000000000000004">
      <c r="B353" s="2" t="s">
        <v>61</v>
      </c>
      <c r="C353" s="2" t="s">
        <v>22</v>
      </c>
      <c r="D353" s="2">
        <v>0.93212300000000003</v>
      </c>
      <c r="E353" s="2">
        <v>0.907335</v>
      </c>
      <c r="F353" s="2">
        <v>0.90548799999999996</v>
      </c>
      <c r="G353" s="2">
        <v>0.93613900000000005</v>
      </c>
      <c r="H353" s="2">
        <v>0.92407899999999998</v>
      </c>
      <c r="I353" s="2">
        <v>0.90922599999999998</v>
      </c>
      <c r="J353" s="2">
        <v>0.94113999999999998</v>
      </c>
      <c r="K353" s="2">
        <v>0.92191000000000001</v>
      </c>
      <c r="L353" s="2">
        <f t="shared" si="17"/>
        <v>0.92218</v>
      </c>
      <c r="M353" s="2">
        <f t="shared" si="15"/>
        <v>4.8618056536934677E-3</v>
      </c>
      <c r="N353" s="2">
        <f t="shared" si="16"/>
        <v>5.4411341776499332E-3</v>
      </c>
    </row>
    <row r="354" spans="1:14" x14ac:dyDescent="0.55000000000000004">
      <c r="C354" s="2" t="s">
        <v>24</v>
      </c>
      <c r="D354" s="2">
        <v>0.36393399999999998</v>
      </c>
      <c r="E354" s="2">
        <v>0.413018</v>
      </c>
      <c r="F354" s="2">
        <v>0.4294</v>
      </c>
      <c r="G354" s="2">
        <v>0.32902799999999999</v>
      </c>
      <c r="H354" s="2">
        <v>0.38303100000000001</v>
      </c>
      <c r="I354" s="2">
        <v>0.41977700000000001</v>
      </c>
      <c r="J354" s="2">
        <v>0.33</v>
      </c>
      <c r="K354" s="2">
        <v>0.39043299999999997</v>
      </c>
      <c r="L354" s="2">
        <f t="shared" si="17"/>
        <v>0.38232762499999995</v>
      </c>
      <c r="M354" s="2">
        <f t="shared" si="15"/>
        <v>1.3721536082452778E-2</v>
      </c>
      <c r="N354" s="2">
        <f t="shared" si="16"/>
        <v>1.5356582361816857E-2</v>
      </c>
    </row>
    <row r="355" spans="1:14" x14ac:dyDescent="0.55000000000000004">
      <c r="C355" s="2" t="s">
        <v>26</v>
      </c>
      <c r="D355" s="2">
        <v>0.60096499999999997</v>
      </c>
      <c r="E355" s="2">
        <v>0.71082199999999995</v>
      </c>
      <c r="F355" s="2">
        <v>0.56705300000000003</v>
      </c>
      <c r="G355" s="2">
        <v>0.72743999999999998</v>
      </c>
      <c r="H355" s="2">
        <v>0.574963</v>
      </c>
      <c r="I355" s="2">
        <v>0.60699400000000003</v>
      </c>
      <c r="J355" s="2">
        <v>0.69415300000000002</v>
      </c>
      <c r="K355" s="2">
        <v>0.52173400000000003</v>
      </c>
      <c r="L355" s="2">
        <f t="shared" si="17"/>
        <v>0.6255155</v>
      </c>
      <c r="M355" s="2">
        <f t="shared" si="15"/>
        <v>2.6748398138286538E-2</v>
      </c>
      <c r="N355" s="2">
        <f t="shared" si="16"/>
        <v>2.9935713945507494E-2</v>
      </c>
    </row>
    <row r="356" spans="1:14" x14ac:dyDescent="0.55000000000000004">
      <c r="A356" s="2" t="s">
        <v>20</v>
      </c>
      <c r="B356" s="2" t="s">
        <v>21</v>
      </c>
      <c r="C356" s="2" t="s">
        <v>22</v>
      </c>
      <c r="D356" s="2">
        <v>0.95565500000000003</v>
      </c>
      <c r="E356" s="2">
        <v>0.94952000000000003</v>
      </c>
      <c r="F356" s="2">
        <v>0.93296400000000002</v>
      </c>
      <c r="G356" s="2">
        <v>0.92342400000000002</v>
      </c>
      <c r="H356" s="2">
        <v>0.95403800000000005</v>
      </c>
      <c r="I356" s="2">
        <v>0.93789999999999996</v>
      </c>
      <c r="J356" s="2">
        <v>0.95031200000000005</v>
      </c>
      <c r="K356" s="2">
        <v>0.93269800000000003</v>
      </c>
      <c r="L356" s="2">
        <f t="shared" si="17"/>
        <v>0.942063875</v>
      </c>
      <c r="M356" s="2">
        <f xml:space="preserve"> _xlfn.STDEV.S(D356:K356) / SQRT(COUNT(D356:K356))</f>
        <v>4.1982858935756696E-3</v>
      </c>
      <c r="N356" s="2">
        <f>M356*$N$2</f>
        <v>4.6985499812659563E-3</v>
      </c>
    </row>
    <row r="357" spans="1:14" x14ac:dyDescent="0.55000000000000004">
      <c r="A357" s="2">
        <v>0.83299999999999996</v>
      </c>
      <c r="C357" s="2" t="s">
        <v>23</v>
      </c>
      <c r="D357" s="2">
        <v>1.46E-4</v>
      </c>
      <c r="E357" s="2">
        <v>7.2099999999999996E-4</v>
      </c>
      <c r="F357" s="2">
        <v>1.3079999999999999E-3</v>
      </c>
      <c r="G357" s="2">
        <v>3.8699999999999997E-4</v>
      </c>
      <c r="H357" s="2">
        <v>1.63E-4</v>
      </c>
      <c r="I357" s="2">
        <v>1.3799999999999999E-4</v>
      </c>
      <c r="J357" s="2">
        <v>2.9999999999999997E-4</v>
      </c>
      <c r="K357" s="2">
        <v>4.6E-5</v>
      </c>
      <c r="L357" s="2">
        <f>(1/COUNT(D357:K357))*SQRT(SUMSQ(D357:K357))</f>
        <v>1.9919835434812207E-4</v>
      </c>
    </row>
    <row r="358" spans="1:14" x14ac:dyDescent="0.55000000000000004">
      <c r="C358" s="2" t="s">
        <v>24</v>
      </c>
      <c r="D358" s="2">
        <v>0.29265799999999997</v>
      </c>
      <c r="E358" s="2">
        <v>0.31074499999999999</v>
      </c>
      <c r="F358" s="2">
        <v>0.35927399999999998</v>
      </c>
      <c r="G358" s="2">
        <v>0.38362499999999999</v>
      </c>
      <c r="H358" s="2">
        <v>0.29877599999999999</v>
      </c>
      <c r="I358" s="2">
        <v>0.34719800000000001</v>
      </c>
      <c r="J358" s="2">
        <v>0.30530800000000002</v>
      </c>
      <c r="K358" s="2">
        <v>0.35903800000000002</v>
      </c>
      <c r="L358" s="2">
        <f>AVERAGE(D358:K358)</f>
        <v>0.33207775</v>
      </c>
      <c r="M358" s="2">
        <f xml:space="preserve"> _xlfn.STDEV.S(D358:K358) / SQRT(COUNT(D358:K358))</f>
        <v>1.2091068883315131E-2</v>
      </c>
      <c r="N358" s="2">
        <f>M358*$N$2</f>
        <v>1.3531830112408173E-2</v>
      </c>
    </row>
    <row r="359" spans="1:14" x14ac:dyDescent="0.55000000000000004">
      <c r="C359" s="2" t="s">
        <v>25</v>
      </c>
      <c r="D359" s="2">
        <v>4.9200000000000003E-4</v>
      </c>
      <c r="E359" s="2">
        <v>2.2569999999999999E-3</v>
      </c>
      <c r="F359" s="2">
        <v>3.2650000000000001E-3</v>
      </c>
      <c r="G359" s="2">
        <v>9.3400000000000004E-4</v>
      </c>
      <c r="H359" s="2">
        <v>5.3300000000000005E-4</v>
      </c>
      <c r="I359" s="2">
        <v>3.6400000000000001E-4</v>
      </c>
      <c r="J359" s="2">
        <v>9.2000000000000003E-4</v>
      </c>
      <c r="K359" s="2">
        <v>1.5300000000000001E-4</v>
      </c>
      <c r="L359" s="2">
        <f>(1/COUNT(D359:K359))*SQRT(SUMSQ(D359:K359))</f>
        <v>5.3260984782484068E-4</v>
      </c>
    </row>
    <row r="360" spans="1:14" x14ac:dyDescent="0.55000000000000004">
      <c r="C360" s="2" t="s">
        <v>26</v>
      </c>
      <c r="D360" s="2">
        <v>0.65720199999999995</v>
      </c>
      <c r="E360" s="2">
        <v>0.76756400000000002</v>
      </c>
      <c r="F360" s="2">
        <v>0.59160400000000002</v>
      </c>
      <c r="G360" s="2">
        <v>0.69998099999999996</v>
      </c>
      <c r="H360" s="2">
        <v>0.648204</v>
      </c>
      <c r="I360" s="2">
        <v>0.63960099999999998</v>
      </c>
      <c r="J360" s="2">
        <v>0.71454300000000004</v>
      </c>
      <c r="K360" s="2">
        <v>0.56362500000000004</v>
      </c>
      <c r="L360" s="2">
        <f>AVERAGE(D360:K360)</f>
        <v>0.6602905</v>
      </c>
      <c r="M360" s="2">
        <f xml:space="preserve"> _xlfn.STDEV.S(D360:K360) / SQRT(COUNT(D360:K360))</f>
        <v>2.3403298472498637E-2</v>
      </c>
      <c r="N360" s="2">
        <f>M360*$N$2</f>
        <v>2.6192015119262415E-2</v>
      </c>
    </row>
    <row r="361" spans="1:14" x14ac:dyDescent="0.55000000000000004">
      <c r="C361" s="2" t="s">
        <v>27</v>
      </c>
      <c r="D361" s="2">
        <v>4.2299999999999998E-4</v>
      </c>
      <c r="E361" s="2">
        <v>1.5100000000000001E-3</v>
      </c>
      <c r="F361" s="2">
        <v>1.274E-3</v>
      </c>
      <c r="G361" s="2">
        <v>1.013E-3</v>
      </c>
      <c r="H361" s="2">
        <v>2.9799999999999998E-4</v>
      </c>
      <c r="I361" s="2">
        <v>2.2800000000000001E-4</v>
      </c>
      <c r="J361" s="2">
        <v>7.76E-4</v>
      </c>
      <c r="K361" s="2">
        <v>1.4899999999999999E-4</v>
      </c>
      <c r="L361" s="2">
        <f>(1/COUNT(D361:K361))*SQRT(SUMSQ(D361:K361))</f>
        <v>3.0293973720032174E-4</v>
      </c>
    </row>
    <row r="362" spans="1:14" x14ac:dyDescent="0.55000000000000004">
      <c r="C362" s="2" t="s">
        <v>28</v>
      </c>
      <c r="D362" s="2">
        <v>2.1738019999999998</v>
      </c>
      <c r="E362" s="2">
        <v>2.5663070000000001</v>
      </c>
      <c r="F362" s="2">
        <v>3.1820689999999998</v>
      </c>
      <c r="G362" s="2">
        <v>3.4673910000000001</v>
      </c>
      <c r="H362" s="2">
        <v>1.722318</v>
      </c>
      <c r="I362" s="2">
        <v>2.9015879999999998</v>
      </c>
      <c r="J362" s="2">
        <v>3.1557949999999999</v>
      </c>
      <c r="K362" s="2">
        <v>2.642722</v>
      </c>
      <c r="L362" s="2">
        <f>AVERAGE(D362:K362)</f>
        <v>2.726499</v>
      </c>
      <c r="M362" s="2">
        <f xml:space="preserve"> _xlfn.STDEV.S(D362:K362) / SQRT(COUNT(D362:K362))</f>
        <v>0.20345013917349447</v>
      </c>
      <c r="N362" s="2">
        <f>M362*$N$2</f>
        <v>0.22769308042240627</v>
      </c>
    </row>
    <row r="363" spans="1:14" x14ac:dyDescent="0.55000000000000004">
      <c r="C363" s="2" t="s">
        <v>29</v>
      </c>
      <c r="D363" s="2">
        <v>4.7689999999999998E-3</v>
      </c>
      <c r="E363" s="2">
        <v>9.6699999999999998E-3</v>
      </c>
      <c r="F363" s="2">
        <v>1.1505E-2</v>
      </c>
      <c r="G363" s="2">
        <v>9.9520000000000008E-3</v>
      </c>
      <c r="H363" s="2">
        <v>2.568E-3</v>
      </c>
      <c r="I363" s="2">
        <v>5.2220000000000001E-3</v>
      </c>
      <c r="J363" s="2">
        <v>7.3410000000000003E-3</v>
      </c>
      <c r="K363" s="2">
        <v>3.0149999999999999E-3</v>
      </c>
      <c r="L363" s="2">
        <f>(1/COUNT(D363:K363))*SQRT(SUMSQ(D363:K363))</f>
        <v>2.6354079499197082E-3</v>
      </c>
    </row>
    <row r="364" spans="1:14" x14ac:dyDescent="0.55000000000000004">
      <c r="C364" s="2" t="s">
        <v>30</v>
      </c>
      <c r="D364" s="2">
        <v>15.542336000000001</v>
      </c>
      <c r="E364" s="2">
        <v>19.868576999999998</v>
      </c>
      <c r="F364" s="2">
        <v>21.886258000000002</v>
      </c>
      <c r="G364" s="2">
        <v>34.473725000000002</v>
      </c>
      <c r="H364" s="2">
        <v>12.380451000000001</v>
      </c>
      <c r="I364" s="2">
        <v>17.467721999999998</v>
      </c>
      <c r="J364" s="2">
        <v>24.311996000000001</v>
      </c>
      <c r="K364" s="2">
        <v>28.418541999999999</v>
      </c>
      <c r="L364" s="2">
        <f>AVERAGE(D364:K364)</f>
        <v>21.793700875000003</v>
      </c>
      <c r="M364" s="2">
        <f xml:space="preserve"> _xlfn.STDEV.S(D364:K364) / SQRT(COUNT(D364:K364))</f>
        <v>2.5394422196569626</v>
      </c>
      <c r="N364" s="2">
        <f>M364*$N$2</f>
        <v>2.8420399410753339</v>
      </c>
    </row>
    <row r="365" spans="1:14" x14ac:dyDescent="0.55000000000000004">
      <c r="C365" s="2" t="s">
        <v>31</v>
      </c>
      <c r="D365" s="2">
        <v>1.6038E-2</v>
      </c>
      <c r="E365" s="2">
        <v>4.0267999999999998E-2</v>
      </c>
      <c r="F365" s="2">
        <v>1.8482999999999999E-2</v>
      </c>
      <c r="G365" s="2">
        <v>2.9513999999999999E-2</v>
      </c>
      <c r="H365" s="2">
        <v>4.1506000000000001E-2</v>
      </c>
      <c r="I365" s="2">
        <v>1.5462999999999999E-2</v>
      </c>
      <c r="J365" s="2">
        <v>5.5432000000000002E-2</v>
      </c>
      <c r="K365" s="2">
        <v>0.66324799999999995</v>
      </c>
      <c r="L365" s="2">
        <f>(1/COUNT(D365:K365))*SQRT(SUMSQ(D365:K365))</f>
        <v>8.3668233899394276E-2</v>
      </c>
    </row>
    <row r="366" spans="1:14" x14ac:dyDescent="0.55000000000000004">
      <c r="B366" s="2" t="s">
        <v>32</v>
      </c>
      <c r="C366" s="2" t="s">
        <v>22</v>
      </c>
      <c r="D366" s="2">
        <v>0.950484</v>
      </c>
      <c r="E366" s="2">
        <v>0.93934899999999999</v>
      </c>
      <c r="F366" s="2">
        <v>0.93087699999999995</v>
      </c>
      <c r="G366" s="2">
        <v>0.92081599999999997</v>
      </c>
      <c r="H366" s="2">
        <v>0.95119699999999996</v>
      </c>
      <c r="I366" s="2">
        <v>0.93606</v>
      </c>
      <c r="J366" s="2">
        <v>0.95163399999999998</v>
      </c>
      <c r="K366" s="2">
        <v>0.93248600000000004</v>
      </c>
      <c r="L366" s="2">
        <f>AVERAGE(D366:K366)</f>
        <v>0.93911287500000007</v>
      </c>
      <c r="M366" s="2">
        <f xml:space="preserve"> _xlfn.STDEV.S(D366:K366) / SQRT(COUNT(D366:K366))</f>
        <v>3.98211106269338E-3</v>
      </c>
      <c r="N366" s="2">
        <f>M366*$N$2</f>
        <v>4.4566159459620679E-3</v>
      </c>
    </row>
    <row r="367" spans="1:14" x14ac:dyDescent="0.55000000000000004">
      <c r="C367" s="2" t="s">
        <v>23</v>
      </c>
      <c r="D367" s="2">
        <v>4.8299999999999998E-4</v>
      </c>
      <c r="E367" s="2">
        <v>1.7080000000000001E-3</v>
      </c>
      <c r="F367" s="2">
        <v>7.5100000000000004E-4</v>
      </c>
      <c r="G367" s="2">
        <v>7.3300000000000004E-4</v>
      </c>
      <c r="H367" s="2">
        <v>1.9100000000000001E-4</v>
      </c>
      <c r="I367" s="2">
        <v>5.5900000000000004E-4</v>
      </c>
      <c r="J367" s="2">
        <v>9.7499999999999996E-4</v>
      </c>
      <c r="K367" s="2">
        <v>1.01E-4</v>
      </c>
      <c r="L367" s="2">
        <f>(1/COUNT(D367:K367))*SQRT(SUMSQ(D367:K367))</f>
        <v>2.9478888102335202E-4</v>
      </c>
    </row>
    <row r="368" spans="1:14" x14ac:dyDescent="0.55000000000000004">
      <c r="C368" s="2" t="s">
        <v>24</v>
      </c>
      <c r="D368" s="2">
        <v>0.30835400000000002</v>
      </c>
      <c r="E368" s="2">
        <v>0.33922799999999997</v>
      </c>
      <c r="F368" s="2">
        <v>0.36387199999999997</v>
      </c>
      <c r="G368" s="2">
        <v>0.390125</v>
      </c>
      <c r="H368" s="2">
        <v>0.307311</v>
      </c>
      <c r="I368" s="2">
        <v>0.35181499999999999</v>
      </c>
      <c r="J368" s="2">
        <v>0.30329899999999999</v>
      </c>
      <c r="K368" s="2">
        <v>0.359624</v>
      </c>
      <c r="L368" s="2">
        <f>AVERAGE(D368:K368)</f>
        <v>0.34045350000000008</v>
      </c>
      <c r="M368" s="2">
        <f xml:space="preserve"> _xlfn.STDEV.S(D368:K368) / SQRT(COUNT(D368:K368))</f>
        <v>1.1198722610509772E-2</v>
      </c>
      <c r="N368" s="2">
        <f>M368*$N$2</f>
        <v>1.2533152635538817E-2</v>
      </c>
    </row>
    <row r="369" spans="2:14" x14ac:dyDescent="0.55000000000000004">
      <c r="C369" s="2" t="s">
        <v>25</v>
      </c>
      <c r="D369" s="2">
        <v>1.2819999999999999E-3</v>
      </c>
      <c r="E369" s="2">
        <v>4.5880000000000001E-3</v>
      </c>
      <c r="F369" s="2">
        <v>1.7440000000000001E-3</v>
      </c>
      <c r="G369" s="2">
        <v>1.683E-3</v>
      </c>
      <c r="H369" s="2">
        <v>5.31E-4</v>
      </c>
      <c r="I369" s="2">
        <v>1.4679999999999999E-3</v>
      </c>
      <c r="J369" s="2">
        <v>2.7829999999999999E-3</v>
      </c>
      <c r="K369" s="2">
        <v>2.81E-4</v>
      </c>
      <c r="L369" s="2">
        <f>(1/COUNT(D369:K369))*SQRT(SUMSQ(D369:K369))</f>
        <v>7.7890475990328881E-4</v>
      </c>
    </row>
    <row r="370" spans="2:14" x14ac:dyDescent="0.55000000000000004">
      <c r="C370" s="2" t="s">
        <v>26</v>
      </c>
      <c r="D370" s="2">
        <v>0.64647299999999996</v>
      </c>
      <c r="E370" s="2">
        <v>0.74791200000000002</v>
      </c>
      <c r="F370" s="2">
        <v>0.59088200000000002</v>
      </c>
      <c r="G370" s="2">
        <v>0.69904200000000005</v>
      </c>
      <c r="H370" s="2">
        <v>0.64097800000000005</v>
      </c>
      <c r="I370" s="2">
        <v>0.63705400000000001</v>
      </c>
      <c r="J370" s="2">
        <v>0.71492100000000003</v>
      </c>
      <c r="K370" s="2">
        <v>0.56319699999999995</v>
      </c>
      <c r="L370" s="2">
        <f>AVERAGE(D370:K370)</f>
        <v>0.65505737499999994</v>
      </c>
      <c r="M370" s="2">
        <f xml:space="preserve"> _xlfn.STDEV.S(D370:K370) / SQRT(COUNT(D370:K370))</f>
        <v>2.2076624384449132E-2</v>
      </c>
      <c r="N370" s="2">
        <f>M370*$N$2</f>
        <v>2.4707255703261325E-2</v>
      </c>
    </row>
    <row r="371" spans="2:14" x14ac:dyDescent="0.55000000000000004">
      <c r="C371" s="2" t="s">
        <v>27</v>
      </c>
      <c r="D371" s="2">
        <v>1.1969999999999999E-3</v>
      </c>
      <c r="E371" s="2">
        <v>3.5460000000000001E-3</v>
      </c>
      <c r="F371" s="2">
        <v>7.5299999999999998E-4</v>
      </c>
      <c r="G371" s="2">
        <v>2.114E-3</v>
      </c>
      <c r="H371" s="2">
        <v>4.2200000000000001E-4</v>
      </c>
      <c r="I371" s="2">
        <v>1.1509999999999999E-3</v>
      </c>
      <c r="J371" s="2">
        <v>2.2000000000000001E-3</v>
      </c>
      <c r="K371" s="2">
        <v>1.8000000000000001E-4</v>
      </c>
      <c r="L371" s="2">
        <f>(1/COUNT(D371:K371))*SQRT(SUMSQ(D371:K371))</f>
        <v>6.3020600550534273E-4</v>
      </c>
    </row>
    <row r="372" spans="2:14" x14ac:dyDescent="0.55000000000000004">
      <c r="C372" s="2" t="s">
        <v>28</v>
      </c>
      <c r="D372" s="2">
        <v>2.4335040000000001</v>
      </c>
      <c r="E372" s="2">
        <v>2.7738480000000001</v>
      </c>
      <c r="F372" s="2">
        <v>3.2060940000000002</v>
      </c>
      <c r="G372" s="2">
        <v>3.486459</v>
      </c>
      <c r="H372" s="2">
        <v>1.7747189999999999</v>
      </c>
      <c r="I372" s="2">
        <v>3.070128</v>
      </c>
      <c r="J372" s="2">
        <v>3.1342430000000001</v>
      </c>
      <c r="K372" s="2">
        <v>2.6615099999999998</v>
      </c>
      <c r="L372" s="2">
        <f>AVERAGE(D372:K372)</f>
        <v>2.8175631249999999</v>
      </c>
      <c r="M372" s="2">
        <f xml:space="preserve"> _xlfn.STDEV.S(D372:K372) / SQRT(COUNT(D372:K372))</f>
        <v>0.19010062947277187</v>
      </c>
      <c r="N372" s="2">
        <f>M372*$N$2</f>
        <v>0.21275285478169398</v>
      </c>
    </row>
    <row r="373" spans="2:14" x14ac:dyDescent="0.55000000000000004">
      <c r="C373" s="2" t="s">
        <v>29</v>
      </c>
      <c r="D373" s="2">
        <v>2.6619E-2</v>
      </c>
      <c r="E373" s="2">
        <v>2.4861000000000001E-2</v>
      </c>
      <c r="F373" s="2">
        <v>8.9379999999999998E-3</v>
      </c>
      <c r="G373" s="2">
        <v>2.4729999999999999E-2</v>
      </c>
      <c r="H373" s="2">
        <v>3.6900000000000001E-3</v>
      </c>
      <c r="I373" s="2">
        <v>2.2665000000000001E-2</v>
      </c>
      <c r="J373" s="2">
        <v>2.1663999999999999E-2</v>
      </c>
      <c r="K373" s="2">
        <v>2.464E-3</v>
      </c>
      <c r="L373" s="2">
        <f>(1/COUNT(D373:K373))*SQRT(SUMSQ(D373:K373))</f>
        <v>6.8702480657087629E-3</v>
      </c>
    </row>
    <row r="374" spans="2:14" x14ac:dyDescent="0.55000000000000004">
      <c r="C374" s="2" t="s">
        <v>30</v>
      </c>
      <c r="D374" s="2">
        <v>16.776322</v>
      </c>
      <c r="E374" s="2">
        <v>20.052831000000001</v>
      </c>
      <c r="F374" s="2">
        <v>21.854149</v>
      </c>
      <c r="G374" s="2">
        <v>35.844439000000001</v>
      </c>
      <c r="H374" s="2">
        <v>12.836240999999999</v>
      </c>
      <c r="I374" s="2">
        <v>18.170169999999999</v>
      </c>
      <c r="J374" s="2">
        <v>25.102392999999999</v>
      </c>
      <c r="K374" s="2">
        <v>29.237431999999998</v>
      </c>
      <c r="L374" s="2">
        <f>AVERAGE(D374:K374)</f>
        <v>22.484247125000003</v>
      </c>
      <c r="M374" s="2">
        <f xml:space="preserve"> _xlfn.STDEV.S(D374:K374) / SQRT(COUNT(D374:K374))</f>
        <v>2.6102114774636771</v>
      </c>
      <c r="N374" s="2">
        <f>M374*$N$2</f>
        <v>2.9212420019570771</v>
      </c>
    </row>
    <row r="375" spans="2:14" x14ac:dyDescent="0.55000000000000004">
      <c r="C375" s="2" t="s">
        <v>31</v>
      </c>
      <c r="D375" s="2">
        <v>5.5386999999999999E-2</v>
      </c>
      <c r="E375" s="2">
        <v>6.3801999999999998E-2</v>
      </c>
      <c r="F375" s="2">
        <v>3.0224000000000001E-2</v>
      </c>
      <c r="G375" s="2">
        <v>0.13894300000000001</v>
      </c>
      <c r="H375" s="2">
        <v>2.2293E-2</v>
      </c>
      <c r="I375" s="2">
        <v>5.8906E-2</v>
      </c>
      <c r="J375" s="2">
        <v>0.215394</v>
      </c>
      <c r="K375" s="2">
        <v>0.25339899999999999</v>
      </c>
      <c r="L375" s="2">
        <f>(1/COUNT(D375:K375))*SQRT(SUMSQ(D375:K375))</f>
        <v>4.7091928966119023E-2</v>
      </c>
    </row>
    <row r="376" spans="2:14" x14ac:dyDescent="0.55000000000000004">
      <c r="B376" s="2" t="s">
        <v>33</v>
      </c>
      <c r="C376" s="2" t="s">
        <v>22</v>
      </c>
      <c r="D376" s="2">
        <v>0.95581899999999997</v>
      </c>
      <c r="E376" s="2">
        <v>0.94942499999999996</v>
      </c>
      <c r="F376" s="2">
        <v>0.93119300000000005</v>
      </c>
      <c r="G376" s="2">
        <v>0.92236700000000005</v>
      </c>
      <c r="H376" s="2">
        <v>0.95398899999999998</v>
      </c>
      <c r="I376" s="2">
        <v>0.93797699999999995</v>
      </c>
      <c r="J376" s="2">
        <v>0.948407</v>
      </c>
      <c r="K376" s="2">
        <v>0.93304600000000004</v>
      </c>
      <c r="L376" s="2">
        <f>AVERAGE(D376:K376)</f>
        <v>0.9415278749999999</v>
      </c>
      <c r="M376" s="2">
        <f xml:space="preserve"> _xlfn.STDEV.S(D376:K376) / SQRT(COUNT(D376:K376))</f>
        <v>4.283903683047147E-3</v>
      </c>
      <c r="N376" s="2">
        <f>M376*$N$2</f>
        <v>4.7943699119030823E-3</v>
      </c>
    </row>
    <row r="377" spans="2:14" x14ac:dyDescent="0.55000000000000004">
      <c r="C377" s="2" t="s">
        <v>23</v>
      </c>
      <c r="D377" s="2">
        <v>4.6E-5</v>
      </c>
      <c r="E377" s="2">
        <v>1.6000000000000001E-4</v>
      </c>
      <c r="F377" s="2">
        <v>8.2999999999999998E-5</v>
      </c>
      <c r="G377" s="2">
        <v>1.3200000000000001E-4</v>
      </c>
      <c r="H377" s="2">
        <v>5.3999999999999998E-5</v>
      </c>
      <c r="I377" s="2">
        <v>7.4999999999999993E-5</v>
      </c>
      <c r="J377" s="2">
        <v>1.3200000000000001E-4</v>
      </c>
      <c r="K377" s="2">
        <v>2.8E-5</v>
      </c>
      <c r="L377" s="2">
        <f>(1/COUNT(D377:K377))*SQRT(SUMSQ(D377:K377))</f>
        <v>3.5084273542429239E-5</v>
      </c>
    </row>
    <row r="378" spans="2:14" x14ac:dyDescent="0.55000000000000004">
      <c r="C378" s="2" t="s">
        <v>24</v>
      </c>
      <c r="D378" s="2">
        <v>0.29223100000000002</v>
      </c>
      <c r="E378" s="2">
        <v>0.31078699999999998</v>
      </c>
      <c r="F378" s="2">
        <v>0.36296200000000001</v>
      </c>
      <c r="G378" s="2">
        <v>0.38612800000000003</v>
      </c>
      <c r="H378" s="2">
        <v>0.29888599999999999</v>
      </c>
      <c r="I378" s="2">
        <v>0.34694599999999998</v>
      </c>
      <c r="J378" s="2">
        <v>0.31070300000000001</v>
      </c>
      <c r="K378" s="2">
        <v>0.357991</v>
      </c>
      <c r="L378" s="2">
        <f>AVERAGE(D378:K378)</f>
        <v>0.33332925000000002</v>
      </c>
      <c r="M378" s="2">
        <f xml:space="preserve"> _xlfn.STDEV.S(D378:K378) / SQRT(COUNT(D378:K378))</f>
        <v>1.2214547470931657E-2</v>
      </c>
      <c r="N378" s="2">
        <f>M378*$N$2</f>
        <v>1.3670022300896378E-2</v>
      </c>
    </row>
    <row r="379" spans="2:14" x14ac:dyDescent="0.55000000000000004">
      <c r="C379" s="2" t="s">
        <v>25</v>
      </c>
      <c r="D379" s="2">
        <v>1.4100000000000001E-4</v>
      </c>
      <c r="E379" s="2">
        <v>4.84E-4</v>
      </c>
      <c r="F379" s="2">
        <v>1.95E-4</v>
      </c>
      <c r="G379" s="2">
        <v>3.19E-4</v>
      </c>
      <c r="H379" s="2">
        <v>1.7000000000000001E-4</v>
      </c>
      <c r="I379" s="2">
        <v>2.0599999999999999E-4</v>
      </c>
      <c r="J379" s="2">
        <v>3.3700000000000001E-4</v>
      </c>
      <c r="K379" s="2">
        <v>7.2999999999999999E-5</v>
      </c>
      <c r="L379" s="2">
        <f>(1/COUNT(D379:K379))*SQRT(SUMSQ(D379:K379))</f>
        <v>9.5537705252952355E-5</v>
      </c>
    </row>
    <row r="380" spans="2:14" x14ac:dyDescent="0.55000000000000004">
      <c r="C380" s="2" t="s">
        <v>26</v>
      </c>
      <c r="D380" s="2">
        <v>0.657586</v>
      </c>
      <c r="E380" s="2">
        <v>0.76714700000000002</v>
      </c>
      <c r="F380" s="2">
        <v>0.59177000000000002</v>
      </c>
      <c r="G380" s="2">
        <v>0.69761600000000001</v>
      </c>
      <c r="H380" s="2">
        <v>0.64825900000000003</v>
      </c>
      <c r="I380" s="2">
        <v>0.63984799999999997</v>
      </c>
      <c r="J380" s="2">
        <v>0.71025199999999999</v>
      </c>
      <c r="K380" s="2">
        <v>0.56471499999999997</v>
      </c>
      <c r="L380" s="2">
        <f>AVERAGE(D380:K380)</f>
        <v>0.65964912499999995</v>
      </c>
      <c r="M380" s="2">
        <f xml:space="preserve"> _xlfn.STDEV.S(D380:K380) / SQRT(COUNT(D380:K380))</f>
        <v>2.3031061079424819E-2</v>
      </c>
      <c r="N380" s="2">
        <f>M380*$N$2</f>
        <v>2.5775422242886415E-2</v>
      </c>
    </row>
    <row r="381" spans="2:14" x14ac:dyDescent="0.55000000000000004">
      <c r="C381" s="2" t="s">
        <v>27</v>
      </c>
      <c r="D381" s="2">
        <v>1.3899999999999999E-4</v>
      </c>
      <c r="E381" s="2">
        <v>3.4200000000000002E-4</v>
      </c>
      <c r="F381" s="2">
        <v>8.1000000000000004E-5</v>
      </c>
      <c r="G381" s="2">
        <v>3.5500000000000001E-4</v>
      </c>
      <c r="H381" s="2">
        <v>1.35E-4</v>
      </c>
      <c r="I381" s="2">
        <v>1.5699999999999999E-4</v>
      </c>
      <c r="J381" s="2">
        <v>2.4800000000000001E-4</v>
      </c>
      <c r="K381" s="2">
        <v>5.5000000000000002E-5</v>
      </c>
      <c r="L381" s="2">
        <f>(1/COUNT(D381:K381))*SQRT(SUMSQ(D381:K381))</f>
        <v>7.6676471293350479E-5</v>
      </c>
    </row>
    <row r="382" spans="2:14" x14ac:dyDescent="0.55000000000000004">
      <c r="C382" s="2" t="s">
        <v>28</v>
      </c>
      <c r="D382" s="2">
        <v>2.169543</v>
      </c>
      <c r="E382" s="2">
        <v>2.5659900000000002</v>
      </c>
      <c r="F382" s="2">
        <v>3.1775570000000002</v>
      </c>
      <c r="G382" s="2">
        <v>3.4957069999999999</v>
      </c>
      <c r="H382" s="2">
        <v>1.7215050000000001</v>
      </c>
      <c r="I382" s="2">
        <v>2.8924569999999998</v>
      </c>
      <c r="J382" s="2">
        <v>3.2023950000000001</v>
      </c>
      <c r="K382" s="2">
        <v>2.6271599999999999</v>
      </c>
      <c r="L382" s="2">
        <f>AVERAGE(D382:K382)</f>
        <v>2.73153925</v>
      </c>
      <c r="M382" s="2">
        <f xml:space="preserve"> _xlfn.STDEV.S(D382:K382) / SQRT(COUNT(D382:K382))</f>
        <v>0.20722634261932982</v>
      </c>
      <c r="N382" s="2">
        <f>M382*$N$2</f>
        <v>0.23191925297936253</v>
      </c>
    </row>
    <row r="383" spans="2:14" x14ac:dyDescent="0.55000000000000004">
      <c r="C383" s="2" t="s">
        <v>29</v>
      </c>
      <c r="D383" s="2">
        <v>1.619E-3</v>
      </c>
      <c r="E383" s="2">
        <v>2.271E-3</v>
      </c>
      <c r="F383" s="2">
        <v>9.8999999999999999E-4</v>
      </c>
      <c r="G383" s="2">
        <v>3.9849999999999998E-3</v>
      </c>
      <c r="H383" s="2">
        <v>1.157E-3</v>
      </c>
      <c r="I383" s="2">
        <v>2.5500000000000002E-3</v>
      </c>
      <c r="J383" s="2">
        <v>3.2989999999999998E-3</v>
      </c>
      <c r="K383" s="2">
        <v>6.4700000000000001E-4</v>
      </c>
      <c r="L383" s="2">
        <f>(1/COUNT(D383:K383))*SQRT(SUMSQ(D383:K383))</f>
        <v>8.2710041334169344E-4</v>
      </c>
    </row>
    <row r="384" spans="2:14" x14ac:dyDescent="0.55000000000000004">
      <c r="C384" s="2" t="s">
        <v>30</v>
      </c>
      <c r="D384" s="2">
        <v>15.530847</v>
      </c>
      <c r="E384" s="2">
        <v>19.872565999999999</v>
      </c>
      <c r="F384" s="2">
        <v>21.638840999999999</v>
      </c>
      <c r="G384" s="2">
        <v>34.491838999999999</v>
      </c>
      <c r="H384" s="2">
        <v>12.315674</v>
      </c>
      <c r="I384" s="2">
        <v>17.399322000000002</v>
      </c>
      <c r="J384" s="2">
        <v>24.641826999999999</v>
      </c>
      <c r="K384" s="2">
        <v>27.000039999999998</v>
      </c>
      <c r="L384" s="2">
        <f>AVERAGE(D384:K384)</f>
        <v>21.611369500000002</v>
      </c>
      <c r="M384" s="2">
        <f xml:space="preserve"> _xlfn.STDEV.S(D384:K384) / SQRT(COUNT(D384:K384))</f>
        <v>2.4938359082811306</v>
      </c>
      <c r="N384" s="2">
        <f>M384*$N$2</f>
        <v>2.7909992213881805</v>
      </c>
    </row>
    <row r="385" spans="2:14" x14ac:dyDescent="0.55000000000000004">
      <c r="C385" s="2" t="s">
        <v>31</v>
      </c>
      <c r="D385" s="2">
        <v>6.3049999999999998E-3</v>
      </c>
      <c r="E385" s="2">
        <v>1.0787E-2</v>
      </c>
      <c r="F385" s="2">
        <v>3.7439999999999999E-3</v>
      </c>
      <c r="G385" s="2">
        <v>2.3040000000000001E-2</v>
      </c>
      <c r="H385" s="2">
        <v>8.2310000000000005E-3</v>
      </c>
      <c r="I385" s="2">
        <v>7.5459999999999998E-3</v>
      </c>
      <c r="J385" s="2">
        <v>1.7124E-2</v>
      </c>
      <c r="K385" s="2">
        <v>6.3288999999999998E-2</v>
      </c>
      <c r="L385" s="2">
        <f>(1/COUNT(D385:K385))*SQRT(SUMSQ(D385:K385))</f>
        <v>8.9481072579624347E-3</v>
      </c>
    </row>
    <row r="386" spans="2:14" x14ac:dyDescent="0.55000000000000004">
      <c r="B386" s="2" t="s">
        <v>34</v>
      </c>
      <c r="C386" s="2" t="s">
        <v>22</v>
      </c>
      <c r="D386" s="2">
        <v>0.94812399999999997</v>
      </c>
      <c r="E386" s="2">
        <v>0.94605499999999998</v>
      </c>
      <c r="F386" s="2">
        <v>0.93244300000000002</v>
      </c>
      <c r="G386" s="2">
        <v>0.92254000000000003</v>
      </c>
      <c r="H386" s="2">
        <v>0.94906199999999996</v>
      </c>
      <c r="I386" s="2">
        <v>0.93877900000000003</v>
      </c>
      <c r="J386" s="2">
        <v>0.95222799999999996</v>
      </c>
      <c r="K386" s="2">
        <v>0.93237499999999995</v>
      </c>
      <c r="L386" s="2">
        <f>AVERAGE(D386:K386)</f>
        <v>0.94020075000000003</v>
      </c>
      <c r="M386" s="2">
        <f xml:space="preserve"> _xlfn.STDEV.S(D386:K386) / SQRT(COUNT(D386:K386))</f>
        <v>3.6732020371002044E-3</v>
      </c>
      <c r="N386" s="2">
        <f>M386*$N$2</f>
        <v>4.1108975901362511E-3</v>
      </c>
    </row>
    <row r="387" spans="2:14" x14ac:dyDescent="0.55000000000000004">
      <c r="C387" s="2" t="s">
        <v>23</v>
      </c>
      <c r="D387" s="2">
        <v>1.6249999999999999E-3</v>
      </c>
      <c r="E387" s="2">
        <v>6.2E-4</v>
      </c>
      <c r="F387" s="2">
        <v>6.4400000000000004E-4</v>
      </c>
      <c r="G387" s="2">
        <v>6.9899999999999997E-4</v>
      </c>
      <c r="H387" s="2">
        <v>3.5599999999999998E-4</v>
      </c>
      <c r="I387" s="2">
        <v>5.7600000000000001E-4</v>
      </c>
      <c r="J387" s="2">
        <v>1.126E-3</v>
      </c>
      <c r="K387" s="2">
        <v>1.1E-4</v>
      </c>
      <c r="L387" s="2">
        <f>(1/COUNT(D387:K387))*SQRT(SUMSQ(D387:K387))</f>
        <v>2.9756433127980914E-4</v>
      </c>
    </row>
    <row r="388" spans="2:14" x14ac:dyDescent="0.55000000000000004">
      <c r="C388" s="2" t="s">
        <v>24</v>
      </c>
      <c r="D388" s="2">
        <v>0.31539600000000001</v>
      </c>
      <c r="E388" s="2">
        <v>0.32062299999999999</v>
      </c>
      <c r="F388" s="2">
        <v>0.360157</v>
      </c>
      <c r="G388" s="2">
        <v>0.385793</v>
      </c>
      <c r="H388" s="2">
        <v>0.31315900000000002</v>
      </c>
      <c r="I388" s="2">
        <v>0.34430500000000003</v>
      </c>
      <c r="J388" s="2">
        <v>0.30065599999999998</v>
      </c>
      <c r="K388" s="2">
        <v>0.36002800000000001</v>
      </c>
      <c r="L388" s="2">
        <f>AVERAGE(D388:K388)</f>
        <v>0.33751462499999996</v>
      </c>
      <c r="M388" s="2">
        <f xml:space="preserve"> _xlfn.STDEV.S(D388:K388) / SQRT(COUNT(D388:K388))</f>
        <v>1.0456333656376987E-2</v>
      </c>
      <c r="N388" s="2">
        <f>M388*$N$2</f>
        <v>1.1702301260726463E-2</v>
      </c>
    </row>
    <row r="389" spans="2:14" x14ac:dyDescent="0.55000000000000004">
      <c r="C389" s="2" t="s">
        <v>25</v>
      </c>
      <c r="D389" s="2">
        <v>4.4349999999999997E-3</v>
      </c>
      <c r="E389" s="2">
        <v>1.719E-3</v>
      </c>
      <c r="F389" s="2">
        <v>1.5770000000000001E-3</v>
      </c>
      <c r="G389" s="2">
        <v>1.6100000000000001E-3</v>
      </c>
      <c r="H389" s="2">
        <v>1.013E-3</v>
      </c>
      <c r="I389" s="2">
        <v>1.5510000000000001E-3</v>
      </c>
      <c r="J389" s="2">
        <v>3.1830000000000001E-3</v>
      </c>
      <c r="K389" s="2">
        <v>2.9300000000000002E-4</v>
      </c>
      <c r="L389" s="2">
        <f>(1/COUNT(D389:K389))*SQRT(SUMSQ(D389:K389))</f>
        <v>8.038221487835477E-4</v>
      </c>
    </row>
    <row r="390" spans="2:14" x14ac:dyDescent="0.55000000000000004">
      <c r="C390" s="2" t="s">
        <v>26</v>
      </c>
      <c r="D390" s="2">
        <v>0.63904899999999998</v>
      </c>
      <c r="E390" s="2">
        <v>0.76022900000000004</v>
      </c>
      <c r="F390" s="2">
        <v>0.59280900000000003</v>
      </c>
      <c r="G390" s="2">
        <v>0.69519799999999998</v>
      </c>
      <c r="H390" s="2">
        <v>0.635745</v>
      </c>
      <c r="I390" s="2">
        <v>0.64183900000000005</v>
      </c>
      <c r="J390" s="2">
        <v>0.71752199999999999</v>
      </c>
      <c r="K390" s="2">
        <v>0.56275200000000003</v>
      </c>
      <c r="L390" s="2">
        <f>AVERAGE(D390:K390)</f>
        <v>0.65564287499999996</v>
      </c>
      <c r="M390" s="2">
        <f xml:space="preserve"> _xlfn.STDEV.S(D390:K390) / SQRT(COUNT(D390:K390))</f>
        <v>2.305681304442626E-2</v>
      </c>
      <c r="N390" s="2">
        <f>M390*$N$2</f>
        <v>2.5804242789591019E-2</v>
      </c>
    </row>
    <row r="391" spans="2:14" x14ac:dyDescent="0.55000000000000004">
      <c r="C391" s="2" t="s">
        <v>27</v>
      </c>
      <c r="D391" s="2">
        <v>4.3990000000000001E-3</v>
      </c>
      <c r="E391" s="2">
        <v>1.2719999999999999E-3</v>
      </c>
      <c r="F391" s="2">
        <v>7.4299999999999995E-4</v>
      </c>
      <c r="G391" s="2">
        <v>1.6850000000000001E-3</v>
      </c>
      <c r="H391" s="2">
        <v>8.2899999999999998E-4</v>
      </c>
      <c r="I391" s="2">
        <v>1.2800000000000001E-3</v>
      </c>
      <c r="J391" s="2">
        <v>2.5460000000000001E-3</v>
      </c>
      <c r="K391" s="2">
        <v>2.3599999999999999E-4</v>
      </c>
      <c r="L391" s="2">
        <f>(1/COUNT(D391:K391))*SQRT(SUMSQ(D391:K391))</f>
        <v>7.2050234211971866E-4</v>
      </c>
    </row>
    <row r="392" spans="2:14" x14ac:dyDescent="0.55000000000000004">
      <c r="C392" s="2" t="s">
        <v>28</v>
      </c>
      <c r="D392" s="2">
        <v>2.503466</v>
      </c>
      <c r="E392" s="2">
        <v>2.6157840000000001</v>
      </c>
      <c r="F392" s="2">
        <v>3.1882950000000001</v>
      </c>
      <c r="G392" s="2">
        <v>3.5186890000000002</v>
      </c>
      <c r="H392" s="2">
        <v>1.832225</v>
      </c>
      <c r="I392" s="2">
        <v>2.9305940000000001</v>
      </c>
      <c r="J392" s="2">
        <v>3.1166930000000002</v>
      </c>
      <c r="K392" s="2">
        <v>2.6574960000000001</v>
      </c>
      <c r="L392" s="2">
        <f>AVERAGE(D392:K392)</f>
        <v>2.79540525</v>
      </c>
      <c r="M392" s="2">
        <f xml:space="preserve"> _xlfn.STDEV.S(D392:K392) / SQRT(COUNT(D392:K392))</f>
        <v>0.18240609274087122</v>
      </c>
      <c r="N392" s="2">
        <f>M392*$N$2</f>
        <v>0.20414144375967555</v>
      </c>
    </row>
    <row r="393" spans="2:14" x14ac:dyDescent="0.55000000000000004">
      <c r="C393" s="2" t="s">
        <v>29</v>
      </c>
      <c r="D393" s="2">
        <v>7.2512999999999994E-2</v>
      </c>
      <c r="E393" s="2">
        <v>8.5500000000000003E-3</v>
      </c>
      <c r="F393" s="2">
        <v>6.8729999999999998E-3</v>
      </c>
      <c r="G393" s="2">
        <v>2.383E-2</v>
      </c>
      <c r="H393" s="2">
        <v>7.4359999999999999E-3</v>
      </c>
      <c r="I393" s="2">
        <v>2.6471000000000001E-2</v>
      </c>
      <c r="J393" s="2">
        <v>2.5922000000000001E-2</v>
      </c>
      <c r="K393" s="2">
        <v>2.7720000000000002E-3</v>
      </c>
      <c r="L393" s="2">
        <f>(1/COUNT(D393:K393))*SQRT(SUMSQ(D393:K393))</f>
        <v>1.0739811089324383E-2</v>
      </c>
    </row>
    <row r="394" spans="2:14" x14ac:dyDescent="0.55000000000000004">
      <c r="C394" s="2" t="s">
        <v>30</v>
      </c>
      <c r="D394" s="2">
        <v>16.868645000000001</v>
      </c>
      <c r="E394" s="2">
        <v>20.116738999999999</v>
      </c>
      <c r="F394" s="2">
        <v>22.199808000000001</v>
      </c>
      <c r="G394" s="2">
        <v>36.050384000000001</v>
      </c>
      <c r="H394" s="2">
        <v>13.106771999999999</v>
      </c>
      <c r="I394" s="2">
        <v>17.80059</v>
      </c>
      <c r="J394" s="2">
        <v>24.678951000000001</v>
      </c>
      <c r="K394" s="2">
        <v>28.513424000000001</v>
      </c>
      <c r="L394" s="2">
        <f>AVERAGE(D394:K394)</f>
        <v>22.416914125000005</v>
      </c>
      <c r="M394" s="2">
        <f xml:space="preserve"> _xlfn.STDEV.S(D394:K394) / SQRT(COUNT(D394:K394))</f>
        <v>2.5782959838044794</v>
      </c>
      <c r="N394" s="2">
        <f>M394*$N$2</f>
        <v>2.8855234858922265</v>
      </c>
    </row>
    <row r="395" spans="2:14" x14ac:dyDescent="0.55000000000000004">
      <c r="C395" s="2" t="s">
        <v>31</v>
      </c>
      <c r="D395" s="2">
        <v>0.105591</v>
      </c>
      <c r="E395" s="2">
        <v>0.12773899999999999</v>
      </c>
      <c r="F395" s="2">
        <v>2.4476000000000001E-2</v>
      </c>
      <c r="G395" s="2">
        <v>0.16611100000000001</v>
      </c>
      <c r="H395" s="2">
        <v>4.2077000000000003E-2</v>
      </c>
      <c r="I395" s="2">
        <v>8.1155000000000005E-2</v>
      </c>
      <c r="J395" s="2">
        <v>0.20059199999999999</v>
      </c>
      <c r="K395" s="2">
        <v>0.24853800000000001</v>
      </c>
      <c r="L395" s="2">
        <f>(1/COUNT(D395:K395))*SQRT(SUMSQ(D395:K395))</f>
        <v>5.0932483826784114E-2</v>
      </c>
    </row>
    <row r="396" spans="2:14" x14ac:dyDescent="0.55000000000000004">
      <c r="B396" s="2" t="s">
        <v>35</v>
      </c>
      <c r="C396" s="2" t="s">
        <v>22</v>
      </c>
      <c r="D396" s="2">
        <v>0.94814500000000002</v>
      </c>
      <c r="E396" s="2">
        <v>0.93744300000000003</v>
      </c>
      <c r="F396" s="2">
        <v>0.92615099999999995</v>
      </c>
      <c r="G396" s="2">
        <v>0.92036399999999996</v>
      </c>
      <c r="H396" s="2">
        <v>0.94841600000000004</v>
      </c>
      <c r="I396" s="2">
        <v>0.93010999999999999</v>
      </c>
      <c r="J396" s="2">
        <v>0.94093099999999996</v>
      </c>
      <c r="K396" s="2">
        <v>0.92921600000000004</v>
      </c>
      <c r="L396" s="2">
        <f>AVERAGE(D396:K396)</f>
        <v>0.93509700000000007</v>
      </c>
      <c r="M396" s="2">
        <f xml:space="preserve"> _xlfn.STDEV.S(D396:K396) / SQRT(COUNT(D396:K396))</f>
        <v>3.6443054207900916E-3</v>
      </c>
      <c r="N396" s="2">
        <f>M396*$N$2</f>
        <v>4.0785576782140327E-3</v>
      </c>
    </row>
    <row r="397" spans="2:14" x14ac:dyDescent="0.55000000000000004">
      <c r="C397" s="2" t="s">
        <v>23</v>
      </c>
      <c r="D397" s="2">
        <v>2.0100000000000001E-4</v>
      </c>
      <c r="E397" s="2">
        <v>6.3599999999999996E-4</v>
      </c>
      <c r="F397" s="2">
        <v>2.1699999999999999E-4</v>
      </c>
      <c r="G397" s="2">
        <v>3.5399999999999999E-4</v>
      </c>
      <c r="H397" s="2">
        <v>2.0000000000000001E-4</v>
      </c>
      <c r="I397" s="2">
        <v>3.2000000000000003E-4</v>
      </c>
      <c r="J397" s="2">
        <v>3.59E-4</v>
      </c>
      <c r="K397" s="2">
        <v>8.6000000000000003E-5</v>
      </c>
      <c r="L397" s="2">
        <f>(1/COUNT(D397:K397))*SQRT(SUMSQ(D397:K397))</f>
        <v>1.1832020907266857E-4</v>
      </c>
    </row>
    <row r="398" spans="2:14" x14ac:dyDescent="0.55000000000000004">
      <c r="C398" s="2" t="s">
        <v>24</v>
      </c>
      <c r="D398" s="2">
        <v>0.31301899999999999</v>
      </c>
      <c r="E398" s="2">
        <v>0.34123100000000001</v>
      </c>
      <c r="F398" s="2">
        <v>0.37461</v>
      </c>
      <c r="G398" s="2">
        <v>0.39068900000000001</v>
      </c>
      <c r="H398" s="2">
        <v>0.31517499999999998</v>
      </c>
      <c r="I398" s="2">
        <v>0.36785200000000001</v>
      </c>
      <c r="J398" s="2">
        <v>0.33027899999999999</v>
      </c>
      <c r="K398" s="2">
        <v>0.36886999999999998</v>
      </c>
      <c r="L398" s="2">
        <f>AVERAGE(D398:K398)</f>
        <v>0.35021562499999997</v>
      </c>
      <c r="M398" s="2">
        <f xml:space="preserve"> _xlfn.STDEV.S(D398:K398) / SQRT(COUNT(D398:K398))</f>
        <v>1.0335301726775187E-2</v>
      </c>
      <c r="N398" s="2">
        <f>M398*$N$2</f>
        <v>1.1566847271889419E-2</v>
      </c>
    </row>
    <row r="399" spans="2:14" x14ac:dyDescent="0.55000000000000004">
      <c r="C399" s="2" t="s">
        <v>25</v>
      </c>
      <c r="D399" s="2">
        <v>5.7799999999999995E-4</v>
      </c>
      <c r="E399" s="2">
        <v>1.6770000000000001E-3</v>
      </c>
      <c r="F399" s="2">
        <v>4.9799999999999996E-4</v>
      </c>
      <c r="G399" s="2">
        <v>8.2399999999999997E-4</v>
      </c>
      <c r="H399" s="2">
        <v>5.6800000000000004E-4</v>
      </c>
      <c r="I399" s="2">
        <v>8.1499999999999997E-4</v>
      </c>
      <c r="J399" s="2">
        <v>9.3099999999999997E-4</v>
      </c>
      <c r="K399" s="2">
        <v>2.13E-4</v>
      </c>
      <c r="L399" s="2">
        <f>(1/COUNT(D399:K399))*SQRT(SUMSQ(D399:K399))</f>
        <v>3.0548046173200664E-4</v>
      </c>
    </row>
    <row r="400" spans="2:14" x14ac:dyDescent="0.55000000000000004">
      <c r="C400" s="2" t="s">
        <v>26</v>
      </c>
      <c r="D400" s="2">
        <v>0.63874699999999995</v>
      </c>
      <c r="E400" s="2">
        <v>0.74414999999999998</v>
      </c>
      <c r="F400" s="2">
        <v>0.58682599999999996</v>
      </c>
      <c r="G400" s="2">
        <v>0.69056899999999999</v>
      </c>
      <c r="H400" s="2">
        <v>0.63415600000000005</v>
      </c>
      <c r="I400" s="2">
        <v>0.62302199999999996</v>
      </c>
      <c r="J400" s="2">
        <v>0.69417399999999996</v>
      </c>
      <c r="K400" s="2">
        <v>0.55277600000000005</v>
      </c>
      <c r="L400" s="2">
        <f>AVERAGE(D400:K400)</f>
        <v>0.64555249999999997</v>
      </c>
      <c r="M400" s="2">
        <f xml:space="preserve"> _xlfn.STDEV.S(D400:K400) / SQRT(COUNT(D400:K400))</f>
        <v>2.1897529935719098E-2</v>
      </c>
      <c r="N400" s="2">
        <f>M400*$N$2</f>
        <v>2.4506820516126262E-2</v>
      </c>
    </row>
    <row r="401" spans="2:14" x14ac:dyDescent="0.55000000000000004">
      <c r="C401" s="2" t="s">
        <v>27</v>
      </c>
      <c r="D401" s="2">
        <v>5.4299999999999997E-4</v>
      </c>
      <c r="E401" s="2">
        <v>1.261E-3</v>
      </c>
      <c r="F401" s="2">
        <v>2.1800000000000001E-4</v>
      </c>
      <c r="G401" s="2">
        <v>1.0499999999999999E-3</v>
      </c>
      <c r="H401" s="2">
        <v>4.3199999999999998E-4</v>
      </c>
      <c r="I401" s="2">
        <v>5.5000000000000003E-4</v>
      </c>
      <c r="J401" s="2">
        <v>6.7000000000000002E-4</v>
      </c>
      <c r="K401" s="2">
        <v>1.46E-4</v>
      </c>
      <c r="L401" s="2">
        <f>(1/COUNT(D401:K401))*SQRT(SUMSQ(D401:K401))</f>
        <v>2.4982287475329396E-4</v>
      </c>
    </row>
    <row r="402" spans="2:14" x14ac:dyDescent="0.55000000000000004">
      <c r="C402" s="2" t="s">
        <v>28</v>
      </c>
      <c r="D402" s="2">
        <v>2.4937809999999998</v>
      </c>
      <c r="E402" s="2">
        <v>2.7576149999999999</v>
      </c>
      <c r="F402" s="2">
        <v>3.2392789999999998</v>
      </c>
      <c r="G402" s="2">
        <v>3.503762</v>
      </c>
      <c r="H402" s="2">
        <v>1.8417760000000001</v>
      </c>
      <c r="I402" s="2">
        <v>3.3190189999999999</v>
      </c>
      <c r="J402" s="2">
        <v>3.2952210000000002</v>
      </c>
      <c r="K402" s="2">
        <v>2.910228</v>
      </c>
      <c r="L402" s="2">
        <f>AVERAGE(D402:K402)</f>
        <v>2.9200851249999999</v>
      </c>
      <c r="M402" s="2">
        <f xml:space="preserve"> _xlfn.STDEV.S(D402:K402) / SQRT(COUNT(D402:K402))</f>
        <v>0.19426684823343218</v>
      </c>
      <c r="N402" s="2">
        <f>M402*$N$2</f>
        <v>0.21741551653843735</v>
      </c>
    </row>
    <row r="403" spans="2:14" x14ac:dyDescent="0.55000000000000004">
      <c r="C403" s="2" t="s">
        <v>29</v>
      </c>
      <c r="D403" s="2">
        <v>8.2810000000000002E-3</v>
      </c>
      <c r="E403" s="2">
        <v>9.613E-3</v>
      </c>
      <c r="F403" s="2">
        <v>2.444E-3</v>
      </c>
      <c r="G403" s="2">
        <v>1.1261999999999999E-2</v>
      </c>
      <c r="H403" s="2">
        <v>3.9100000000000003E-3</v>
      </c>
      <c r="I403" s="2">
        <v>1.2782E-2</v>
      </c>
      <c r="J403" s="2">
        <v>9.2239999999999996E-3</v>
      </c>
      <c r="K403" s="2">
        <v>2.0500000000000002E-3</v>
      </c>
      <c r="L403" s="2">
        <f>(1/COUNT(D403:K403))*SQRT(SUMSQ(D403:K403))</f>
        <v>2.9626392636043285E-3</v>
      </c>
    </row>
    <row r="404" spans="2:14" x14ac:dyDescent="0.55000000000000004">
      <c r="C404" s="2" t="s">
        <v>30</v>
      </c>
      <c r="D404" s="2">
        <v>16.069642999999999</v>
      </c>
      <c r="E404" s="2">
        <v>20.179599</v>
      </c>
      <c r="F404" s="2">
        <v>21.692183</v>
      </c>
      <c r="G404" s="2">
        <v>33.483229999999999</v>
      </c>
      <c r="H404" s="2">
        <v>13.219462999999999</v>
      </c>
      <c r="I404" s="2">
        <v>18.622987999999999</v>
      </c>
      <c r="J404" s="2">
        <v>25.222708000000001</v>
      </c>
      <c r="K404" s="2">
        <v>48.703805000000003</v>
      </c>
      <c r="L404" s="2">
        <f>AVERAGE(D404:K404)</f>
        <v>24.649202375000002</v>
      </c>
      <c r="M404" s="2">
        <f xml:space="preserve"> _xlfn.STDEV.S(D404:K404) / SQRT(COUNT(D404:K404))</f>
        <v>4.0670215915967534</v>
      </c>
      <c r="N404" s="2">
        <f>M404*$N$2</f>
        <v>4.55164433947827</v>
      </c>
    </row>
    <row r="405" spans="2:14" x14ac:dyDescent="0.55000000000000004">
      <c r="C405" s="2" t="s">
        <v>31</v>
      </c>
      <c r="D405" s="2">
        <v>2.2374999999999999E-2</v>
      </c>
      <c r="E405" s="2">
        <v>4.3038E-2</v>
      </c>
      <c r="F405" s="2">
        <v>5.7889999999999999E-3</v>
      </c>
      <c r="G405" s="2">
        <v>0.105974</v>
      </c>
      <c r="H405" s="2">
        <v>4.1243000000000002E-2</v>
      </c>
      <c r="I405" s="2">
        <v>4.0778000000000002E-2</v>
      </c>
      <c r="J405" s="2">
        <v>0.10309500000000001</v>
      </c>
      <c r="K405" s="2">
        <v>6.4348000000000002E-2</v>
      </c>
      <c r="L405" s="2">
        <f>(1/COUNT(D405:K405))*SQRT(SUMSQ(D405:K405))</f>
        <v>2.2273157095481548E-2</v>
      </c>
    </row>
    <row r="406" spans="2:14" x14ac:dyDescent="0.55000000000000004">
      <c r="B406" s="2" t="s">
        <v>45</v>
      </c>
      <c r="C406" s="2" t="s">
        <v>22</v>
      </c>
      <c r="D406" s="2">
        <v>0.94408300000000001</v>
      </c>
      <c r="E406" s="2">
        <v>0.93389900000000003</v>
      </c>
      <c r="F406" s="2">
        <v>0.92142400000000002</v>
      </c>
      <c r="G406" s="2">
        <v>0.93096999999999996</v>
      </c>
      <c r="H406" s="2">
        <v>0.95141900000000001</v>
      </c>
      <c r="I406" s="2">
        <v>0.93733100000000003</v>
      </c>
      <c r="J406" s="2">
        <v>0.94892600000000005</v>
      </c>
      <c r="K406" s="2">
        <v>0.93161499999999997</v>
      </c>
      <c r="L406" s="2">
        <f>AVERAGE(D406:K406)</f>
        <v>0.93745837500000007</v>
      </c>
      <c r="M406" s="2">
        <f xml:space="preserve"> _xlfn.STDEV.S(D406:K406) / SQRT(COUNT(D406:K406))</f>
        <v>3.576514983379674E-3</v>
      </c>
      <c r="N406" s="2">
        <f>M406*$N$2</f>
        <v>4.0026893913705543E-3</v>
      </c>
    </row>
    <row r="407" spans="2:14" x14ac:dyDescent="0.55000000000000004">
      <c r="C407" s="2" t="s">
        <v>23</v>
      </c>
      <c r="D407" s="2">
        <v>1.126E-3</v>
      </c>
      <c r="E407" s="2">
        <v>1.039E-3</v>
      </c>
      <c r="F407" s="2">
        <v>6.0899999999999995E-4</v>
      </c>
      <c r="G407" s="2">
        <v>2.1289999999999998E-3</v>
      </c>
      <c r="H407" s="2">
        <v>7.6099999999999996E-4</v>
      </c>
      <c r="I407" s="2">
        <v>4.9200000000000003E-4</v>
      </c>
      <c r="J407" s="2">
        <v>4.2400000000000001E-4</v>
      </c>
      <c r="K407" s="2">
        <v>5.31E-4</v>
      </c>
      <c r="L407" s="2">
        <f>(1/COUNT(D407:K407))*SQRT(SUMSQ(D407:K407))</f>
        <v>3.651592332462648E-4</v>
      </c>
    </row>
    <row r="408" spans="2:14" x14ac:dyDescent="0.55000000000000004">
      <c r="C408" s="2" t="s">
        <v>24</v>
      </c>
      <c r="D408" s="2">
        <v>0.32396900000000001</v>
      </c>
      <c r="E408" s="2">
        <v>0.34908400000000001</v>
      </c>
      <c r="F408" s="2">
        <v>0.38625999999999999</v>
      </c>
      <c r="G408" s="2">
        <v>0.35955500000000001</v>
      </c>
      <c r="H408" s="2">
        <v>0.30612600000000001</v>
      </c>
      <c r="I408" s="2">
        <v>0.34691300000000003</v>
      </c>
      <c r="J408" s="2">
        <v>0.30685299999999999</v>
      </c>
      <c r="K408" s="2">
        <v>0.36201499999999998</v>
      </c>
      <c r="L408" s="2">
        <f>AVERAGE(D408:K408)</f>
        <v>0.34259687500000002</v>
      </c>
      <c r="M408" s="2">
        <f xml:space="preserve"> _xlfn.STDEV.S(D408:K408) / SQRT(COUNT(D408:K408))</f>
        <v>9.988000696259592E-3</v>
      </c>
      <c r="N408" s="2">
        <f>M408*$N$2</f>
        <v>1.1178162153298582E-2</v>
      </c>
    </row>
    <row r="409" spans="2:14" x14ac:dyDescent="0.55000000000000004">
      <c r="C409" s="2" t="s">
        <v>25</v>
      </c>
      <c r="D409" s="2">
        <v>3.1689999999999999E-3</v>
      </c>
      <c r="E409" s="2">
        <v>2.709E-3</v>
      </c>
      <c r="F409" s="2">
        <v>1.3979999999999999E-3</v>
      </c>
      <c r="G409" s="2">
        <v>5.6049999999999997E-3</v>
      </c>
      <c r="H409" s="2">
        <v>2.1580000000000002E-3</v>
      </c>
      <c r="I409" s="2">
        <v>1.266E-3</v>
      </c>
      <c r="J409" s="2">
        <v>1.09E-3</v>
      </c>
      <c r="K409" s="2">
        <v>1.1509999999999999E-3</v>
      </c>
      <c r="L409" s="2">
        <f>(1/COUNT(D409:K409))*SQRT(SUMSQ(D409:K409))</f>
        <v>9.6439984575900873E-4</v>
      </c>
    </row>
    <row r="410" spans="2:14" x14ac:dyDescent="0.55000000000000004">
      <c r="C410" s="2" t="s">
        <v>26</v>
      </c>
      <c r="D410" s="2">
        <v>0.62871999999999995</v>
      </c>
      <c r="E410" s="2">
        <v>0.73953199999999997</v>
      </c>
      <c r="F410" s="2">
        <v>0.58161300000000005</v>
      </c>
      <c r="G410" s="2">
        <v>0.70219699999999996</v>
      </c>
      <c r="H410" s="2">
        <v>0.64248499999999997</v>
      </c>
      <c r="I410" s="2">
        <v>0.63974699999999995</v>
      </c>
      <c r="J410" s="2">
        <v>0.71291400000000005</v>
      </c>
      <c r="K410" s="2">
        <v>0.55850200000000005</v>
      </c>
      <c r="L410" s="2">
        <f>AVERAGE(D410:K410)</f>
        <v>0.65071374999999987</v>
      </c>
      <c r="M410" s="2">
        <f xml:space="preserve"> _xlfn.STDEV.S(D410:K410) / SQRT(COUNT(D410:K410))</f>
        <v>2.2503057380966505E-2</v>
      </c>
      <c r="N410" s="2">
        <f>M410*$N$2</f>
        <v>2.5184502083948231E-2</v>
      </c>
    </row>
    <row r="411" spans="2:14" x14ac:dyDescent="0.55000000000000004">
      <c r="C411" s="2" t="s">
        <v>27</v>
      </c>
      <c r="D411" s="2">
        <v>3.1050000000000001E-3</v>
      </c>
      <c r="E411" s="2">
        <v>2.349E-3</v>
      </c>
      <c r="F411" s="2">
        <v>5.2300000000000003E-4</v>
      </c>
      <c r="G411" s="2">
        <v>5.7710000000000001E-3</v>
      </c>
      <c r="H411" s="2">
        <v>1.6540000000000001E-3</v>
      </c>
      <c r="I411" s="2">
        <v>9.3899999999999995E-4</v>
      </c>
      <c r="J411" s="2">
        <v>7.1699999999999997E-4</v>
      </c>
      <c r="K411" s="2">
        <v>6.7299999999999999E-4</v>
      </c>
      <c r="L411" s="2">
        <f>(1/COUNT(D411:K411))*SQRT(SUMSQ(D411:K411))</f>
        <v>9.1276752071652945E-4</v>
      </c>
    </row>
    <row r="412" spans="2:14" x14ac:dyDescent="0.55000000000000004">
      <c r="C412" s="2" t="s">
        <v>28</v>
      </c>
      <c r="D412" s="2">
        <v>2.6904699999999999</v>
      </c>
      <c r="E412" s="2">
        <v>2.836284</v>
      </c>
      <c r="F412" s="2">
        <v>3.2878910000000001</v>
      </c>
      <c r="G412" s="2">
        <v>3.4679180000000001</v>
      </c>
      <c r="H412" s="2">
        <v>1.754696</v>
      </c>
      <c r="I412" s="2">
        <v>3.0490650000000001</v>
      </c>
      <c r="J412" s="2">
        <v>3.1826400000000001</v>
      </c>
      <c r="K412" s="2">
        <v>2.746651</v>
      </c>
      <c r="L412" s="2">
        <f>AVERAGE(D412:K412)</f>
        <v>2.8769518749999996</v>
      </c>
      <c r="M412" s="2">
        <f xml:space="preserve"> _xlfn.STDEV.S(D412:K412) / SQRT(COUNT(D412:K412))</f>
        <v>0.18679849799004627</v>
      </c>
      <c r="N412" s="2">
        <f>M412*$N$2</f>
        <v>0.20905724418975219</v>
      </c>
    </row>
    <row r="413" spans="2:14" x14ac:dyDescent="0.55000000000000004">
      <c r="C413" s="2" t="s">
        <v>29</v>
      </c>
      <c r="D413" s="2">
        <v>6.3674999999999995E-2</v>
      </c>
      <c r="E413" s="2">
        <v>1.8051999999999999E-2</v>
      </c>
      <c r="F413" s="2">
        <v>1.0527999999999999E-2</v>
      </c>
      <c r="G413" s="2">
        <v>7.6592999999999994E-2</v>
      </c>
      <c r="H413" s="2">
        <v>1.2940999999999999E-2</v>
      </c>
      <c r="I413" s="2">
        <v>1.8686000000000001E-2</v>
      </c>
      <c r="J413" s="2">
        <v>9.5700000000000004E-3</v>
      </c>
      <c r="K413" s="2">
        <v>1.0668E-2</v>
      </c>
      <c r="L413" s="2">
        <f>(1/COUNT(D413:K413))*SQRT(SUMSQ(D413:K413))</f>
        <v>1.3157539404154373E-2</v>
      </c>
    </row>
    <row r="414" spans="2:14" x14ac:dyDescent="0.55000000000000004">
      <c r="C414" s="2" t="s">
        <v>30</v>
      </c>
      <c r="D414" s="2">
        <v>16.339003999999999</v>
      </c>
      <c r="E414" s="2">
        <v>21.464476999999999</v>
      </c>
      <c r="F414" s="2">
        <v>21.769577999999999</v>
      </c>
      <c r="G414" s="2">
        <v>29.907281999999999</v>
      </c>
      <c r="H414" s="2">
        <v>12.786061999999999</v>
      </c>
      <c r="I414" s="2">
        <v>17.972579</v>
      </c>
      <c r="J414" s="2">
        <v>25.326467000000001</v>
      </c>
      <c r="K414" s="2">
        <v>38.202351999999998</v>
      </c>
      <c r="L414" s="2">
        <f>AVERAGE(D414:K414)</f>
        <v>22.970975124999999</v>
      </c>
      <c r="M414" s="2">
        <f xml:space="preserve"> _xlfn.STDEV.S(D414:K414) / SQRT(COUNT(D414:K414))</f>
        <v>2.8724923485764111</v>
      </c>
      <c r="N414" s="2">
        <f>M414*$N$2</f>
        <v>3.2147760330574635</v>
      </c>
    </row>
    <row r="415" spans="2:14" x14ac:dyDescent="0.55000000000000004">
      <c r="C415" s="2" t="s">
        <v>31</v>
      </c>
      <c r="D415" s="2">
        <v>0.19938600000000001</v>
      </c>
      <c r="E415" s="2">
        <v>0.24354899999999999</v>
      </c>
      <c r="F415" s="2">
        <v>5.1436000000000003E-2</v>
      </c>
      <c r="G415" s="2">
        <v>0.242642</v>
      </c>
      <c r="H415" s="2">
        <v>4.7689000000000002E-2</v>
      </c>
      <c r="I415" s="2">
        <v>8.0104999999999996E-2</v>
      </c>
      <c r="J415" s="2">
        <v>0.157166</v>
      </c>
      <c r="K415" s="2">
        <v>0.31542599999999998</v>
      </c>
      <c r="L415" s="2">
        <f>(1/COUNT(D415:K415))*SQRT(SUMSQ(D415:K415))</f>
        <v>6.771694989935588E-2</v>
      </c>
    </row>
    <row r="416" spans="2:14" x14ac:dyDescent="0.55000000000000004">
      <c r="B416" s="2" t="s">
        <v>46</v>
      </c>
      <c r="C416" s="2" t="s">
        <v>22</v>
      </c>
      <c r="L416" s="2" t="e">
        <f>AVERAGE(D416:K416)</f>
        <v>#DIV/0!</v>
      </c>
      <c r="M416" s="2" t="e">
        <f xml:space="preserve"> _xlfn.STDEV.S(D416:K416) / SQRT(COUNT(D416:K416))</f>
        <v>#DIV/0!</v>
      </c>
      <c r="N416" s="2" t="e">
        <f>M416*$N$2</f>
        <v>#DIV/0!</v>
      </c>
    </row>
    <row r="417" spans="2:14" x14ac:dyDescent="0.55000000000000004">
      <c r="C417" s="2" t="s">
        <v>23</v>
      </c>
      <c r="L417" s="2" t="e">
        <f>(1/COUNT(D417:K417))*SQRT(SUMSQ(D417:K417))</f>
        <v>#DIV/0!</v>
      </c>
    </row>
    <row r="418" spans="2:14" x14ac:dyDescent="0.55000000000000004">
      <c r="C418" s="2" t="s">
        <v>24</v>
      </c>
      <c r="L418" s="2" t="e">
        <f>AVERAGE(D418:K418)</f>
        <v>#DIV/0!</v>
      </c>
      <c r="M418" s="2" t="e">
        <f xml:space="preserve"> _xlfn.STDEV.S(D418:K418) / SQRT(COUNT(D418:K418))</f>
        <v>#DIV/0!</v>
      </c>
      <c r="N418" s="2" t="e">
        <f>M418*$N$2</f>
        <v>#DIV/0!</v>
      </c>
    </row>
    <row r="419" spans="2:14" x14ac:dyDescent="0.55000000000000004">
      <c r="C419" s="2" t="s">
        <v>25</v>
      </c>
      <c r="L419" s="2" t="e">
        <f>(1/COUNT(D419:K419))*SQRT(SUMSQ(D419:K419))</f>
        <v>#DIV/0!</v>
      </c>
    </row>
    <row r="420" spans="2:14" x14ac:dyDescent="0.55000000000000004">
      <c r="C420" s="2" t="s">
        <v>26</v>
      </c>
      <c r="L420" s="2" t="e">
        <f>AVERAGE(D420:K420)</f>
        <v>#DIV/0!</v>
      </c>
      <c r="M420" s="2" t="e">
        <f xml:space="preserve"> _xlfn.STDEV.S(D420:K420) / SQRT(COUNT(D420:K420))</f>
        <v>#DIV/0!</v>
      </c>
      <c r="N420" s="2" t="e">
        <f>M420*$N$2</f>
        <v>#DIV/0!</v>
      </c>
    </row>
    <row r="421" spans="2:14" x14ac:dyDescent="0.55000000000000004">
      <c r="C421" s="2" t="s">
        <v>27</v>
      </c>
      <c r="L421" s="2" t="e">
        <f>(1/COUNT(D421:K421))*SQRT(SUMSQ(D421:K421))</f>
        <v>#DIV/0!</v>
      </c>
    </row>
    <row r="422" spans="2:14" x14ac:dyDescent="0.55000000000000004">
      <c r="C422" s="2" t="s">
        <v>28</v>
      </c>
      <c r="L422" s="2" t="e">
        <f>AVERAGE(D422:K422)</f>
        <v>#DIV/0!</v>
      </c>
      <c r="M422" s="2" t="e">
        <f xml:space="preserve"> _xlfn.STDEV.S(D422:K422) / SQRT(COUNT(D422:K422))</f>
        <v>#DIV/0!</v>
      </c>
      <c r="N422" s="2" t="e">
        <f>M422*$N$2</f>
        <v>#DIV/0!</v>
      </c>
    </row>
    <row r="423" spans="2:14" x14ac:dyDescent="0.55000000000000004">
      <c r="C423" s="2" t="s">
        <v>29</v>
      </c>
      <c r="L423" s="2" t="e">
        <f>(1/COUNT(D423:K423))*SQRT(SUMSQ(D423:K423))</f>
        <v>#DIV/0!</v>
      </c>
    </row>
    <row r="424" spans="2:14" x14ac:dyDescent="0.55000000000000004">
      <c r="C424" s="2" t="s">
        <v>30</v>
      </c>
      <c r="L424" s="2" t="e">
        <f>AVERAGE(D424:K424)</f>
        <v>#DIV/0!</v>
      </c>
      <c r="M424" s="2" t="e">
        <f xml:space="preserve"> _xlfn.STDEV.S(D424:K424) / SQRT(COUNT(D424:K424))</f>
        <v>#DIV/0!</v>
      </c>
      <c r="N424" s="2" t="e">
        <f>M424*$N$2</f>
        <v>#DIV/0!</v>
      </c>
    </row>
    <row r="425" spans="2:14" x14ac:dyDescent="0.55000000000000004">
      <c r="C425" s="2" t="s">
        <v>31</v>
      </c>
      <c r="L425" s="2" t="e">
        <f>(1/COUNT(D425:K425))*SQRT(SUMSQ(D425:K425))</f>
        <v>#DIV/0!</v>
      </c>
    </row>
    <row r="426" spans="2:14" x14ac:dyDescent="0.55000000000000004">
      <c r="B426" s="2" t="s">
        <v>36</v>
      </c>
      <c r="C426" s="2" t="s">
        <v>22</v>
      </c>
      <c r="D426" s="2">
        <v>0.94438699999999998</v>
      </c>
      <c r="E426" s="2">
        <v>0.93500899999999998</v>
      </c>
      <c r="F426" s="2">
        <v>0.92581100000000005</v>
      </c>
      <c r="G426" s="2">
        <v>0.94138699999999997</v>
      </c>
      <c r="H426" s="2">
        <v>0.95255500000000004</v>
      </c>
      <c r="I426" s="2">
        <v>0.93591899999999995</v>
      </c>
      <c r="J426" s="2">
        <v>0.94585399999999997</v>
      </c>
      <c r="K426" s="2">
        <v>0.92988300000000002</v>
      </c>
      <c r="L426" s="2">
        <f>AVERAGE(D426:K426)</f>
        <v>0.93885062500000005</v>
      </c>
      <c r="M426" s="2">
        <f xml:space="preserve"> _xlfn.STDEV.S(D426:K426) / SQRT(COUNT(D426:K426))</f>
        <v>3.1274830931226215E-3</v>
      </c>
      <c r="N426" s="2">
        <f>M426*$N$2</f>
        <v>3.5001512524640158E-3</v>
      </c>
    </row>
    <row r="427" spans="2:14" x14ac:dyDescent="0.55000000000000004">
      <c r="C427" s="2" t="s">
        <v>24</v>
      </c>
      <c r="D427" s="2">
        <v>0.324791</v>
      </c>
      <c r="E427" s="2">
        <v>0.34913</v>
      </c>
      <c r="F427" s="2">
        <v>0.375587</v>
      </c>
      <c r="G427" s="2">
        <v>0.33316099999999998</v>
      </c>
      <c r="H427" s="2">
        <v>0.30300899999999997</v>
      </c>
      <c r="I427" s="2">
        <v>0.351549</v>
      </c>
      <c r="J427" s="2">
        <v>0.31671300000000002</v>
      </c>
      <c r="K427" s="2">
        <v>0.36634699999999998</v>
      </c>
      <c r="L427" s="2">
        <f t="shared" ref="L427:L435" si="18">AVERAGE(D427:K427)</f>
        <v>0.34003587499999999</v>
      </c>
      <c r="M427" s="2">
        <f t="shared" ref="M427:M443" si="19" xml:space="preserve"> _xlfn.STDEV.S(D427:K427) / SQRT(COUNT(D427:K427))</f>
        <v>8.829768071370642E-3</v>
      </c>
      <c r="N427" s="2">
        <f t="shared" ref="N427:N443" si="20">M427*$N$2</f>
        <v>9.8819155383881706E-3</v>
      </c>
    </row>
    <row r="428" spans="2:14" x14ac:dyDescent="0.55000000000000004">
      <c r="C428" s="2" t="s">
        <v>26</v>
      </c>
      <c r="D428" s="2">
        <v>0.62560499999999997</v>
      </c>
      <c r="E428" s="2">
        <v>0.73902199999999996</v>
      </c>
      <c r="F428" s="2">
        <v>0.58611400000000002</v>
      </c>
      <c r="G428" s="2">
        <v>0.72577599999999998</v>
      </c>
      <c r="H428" s="2">
        <v>0.64438899999999999</v>
      </c>
      <c r="I428" s="2">
        <v>0.63532200000000005</v>
      </c>
      <c r="J428" s="2">
        <v>0.70492299999999997</v>
      </c>
      <c r="K428" s="2">
        <v>0.55449400000000004</v>
      </c>
      <c r="L428" s="2">
        <f t="shared" si="18"/>
        <v>0.65195562500000004</v>
      </c>
      <c r="M428" s="2">
        <f t="shared" si="19"/>
        <v>2.341310640961099E-2</v>
      </c>
      <c r="N428" s="2">
        <f t="shared" si="20"/>
        <v>2.6202991761612102E-2</v>
      </c>
    </row>
    <row r="429" spans="2:14" x14ac:dyDescent="0.55000000000000004">
      <c r="C429" s="2" t="s">
        <v>28</v>
      </c>
      <c r="D429" s="2">
        <v>2.6501320000000002</v>
      </c>
      <c r="E429" s="2">
        <v>2.7465009999999999</v>
      </c>
      <c r="F429" s="2">
        <v>3.1998669999999998</v>
      </c>
      <c r="G429" s="2">
        <v>3.0525030000000002</v>
      </c>
      <c r="H429" s="2">
        <v>1.741142</v>
      </c>
      <c r="I429" s="2">
        <v>3.1034350000000002</v>
      </c>
      <c r="J429" s="2">
        <v>3.12229</v>
      </c>
      <c r="K429" s="2">
        <v>2.8208350000000002</v>
      </c>
      <c r="L429" s="2">
        <f t="shared" si="18"/>
        <v>2.8045881249999995</v>
      </c>
      <c r="M429" s="2">
        <f t="shared" si="19"/>
        <v>0.16724466362984211</v>
      </c>
      <c r="N429" s="2">
        <f t="shared" si="20"/>
        <v>0.18717339197106361</v>
      </c>
    </row>
    <row r="430" spans="2:14" x14ac:dyDescent="0.55000000000000004">
      <c r="C430" s="2" t="s">
        <v>30</v>
      </c>
      <c r="D430" s="2">
        <v>16.142704999999999</v>
      </c>
      <c r="E430" s="2">
        <v>19.469977</v>
      </c>
      <c r="F430" s="2">
        <v>21.447312</v>
      </c>
      <c r="G430" s="2">
        <v>29.197500999999999</v>
      </c>
      <c r="H430" s="2">
        <v>12.630817</v>
      </c>
      <c r="I430" s="2">
        <v>17.915057999999998</v>
      </c>
      <c r="J430" s="2">
        <v>22.707788000000001</v>
      </c>
      <c r="K430" s="2">
        <v>48.048847000000002</v>
      </c>
      <c r="L430" s="2">
        <f t="shared" si="18"/>
        <v>23.445000625000002</v>
      </c>
      <c r="M430" s="2">
        <f t="shared" si="19"/>
        <v>3.9179666884729825</v>
      </c>
      <c r="N430" s="2">
        <f t="shared" si="20"/>
        <v>4.3848281840202832</v>
      </c>
    </row>
    <row r="431" spans="2:14" x14ac:dyDescent="0.55000000000000004">
      <c r="B431" s="2" t="s">
        <v>37</v>
      </c>
      <c r="C431" s="2" t="s">
        <v>22</v>
      </c>
      <c r="D431" s="2">
        <v>0.93092200000000003</v>
      </c>
      <c r="E431" s="2">
        <v>0.90609099999999998</v>
      </c>
      <c r="F431" s="2">
        <v>0.90775700000000004</v>
      </c>
      <c r="G431" s="2">
        <v>0.909941</v>
      </c>
      <c r="H431" s="2">
        <v>0.92763700000000004</v>
      </c>
      <c r="I431" s="2">
        <v>0.90861199999999998</v>
      </c>
      <c r="J431" s="2">
        <v>0.93248900000000001</v>
      </c>
      <c r="K431" s="2">
        <v>0.91820500000000005</v>
      </c>
      <c r="L431" s="2">
        <f t="shared" si="18"/>
        <v>0.91770675000000002</v>
      </c>
      <c r="M431" s="2">
        <f t="shared" si="19"/>
        <v>3.9391813632403423E-3</v>
      </c>
      <c r="N431" s="2">
        <f t="shared" si="20"/>
        <v>4.4085707809413911E-3</v>
      </c>
    </row>
    <row r="432" spans="2:14" x14ac:dyDescent="0.55000000000000004">
      <c r="C432" s="2" t="s">
        <v>24</v>
      </c>
      <c r="D432" s="2">
        <v>0.36313800000000002</v>
      </c>
      <c r="E432" s="2">
        <v>0.411854</v>
      </c>
      <c r="F432" s="2">
        <v>0.417153</v>
      </c>
      <c r="G432" s="2">
        <v>0.41395999999999999</v>
      </c>
      <c r="H432" s="2">
        <v>0.37047600000000003</v>
      </c>
      <c r="I432" s="2">
        <v>0.41792000000000001</v>
      </c>
      <c r="J432" s="2">
        <v>0.35194700000000001</v>
      </c>
      <c r="K432" s="2">
        <v>0.39666400000000002</v>
      </c>
      <c r="L432" s="2">
        <f t="shared" si="18"/>
        <v>0.39288899999999999</v>
      </c>
      <c r="M432" s="2">
        <f t="shared" si="19"/>
        <v>9.5402469663301362E-3</v>
      </c>
      <c r="N432" s="2">
        <f t="shared" si="20"/>
        <v>1.0677054479190182E-2</v>
      </c>
    </row>
    <row r="433" spans="1:14" x14ac:dyDescent="0.55000000000000004">
      <c r="C433" s="2" t="s">
        <v>26</v>
      </c>
      <c r="D433" s="2">
        <v>0.59203700000000004</v>
      </c>
      <c r="E433" s="2">
        <v>0.69433100000000003</v>
      </c>
      <c r="F433" s="2">
        <v>0.56735199999999997</v>
      </c>
      <c r="G433" s="2">
        <v>0.67641300000000004</v>
      </c>
      <c r="H433" s="2">
        <v>0.583897</v>
      </c>
      <c r="I433" s="2">
        <v>0.58932300000000004</v>
      </c>
      <c r="J433" s="2">
        <v>0.67859100000000006</v>
      </c>
      <c r="K433" s="2">
        <v>0.53505000000000003</v>
      </c>
      <c r="L433" s="2">
        <f t="shared" si="18"/>
        <v>0.61462424999999998</v>
      </c>
      <c r="M433" s="2">
        <f t="shared" si="19"/>
        <v>2.1096711243994884E-2</v>
      </c>
      <c r="N433" s="2">
        <f t="shared" si="20"/>
        <v>2.3610576967120701E-2</v>
      </c>
    </row>
    <row r="434" spans="1:14" x14ac:dyDescent="0.55000000000000004">
      <c r="C434" s="2" t="s">
        <v>28</v>
      </c>
      <c r="D434" s="2">
        <v>3.134147</v>
      </c>
      <c r="E434" s="2">
        <v>3.4270070000000001</v>
      </c>
      <c r="F434" s="2">
        <v>3.5128590000000002</v>
      </c>
      <c r="G434" s="2">
        <v>3.7825039999999999</v>
      </c>
      <c r="H434" s="2">
        <v>2.3815689999999998</v>
      </c>
      <c r="I434" s="2">
        <v>4.6470380000000002</v>
      </c>
      <c r="J434" s="2">
        <v>3.5734189999999999</v>
      </c>
      <c r="K434" s="2">
        <v>3.2277019999999998</v>
      </c>
      <c r="L434" s="2">
        <f t="shared" si="18"/>
        <v>3.4607806249999999</v>
      </c>
      <c r="M434" s="2">
        <f t="shared" si="19"/>
        <v>0.22571179514252732</v>
      </c>
      <c r="N434" s="2">
        <f t="shared" si="20"/>
        <v>0.25260741591258962</v>
      </c>
    </row>
    <row r="435" spans="1:14" x14ac:dyDescent="0.55000000000000004">
      <c r="C435" s="2" t="s">
        <v>30</v>
      </c>
      <c r="D435" s="2">
        <v>16.913782999999999</v>
      </c>
      <c r="E435" s="2">
        <v>21.766753999999999</v>
      </c>
      <c r="F435" s="2">
        <v>22.501214999999998</v>
      </c>
      <c r="G435" s="2">
        <v>36.735745999999999</v>
      </c>
      <c r="H435" s="2">
        <v>16.659386000000001</v>
      </c>
      <c r="I435" s="2">
        <v>23.752656000000002</v>
      </c>
      <c r="J435" s="2">
        <v>28.488223000000001</v>
      </c>
      <c r="K435" s="2">
        <v>57.289561999999997</v>
      </c>
      <c r="L435" s="2">
        <f t="shared" si="18"/>
        <v>28.013415625</v>
      </c>
      <c r="M435" s="2">
        <f t="shared" si="19"/>
        <v>4.7679590547762851</v>
      </c>
      <c r="N435" s="2">
        <f t="shared" si="20"/>
        <v>5.3361048998061005</v>
      </c>
    </row>
    <row r="436" spans="1:14" x14ac:dyDescent="0.55000000000000004">
      <c r="B436" s="2" t="s">
        <v>39</v>
      </c>
      <c r="C436" s="2" t="s">
        <v>22</v>
      </c>
      <c r="D436" s="2">
        <v>0.95152199999999998</v>
      </c>
      <c r="E436" s="2">
        <v>0.94889299999999999</v>
      </c>
      <c r="F436" s="2">
        <v>0.93156300000000003</v>
      </c>
      <c r="G436" s="2">
        <v>0.91377799999999998</v>
      </c>
      <c r="H436" s="2">
        <v>0.95380699999999996</v>
      </c>
      <c r="I436" s="2">
        <v>0.93762800000000002</v>
      </c>
      <c r="J436" s="2">
        <v>0.95308400000000004</v>
      </c>
      <c r="K436" s="2">
        <v>0.92278899999999997</v>
      </c>
      <c r="L436" s="2">
        <f t="shared" ref="L436:L444" si="21">AVERAGE(D436:K436)</f>
        <v>0.939133</v>
      </c>
      <c r="M436" s="2">
        <f t="shared" si="19"/>
        <v>5.3922462255671212E-3</v>
      </c>
      <c r="N436" s="2">
        <f t="shared" si="20"/>
        <v>6.0347815857155545E-3</v>
      </c>
    </row>
    <row r="437" spans="1:14" x14ac:dyDescent="0.55000000000000004">
      <c r="C437" s="2" t="s">
        <v>24</v>
      </c>
      <c r="D437" s="2">
        <v>0.30453599999999997</v>
      </c>
      <c r="E437" s="2">
        <v>0.31273699999999999</v>
      </c>
      <c r="F437" s="2">
        <v>0.36264299999999999</v>
      </c>
      <c r="G437" s="2">
        <v>0.40596399999999999</v>
      </c>
      <c r="H437" s="2">
        <v>0.29954900000000001</v>
      </c>
      <c r="I437" s="2">
        <v>0.347771</v>
      </c>
      <c r="J437" s="2">
        <v>0.29879600000000001</v>
      </c>
      <c r="K437" s="2">
        <v>0.37989499999999998</v>
      </c>
      <c r="L437" s="2">
        <f t="shared" si="21"/>
        <v>0.33898637499999995</v>
      </c>
      <c r="M437" s="2">
        <f t="shared" si="19"/>
        <v>1.4542274709001291E-2</v>
      </c>
      <c r="N437" s="2">
        <f t="shared" si="20"/>
        <v>1.6275119487717392E-2</v>
      </c>
    </row>
    <row r="438" spans="1:14" x14ac:dyDescent="0.55000000000000004">
      <c r="C438" s="2" t="s">
        <v>26</v>
      </c>
      <c r="D438" s="2">
        <v>0.64522599999999997</v>
      </c>
      <c r="E438" s="2">
        <v>0.76592400000000005</v>
      </c>
      <c r="F438" s="2">
        <v>0.59076099999999998</v>
      </c>
      <c r="G438" s="2">
        <v>0.68010199999999998</v>
      </c>
      <c r="H438" s="2">
        <v>0.64723600000000003</v>
      </c>
      <c r="I438" s="2">
        <v>0.64014499999999996</v>
      </c>
      <c r="J438" s="2">
        <v>0.71931299999999998</v>
      </c>
      <c r="K438" s="2">
        <v>0.54983000000000004</v>
      </c>
      <c r="L438" s="2">
        <f t="shared" si="21"/>
        <v>0.654817125</v>
      </c>
      <c r="M438" s="2">
        <f t="shared" si="19"/>
        <v>2.4140214825086773E-2</v>
      </c>
      <c r="N438" s="2">
        <f t="shared" si="20"/>
        <v>2.7016741782100191E-2</v>
      </c>
    </row>
    <row r="439" spans="1:14" x14ac:dyDescent="0.55000000000000004">
      <c r="C439" s="2" t="s">
        <v>28</v>
      </c>
      <c r="D439" s="2">
        <v>2.3516859999999999</v>
      </c>
      <c r="E439" s="2">
        <v>2.6280350000000001</v>
      </c>
      <c r="F439" s="2">
        <v>3.1801539999999999</v>
      </c>
      <c r="G439" s="2">
        <v>3.6706159999999999</v>
      </c>
      <c r="H439" s="2">
        <v>1.731711</v>
      </c>
      <c r="I439" s="2">
        <v>3.0065870000000001</v>
      </c>
      <c r="J439" s="2">
        <v>3.094929</v>
      </c>
      <c r="K439" s="2">
        <v>3.1379039999999998</v>
      </c>
      <c r="L439" s="2">
        <f t="shared" si="21"/>
        <v>2.8502027499999998</v>
      </c>
      <c r="M439" s="2">
        <f t="shared" si="19"/>
        <v>0.21120259241845668</v>
      </c>
      <c r="N439" s="2">
        <f t="shared" si="20"/>
        <v>0.23636930923870039</v>
      </c>
    </row>
    <row r="440" spans="1:14" x14ac:dyDescent="0.55000000000000004">
      <c r="C440" s="2" t="s">
        <v>30</v>
      </c>
      <c r="D440" s="2">
        <v>15.932173000000001</v>
      </c>
      <c r="E440" s="2">
        <v>20.893491000000001</v>
      </c>
      <c r="F440" s="2">
        <v>21.633652999999999</v>
      </c>
      <c r="G440" s="2">
        <v>35.235832000000002</v>
      </c>
      <c r="H440" s="2">
        <v>12.437726</v>
      </c>
      <c r="I440" s="2">
        <v>17.751215999999999</v>
      </c>
      <c r="J440" s="2">
        <v>24.474793999999999</v>
      </c>
      <c r="K440" s="2">
        <v>44.601613</v>
      </c>
      <c r="L440" s="2">
        <f t="shared" si="21"/>
        <v>24.120062249999997</v>
      </c>
      <c r="M440" s="2">
        <f t="shared" si="19"/>
        <v>3.7887375372104515</v>
      </c>
      <c r="N440" s="2">
        <f t="shared" si="20"/>
        <v>4.2402001997344296</v>
      </c>
    </row>
    <row r="441" spans="1:14" x14ac:dyDescent="0.55000000000000004">
      <c r="B441" s="2" t="s">
        <v>61</v>
      </c>
      <c r="C441" s="2" t="s">
        <v>22</v>
      </c>
      <c r="D441" s="2">
        <v>0.92772100000000002</v>
      </c>
      <c r="E441" s="2">
        <v>0.89971999999999996</v>
      </c>
      <c r="F441" s="2">
        <v>0.89569299999999996</v>
      </c>
      <c r="G441" s="2">
        <v>0.93048699999999995</v>
      </c>
      <c r="H441" s="2">
        <v>0.91353600000000001</v>
      </c>
      <c r="I441" s="2">
        <v>0.90019499999999997</v>
      </c>
      <c r="J441" s="2">
        <v>0.93449000000000004</v>
      </c>
      <c r="K441" s="2">
        <v>0.91086299999999998</v>
      </c>
      <c r="L441" s="2">
        <f t="shared" si="21"/>
        <v>0.91408812500000003</v>
      </c>
      <c r="M441" s="2">
        <f t="shared" si="19"/>
        <v>5.377804452554107E-3</v>
      </c>
      <c r="N441" s="2">
        <f t="shared" si="20"/>
        <v>6.018618943618317E-3</v>
      </c>
    </row>
    <row r="442" spans="1:14" x14ac:dyDescent="0.55000000000000004">
      <c r="C442" s="2" t="s">
        <v>24</v>
      </c>
      <c r="D442" s="2">
        <v>0.37379400000000002</v>
      </c>
      <c r="E442" s="2">
        <v>0.42524699999999999</v>
      </c>
      <c r="F442" s="2">
        <v>0.45011899999999999</v>
      </c>
      <c r="G442" s="2">
        <v>0.34205099999999999</v>
      </c>
      <c r="H442" s="2">
        <v>0.40890300000000002</v>
      </c>
      <c r="I442" s="2">
        <v>0.43981700000000001</v>
      </c>
      <c r="J442" s="2">
        <v>0.343698</v>
      </c>
      <c r="K442" s="2">
        <v>0.416883</v>
      </c>
      <c r="L442" s="2">
        <f t="shared" si="21"/>
        <v>0.40006399999999998</v>
      </c>
      <c r="M442" s="2">
        <f t="shared" si="19"/>
        <v>1.4828628940330255E-2</v>
      </c>
      <c r="N442" s="2">
        <f t="shared" si="20"/>
        <v>1.6595595439654106E-2</v>
      </c>
    </row>
    <row r="443" spans="1:14" x14ac:dyDescent="0.55000000000000004">
      <c r="C443" s="2" t="s">
        <v>26</v>
      </c>
      <c r="D443" s="2">
        <v>0.58702100000000002</v>
      </c>
      <c r="E443" s="2">
        <v>0.69690300000000005</v>
      </c>
      <c r="F443" s="2">
        <v>0.55580399999999996</v>
      </c>
      <c r="G443" s="2">
        <v>0.71420799999999995</v>
      </c>
      <c r="H443" s="2">
        <v>0.55432000000000003</v>
      </c>
      <c r="I443" s="2">
        <v>0.59219699999999997</v>
      </c>
      <c r="J443" s="2">
        <v>0.68458600000000003</v>
      </c>
      <c r="K443" s="2">
        <v>0.50768199999999997</v>
      </c>
      <c r="L443" s="2">
        <f t="shared" si="21"/>
        <v>0.6115901250000001</v>
      </c>
      <c r="M443" s="2">
        <f t="shared" si="19"/>
        <v>2.7158826925695791E-2</v>
      </c>
      <c r="N443" s="2">
        <f t="shared" si="20"/>
        <v>3.0395049069478843E-2</v>
      </c>
    </row>
    <row r="444" spans="1:14" x14ac:dyDescent="0.55000000000000004">
      <c r="A444" s="2" t="s">
        <v>20</v>
      </c>
      <c r="B444" s="2" t="s">
        <v>21</v>
      </c>
      <c r="C444" s="2" t="s">
        <v>22</v>
      </c>
      <c r="D444" s="2">
        <v>0.95561499999999999</v>
      </c>
      <c r="E444" s="2">
        <v>0.94970600000000005</v>
      </c>
      <c r="F444" s="2">
        <v>0.93162100000000003</v>
      </c>
      <c r="G444" s="2">
        <v>0.92124399999999995</v>
      </c>
      <c r="H444" s="2">
        <v>0.95381099999999996</v>
      </c>
      <c r="I444" s="2">
        <v>0.93710700000000002</v>
      </c>
      <c r="J444" s="2">
        <v>0.94981899999999997</v>
      </c>
      <c r="K444" s="2">
        <v>0.93269199999999997</v>
      </c>
      <c r="L444" s="2">
        <f t="shared" si="21"/>
        <v>0.94145187500000005</v>
      </c>
      <c r="M444" s="2">
        <f xml:space="preserve"> _xlfn.STDEV.S(D444:K444) / SQRT(COUNT(D444:K444))</f>
        <v>4.4160808110711384E-3</v>
      </c>
      <c r="N444" s="2">
        <f>M444*$N$2</f>
        <v>4.9422971512917205E-3</v>
      </c>
    </row>
    <row r="445" spans="1:14" x14ac:dyDescent="0.55000000000000004">
      <c r="A445" s="2">
        <v>1</v>
      </c>
      <c r="C445" s="2" t="s">
        <v>23</v>
      </c>
      <c r="D445" s="2">
        <v>4.1999999999999998E-5</v>
      </c>
      <c r="E445" s="2">
        <v>4.4299999999999998E-4</v>
      </c>
      <c r="F445" s="2">
        <v>2.3900000000000001E-4</v>
      </c>
      <c r="G445" s="2">
        <v>1.73E-4</v>
      </c>
      <c r="H445" s="2">
        <v>8.7999999999999998E-5</v>
      </c>
      <c r="I445" s="2">
        <v>1.4999999999999999E-4</v>
      </c>
      <c r="J445" s="2">
        <v>2.4600000000000002E-4</v>
      </c>
      <c r="K445" s="2">
        <v>9.8999999999999994E-5</v>
      </c>
      <c r="L445" s="2">
        <f>(1/COUNT(D445:K445))*SQRT(SUMSQ(D445:K445))</f>
        <v>7.762328903106335E-5</v>
      </c>
    </row>
    <row r="446" spans="1:14" x14ac:dyDescent="0.55000000000000004">
      <c r="C446" s="2" t="s">
        <v>24</v>
      </c>
      <c r="D446" s="2">
        <v>0.29271000000000003</v>
      </c>
      <c r="E446" s="2">
        <v>0.31018800000000002</v>
      </c>
      <c r="F446" s="2">
        <v>0.36204199999999997</v>
      </c>
      <c r="G446" s="2">
        <v>0.38911499999999999</v>
      </c>
      <c r="H446" s="2">
        <v>0.29944599999999999</v>
      </c>
      <c r="I446" s="2">
        <v>0.34930499999999998</v>
      </c>
      <c r="J446" s="2">
        <v>0.30680800000000003</v>
      </c>
      <c r="K446" s="2">
        <v>0.35905599999999999</v>
      </c>
      <c r="L446" s="2">
        <f>AVERAGE(D446:K446)</f>
        <v>0.33358374999999996</v>
      </c>
      <c r="M446" s="2">
        <f xml:space="preserve"> _xlfn.STDEV.S(D446:K446) / SQRT(COUNT(D446:K446))</f>
        <v>1.2599558000680017E-2</v>
      </c>
      <c r="N446" s="2">
        <f>M446*$N$2</f>
        <v>1.4100910349779498E-2</v>
      </c>
    </row>
    <row r="447" spans="1:14" x14ac:dyDescent="0.55000000000000004">
      <c r="C447" s="2" t="s">
        <v>25</v>
      </c>
      <c r="D447" s="2">
        <v>1.54E-4</v>
      </c>
      <c r="E447" s="2">
        <v>1.364E-3</v>
      </c>
      <c r="F447" s="2">
        <v>4.3199999999999998E-4</v>
      </c>
      <c r="G447" s="2">
        <v>4.2000000000000002E-4</v>
      </c>
      <c r="H447" s="2">
        <v>2.5999999999999998E-4</v>
      </c>
      <c r="I447" s="2">
        <v>4.3199999999999998E-4</v>
      </c>
      <c r="J447" s="2">
        <v>6.38E-4</v>
      </c>
      <c r="K447" s="2">
        <v>2.34E-4</v>
      </c>
      <c r="L447" s="2">
        <f>(1/COUNT(D447:K447))*SQRT(SUMSQ(D447:K447))</f>
        <v>2.1517652636846799E-4</v>
      </c>
    </row>
    <row r="448" spans="1:14" x14ac:dyDescent="0.55000000000000004">
      <c r="C448" s="2" t="s">
        <v>26</v>
      </c>
      <c r="D448" s="2">
        <v>0.65718500000000002</v>
      </c>
      <c r="E448" s="2">
        <v>0.76784399999999997</v>
      </c>
      <c r="F448" s="2">
        <v>0.59222399999999997</v>
      </c>
      <c r="G448" s="2">
        <v>0.69790099999999999</v>
      </c>
      <c r="H448" s="2">
        <v>0.64766100000000004</v>
      </c>
      <c r="I448" s="2">
        <v>0.63808500000000001</v>
      </c>
      <c r="J448" s="2">
        <v>0.71327499999999999</v>
      </c>
      <c r="K448" s="2">
        <v>0.56364199999999998</v>
      </c>
      <c r="L448" s="2">
        <f>AVERAGE(D448:K448)</f>
        <v>0.65972712499999997</v>
      </c>
      <c r="M448" s="2">
        <f xml:space="preserve"> _xlfn.STDEV.S(D448:K448) / SQRT(COUNT(D448:K448))</f>
        <v>2.3308236123615107E-2</v>
      </c>
      <c r="N448" s="2">
        <f>M448*$N$2</f>
        <v>2.608562522374594E-2</v>
      </c>
    </row>
    <row r="449" spans="2:14" x14ac:dyDescent="0.55000000000000004">
      <c r="C449" s="2" t="s">
        <v>27</v>
      </c>
      <c r="D449" s="2">
        <v>1.5200000000000001E-4</v>
      </c>
      <c r="E449" s="2">
        <v>9.5299999999999996E-4</v>
      </c>
      <c r="F449" s="2">
        <v>1.8200000000000001E-4</v>
      </c>
      <c r="G449" s="2">
        <v>6.0899999999999995E-4</v>
      </c>
      <c r="H449" s="2">
        <v>4.4099999999999999E-4</v>
      </c>
      <c r="I449" s="2">
        <v>2.9700000000000001E-4</v>
      </c>
      <c r="J449" s="2">
        <v>5.0299999999999997E-4</v>
      </c>
      <c r="K449" s="2">
        <v>1.25E-4</v>
      </c>
      <c r="L449" s="2">
        <f>(1/COUNT(D449:K449))*SQRT(SUMSQ(D449:K449))</f>
        <v>1.7169385909228087E-4</v>
      </c>
    </row>
    <row r="450" spans="2:14" x14ac:dyDescent="0.55000000000000004">
      <c r="C450" s="2" t="s">
        <v>28</v>
      </c>
      <c r="D450" s="2">
        <v>2.176383</v>
      </c>
      <c r="E450" s="2">
        <v>2.5638770000000002</v>
      </c>
      <c r="F450" s="2">
        <v>3.1740249999999999</v>
      </c>
      <c r="G450" s="2">
        <v>3.4779939999999998</v>
      </c>
      <c r="H450" s="2">
        <v>1.7273989999999999</v>
      </c>
      <c r="I450" s="2">
        <v>2.9358870000000001</v>
      </c>
      <c r="J450" s="2">
        <v>3.166369</v>
      </c>
      <c r="K450" s="2">
        <v>2.640031</v>
      </c>
      <c r="L450" s="2">
        <f>AVERAGE(D450:K450)</f>
        <v>2.7327456249999997</v>
      </c>
      <c r="M450" s="2">
        <f xml:space="preserve"> _xlfn.STDEV.S(D450:K450) / SQRT(COUNT(D450:K450))</f>
        <v>0.20427537864354181</v>
      </c>
      <c r="N450" s="2">
        <f>M450*$N$2</f>
        <v>0.22861665470839385</v>
      </c>
    </row>
    <row r="451" spans="2:14" x14ac:dyDescent="0.55000000000000004">
      <c r="C451" s="2" t="s">
        <v>29</v>
      </c>
      <c r="D451" s="2">
        <v>1.3649999999999999E-3</v>
      </c>
      <c r="E451" s="2">
        <v>5.4689999999999999E-3</v>
      </c>
      <c r="F451" s="2">
        <v>6.2810000000000001E-3</v>
      </c>
      <c r="G451" s="2">
        <v>5.0159999999999996E-3</v>
      </c>
      <c r="H451" s="2">
        <v>4.0699999999999998E-3</v>
      </c>
      <c r="I451" s="2">
        <v>2.7659999999999998E-3</v>
      </c>
      <c r="J451" s="2">
        <v>6.0920000000000002E-3</v>
      </c>
      <c r="K451" s="2">
        <v>2.137E-3</v>
      </c>
      <c r="L451" s="2">
        <f>(1/COUNT(D451:K451))*SQRT(SUMSQ(D451:K451))</f>
        <v>1.5923611203178755E-3</v>
      </c>
    </row>
    <row r="452" spans="2:14" x14ac:dyDescent="0.55000000000000004">
      <c r="C452" s="2" t="s">
        <v>30</v>
      </c>
      <c r="D452" s="2">
        <v>15.539364000000001</v>
      </c>
      <c r="E452" s="2">
        <v>19.874469000000001</v>
      </c>
      <c r="F452" s="2">
        <v>21.650348000000001</v>
      </c>
      <c r="G452" s="2">
        <v>34.960388000000002</v>
      </c>
      <c r="H452" s="2">
        <v>12.394614000000001</v>
      </c>
      <c r="I452" s="2">
        <v>17.610745000000001</v>
      </c>
      <c r="J452" s="2">
        <v>24.373694</v>
      </c>
      <c r="K452" s="2">
        <v>27.870951000000002</v>
      </c>
      <c r="L452" s="2">
        <f>AVERAGE(D452:K452)</f>
        <v>21.784321625</v>
      </c>
      <c r="M452" s="2">
        <f xml:space="preserve"> _xlfn.STDEV.S(D452:K452) / SQRT(COUNT(D452:K452))</f>
        <v>2.5551452447205918</v>
      </c>
      <c r="N452" s="2">
        <f>M452*$N$2</f>
        <v>2.8596141249181817</v>
      </c>
    </row>
    <row r="453" spans="2:14" x14ac:dyDescent="0.55000000000000004">
      <c r="C453" s="2" t="s">
        <v>31</v>
      </c>
      <c r="D453" s="2">
        <v>1.4342000000000001E-2</v>
      </c>
      <c r="E453" s="2">
        <v>2.776E-2</v>
      </c>
      <c r="F453" s="2">
        <v>1.1361E-2</v>
      </c>
      <c r="G453" s="2">
        <v>6.1891000000000002E-2</v>
      </c>
      <c r="H453" s="2">
        <v>1.7708999999999999E-2</v>
      </c>
      <c r="I453" s="2">
        <v>1.1858E-2</v>
      </c>
      <c r="J453" s="2">
        <v>4.6969999999999998E-2</v>
      </c>
      <c r="K453" s="2">
        <v>4.6025000000000003E-2</v>
      </c>
      <c r="L453" s="2">
        <f>(1/COUNT(D453:K453))*SQRT(SUMSQ(D453:K453))</f>
        <v>1.2320321840357905E-2</v>
      </c>
    </row>
    <row r="454" spans="2:14" x14ac:dyDescent="0.55000000000000004">
      <c r="B454" s="2" t="s">
        <v>32</v>
      </c>
      <c r="C454" s="2" t="s">
        <v>22</v>
      </c>
      <c r="D454" s="2">
        <v>0.95047700000000002</v>
      </c>
      <c r="E454" s="2">
        <v>0.94095899999999999</v>
      </c>
      <c r="F454" s="2">
        <v>0.93046200000000001</v>
      </c>
      <c r="G454" s="2">
        <v>0.92015599999999997</v>
      </c>
      <c r="H454" s="2">
        <v>0.95018999999999998</v>
      </c>
      <c r="I454" s="2">
        <v>0.935724</v>
      </c>
      <c r="J454" s="2">
        <v>0.95207200000000003</v>
      </c>
      <c r="K454" s="2">
        <v>0.93244000000000005</v>
      </c>
      <c r="L454" s="2">
        <f>AVERAGE(D454:K454)</f>
        <v>0.93905999999999989</v>
      </c>
      <c r="M454" s="2">
        <f xml:space="preserve"> _xlfn.STDEV.S(D454:K454) / SQRT(COUNT(D454:K454))</f>
        <v>4.0386155026904255E-3</v>
      </c>
      <c r="N454" s="2">
        <f>M454*$N$2</f>
        <v>4.5198534057777082E-3</v>
      </c>
    </row>
    <row r="455" spans="2:14" x14ac:dyDescent="0.55000000000000004">
      <c r="C455" s="2" t="s">
        <v>23</v>
      </c>
      <c r="D455" s="2">
        <v>4.2499999999999998E-4</v>
      </c>
      <c r="E455" s="2">
        <v>1.6329999999999999E-3</v>
      </c>
      <c r="F455" s="2">
        <v>6.3199999999999997E-4</v>
      </c>
      <c r="G455" s="2">
        <v>6.7500000000000004E-4</v>
      </c>
      <c r="H455" s="2">
        <v>2.1699999999999999E-4</v>
      </c>
      <c r="I455" s="2">
        <v>6.7400000000000001E-4</v>
      </c>
      <c r="J455" s="2">
        <v>7.1000000000000002E-4</v>
      </c>
      <c r="K455" s="2">
        <v>8.7000000000000001E-5</v>
      </c>
      <c r="L455" s="2">
        <f>(1/COUNT(D455:K455))*SQRT(SUMSQ(D455:K455))</f>
        <v>2.714370610749387E-4</v>
      </c>
    </row>
    <row r="456" spans="2:14" x14ac:dyDescent="0.55000000000000004">
      <c r="C456" s="2" t="s">
        <v>24</v>
      </c>
      <c r="D456" s="2">
        <v>0.308508</v>
      </c>
      <c r="E456" s="2">
        <v>0.33430399999999999</v>
      </c>
      <c r="F456" s="2">
        <v>0.36482999999999999</v>
      </c>
      <c r="G456" s="2">
        <v>0.39160899999999998</v>
      </c>
      <c r="H456" s="2">
        <v>0.309998</v>
      </c>
      <c r="I456" s="2">
        <v>0.35260900000000001</v>
      </c>
      <c r="J456" s="2">
        <v>0.30197099999999999</v>
      </c>
      <c r="K456" s="2">
        <v>0.35977300000000001</v>
      </c>
      <c r="L456" s="2">
        <f>AVERAGE(D456:K456)</f>
        <v>0.34045025000000001</v>
      </c>
      <c r="M456" s="2">
        <f xml:space="preserve"> _xlfn.STDEV.S(D456:K456) / SQRT(COUNT(D456:K456))</f>
        <v>1.1338044139958302E-2</v>
      </c>
      <c r="N456" s="2">
        <f>M456*$N$2</f>
        <v>1.2689075596998405E-2</v>
      </c>
    </row>
    <row r="457" spans="2:14" x14ac:dyDescent="0.55000000000000004">
      <c r="C457" s="2" t="s">
        <v>25</v>
      </c>
      <c r="D457" s="2">
        <v>1.0989999999999999E-3</v>
      </c>
      <c r="E457" s="2">
        <v>4.4470000000000004E-3</v>
      </c>
      <c r="F457" s="2">
        <v>1.4840000000000001E-3</v>
      </c>
      <c r="G457" s="2">
        <v>1.511E-3</v>
      </c>
      <c r="H457" s="2">
        <v>6.2100000000000002E-4</v>
      </c>
      <c r="I457" s="2">
        <v>1.7240000000000001E-3</v>
      </c>
      <c r="J457" s="2">
        <v>2.1069999999999999E-3</v>
      </c>
      <c r="K457" s="2">
        <v>2.32E-4</v>
      </c>
      <c r="L457" s="2">
        <f>(1/COUNT(D457:K457))*SQRT(SUMSQ(D457:K457))</f>
        <v>7.2154431819882001E-4</v>
      </c>
    </row>
    <row r="458" spans="2:14" x14ac:dyDescent="0.55000000000000004">
      <c r="C458" s="2" t="s">
        <v>26</v>
      </c>
      <c r="D458" s="2">
        <v>0.64620999999999995</v>
      </c>
      <c r="E458" s="2">
        <v>0.74992999999999999</v>
      </c>
      <c r="F458" s="2">
        <v>0.59085900000000002</v>
      </c>
      <c r="G458" s="2">
        <v>0.697523</v>
      </c>
      <c r="H458" s="2">
        <v>0.63827199999999995</v>
      </c>
      <c r="I458" s="2">
        <v>0.63649599999999995</v>
      </c>
      <c r="J458" s="2">
        <v>0.715808</v>
      </c>
      <c r="K458" s="2">
        <v>0.56314299999999995</v>
      </c>
      <c r="L458" s="2">
        <f>AVERAGE(D458:K458)</f>
        <v>0.65478012500000005</v>
      </c>
      <c r="M458" s="2">
        <f xml:space="preserve"> _xlfn.STDEV.S(D458:K458) / SQRT(COUNT(D458:K458))</f>
        <v>2.226801075328648E-2</v>
      </c>
      <c r="N458" s="2">
        <f>M458*$N$2</f>
        <v>2.4921447504989577E-2</v>
      </c>
    </row>
    <row r="459" spans="2:14" x14ac:dyDescent="0.55000000000000004">
      <c r="C459" s="2" t="s">
        <v>27</v>
      </c>
      <c r="D459" s="2">
        <v>1.0300000000000001E-3</v>
      </c>
      <c r="E459" s="2">
        <v>3.3739999999999998E-3</v>
      </c>
      <c r="F459" s="2">
        <v>5.8100000000000003E-4</v>
      </c>
      <c r="G459" s="2">
        <v>1.957E-3</v>
      </c>
      <c r="H459" s="2">
        <v>4.8299999999999998E-4</v>
      </c>
      <c r="I459" s="2">
        <v>1.335E-3</v>
      </c>
      <c r="J459" s="2">
        <v>1.7160000000000001E-3</v>
      </c>
      <c r="K459" s="2">
        <v>1.66E-4</v>
      </c>
      <c r="L459" s="2">
        <f>(1/COUNT(D459:K459))*SQRT(SUMSQ(D459:K459))</f>
        <v>5.8094631851832916E-4</v>
      </c>
    </row>
    <row r="460" spans="2:14" x14ac:dyDescent="0.55000000000000004">
      <c r="C460" s="2" t="s">
        <v>28</v>
      </c>
      <c r="D460" s="2">
        <v>2.42347</v>
      </c>
      <c r="E460" s="2">
        <v>2.7295370000000001</v>
      </c>
      <c r="F460" s="2">
        <v>3.2102870000000001</v>
      </c>
      <c r="G460" s="2">
        <v>3.5048439999999998</v>
      </c>
      <c r="H460" s="2">
        <v>1.8077909999999999</v>
      </c>
      <c r="I460" s="2">
        <v>3.0878429999999999</v>
      </c>
      <c r="J460" s="2">
        <v>3.1285229999999999</v>
      </c>
      <c r="K460" s="2">
        <v>2.6630159999999998</v>
      </c>
      <c r="L460" s="2">
        <f>AVERAGE(D460:K460)</f>
        <v>2.819413875</v>
      </c>
      <c r="M460" s="2">
        <f xml:space="preserve"> _xlfn.STDEV.S(D460:K460) / SQRT(COUNT(D460:K460))</f>
        <v>0.18911870061970926</v>
      </c>
      <c r="N460" s="2">
        <f>M460*$N$2</f>
        <v>0.21165392014238757</v>
      </c>
    </row>
    <row r="461" spans="2:14" x14ac:dyDescent="0.55000000000000004">
      <c r="C461" s="2" t="s">
        <v>29</v>
      </c>
      <c r="D461" s="2">
        <v>2.4785000000000001E-2</v>
      </c>
      <c r="E461" s="2">
        <v>2.3644999999999999E-2</v>
      </c>
      <c r="F461" s="2">
        <v>9.0709999999999992E-3</v>
      </c>
      <c r="G461" s="2">
        <v>2.8206999999999999E-2</v>
      </c>
      <c r="H461" s="2">
        <v>4.7829999999999999E-3</v>
      </c>
      <c r="I461" s="2">
        <v>2.8579E-2</v>
      </c>
      <c r="J461" s="2">
        <v>1.7437999999999999E-2</v>
      </c>
      <c r="K461" s="2">
        <v>2.6189999999999998E-3</v>
      </c>
      <c r="L461" s="2">
        <f>(1/COUNT(D461:K461))*SQRT(SUMSQ(D461:K461))</f>
        <v>7.0731440531686474E-3</v>
      </c>
    </row>
    <row r="462" spans="2:14" x14ac:dyDescent="0.55000000000000004">
      <c r="C462" s="2" t="s">
        <v>30</v>
      </c>
      <c r="D462" s="2">
        <v>16.742550999999999</v>
      </c>
      <c r="E462" s="2">
        <v>20.458991000000001</v>
      </c>
      <c r="F462" s="2">
        <v>21.869600999999999</v>
      </c>
      <c r="G462" s="2">
        <v>35.830446999999999</v>
      </c>
      <c r="H462" s="2">
        <v>13.010083</v>
      </c>
      <c r="I462" s="2">
        <v>18.251816000000002</v>
      </c>
      <c r="J462" s="2">
        <v>25.138428999999999</v>
      </c>
      <c r="K462" s="2">
        <v>29.328403000000002</v>
      </c>
      <c r="L462" s="2">
        <f>AVERAGE(D462:K462)</f>
        <v>22.578790125000001</v>
      </c>
      <c r="M462" s="2">
        <f xml:space="preserve"> _xlfn.STDEV.S(D462:K462) / SQRT(COUNT(D462:K462))</f>
        <v>2.5948316792971462</v>
      </c>
      <c r="N462" s="2">
        <f>M462*$N$2</f>
        <v>2.9040295604466486</v>
      </c>
    </row>
    <row r="463" spans="2:14" x14ac:dyDescent="0.55000000000000004">
      <c r="C463" s="2" t="s">
        <v>31</v>
      </c>
      <c r="D463" s="2">
        <v>6.411E-2</v>
      </c>
      <c r="E463" s="2">
        <v>8.4655999999999995E-2</v>
      </c>
      <c r="F463" s="2">
        <v>3.9129999999999998E-2</v>
      </c>
      <c r="G463" s="2">
        <v>0.20508499999999999</v>
      </c>
      <c r="H463" s="2">
        <v>3.3242000000000001E-2</v>
      </c>
      <c r="I463" s="2">
        <v>8.4352999999999997E-2</v>
      </c>
      <c r="J463" s="2">
        <v>0.19621</v>
      </c>
      <c r="K463" s="2">
        <v>0.31824000000000002</v>
      </c>
      <c r="L463" s="2">
        <f>(1/COUNT(D463:K463))*SQRT(SUMSQ(D463:K463))</f>
        <v>5.6300430925582179E-2</v>
      </c>
    </row>
    <row r="464" spans="2:14" x14ac:dyDescent="0.55000000000000004">
      <c r="B464" s="2" t="s">
        <v>33</v>
      </c>
      <c r="C464" s="2" t="s">
        <v>22</v>
      </c>
      <c r="D464" s="2">
        <v>0.95573399999999997</v>
      </c>
      <c r="E464" s="2">
        <v>0.94911800000000002</v>
      </c>
      <c r="F464" s="2">
        <v>0.93082399999999998</v>
      </c>
      <c r="G464" s="2">
        <v>0.92524499999999998</v>
      </c>
      <c r="H464" s="2">
        <v>0.95366899999999999</v>
      </c>
      <c r="I464" s="2">
        <v>0.93695899999999999</v>
      </c>
      <c r="J464" s="2">
        <v>0.94348600000000005</v>
      </c>
      <c r="K464" s="2">
        <v>0.93299799999999999</v>
      </c>
      <c r="L464" s="2">
        <f>AVERAGE(D464:K464)</f>
        <v>0.94100412499999986</v>
      </c>
      <c r="M464" s="2">
        <f xml:space="preserve"> _xlfn.STDEV.S(D464:K464) / SQRT(COUNT(D464:K464))</f>
        <v>3.9681972041897429E-3</v>
      </c>
      <c r="N464" s="2">
        <f>M464*$N$2</f>
        <v>4.4410441242069944E-3</v>
      </c>
    </row>
    <row r="465" spans="2:14" x14ac:dyDescent="0.55000000000000004">
      <c r="C465" s="2" t="s">
        <v>23</v>
      </c>
      <c r="D465" s="2">
        <v>4.8000000000000001E-5</v>
      </c>
      <c r="E465" s="2">
        <v>1.45E-4</v>
      </c>
      <c r="F465" s="2">
        <v>1.26E-4</v>
      </c>
      <c r="G465" s="2">
        <v>1.1900000000000001E-4</v>
      </c>
      <c r="H465" s="2">
        <v>6.0999999999999999E-5</v>
      </c>
      <c r="I465" s="2">
        <v>7.2999999999999999E-5</v>
      </c>
      <c r="J465" s="2">
        <v>2.34E-4</v>
      </c>
      <c r="K465" s="2">
        <v>2.9E-5</v>
      </c>
      <c r="L465" s="2">
        <f>(1/COUNT(D465:K465))*SQRT(SUMSQ(D465:K465))</f>
        <v>4.2941275307098178E-5</v>
      </c>
    </row>
    <row r="466" spans="2:14" x14ac:dyDescent="0.55000000000000004">
      <c r="C466" s="2" t="s">
        <v>24</v>
      </c>
      <c r="D466" s="2">
        <v>0.29245300000000002</v>
      </c>
      <c r="E466" s="2">
        <v>0.311751</v>
      </c>
      <c r="F466" s="2">
        <v>0.36391899999999999</v>
      </c>
      <c r="G466" s="2">
        <v>0.37926700000000002</v>
      </c>
      <c r="H466" s="2">
        <v>0.29985099999999998</v>
      </c>
      <c r="I466" s="2">
        <v>0.349825</v>
      </c>
      <c r="J466" s="2">
        <v>0.32584200000000002</v>
      </c>
      <c r="K466" s="2">
        <v>0.358126</v>
      </c>
      <c r="L466" s="2">
        <f>AVERAGE(D466:K466)</f>
        <v>0.33512924999999999</v>
      </c>
      <c r="M466" s="2">
        <f xml:space="preserve"> _xlfn.STDEV.S(D466:K466) / SQRT(COUNT(D466:K466))</f>
        <v>1.1355001322183353E-2</v>
      </c>
      <c r="N466" s="2">
        <f>M466*$N$2</f>
        <v>1.2708053382276856E-2</v>
      </c>
    </row>
    <row r="467" spans="2:14" x14ac:dyDescent="0.55000000000000004">
      <c r="C467" s="2" t="s">
        <v>25</v>
      </c>
      <c r="D467" s="2">
        <v>1.4899999999999999E-4</v>
      </c>
      <c r="E467" s="2">
        <v>4.35E-4</v>
      </c>
      <c r="F467" s="2">
        <v>3.0200000000000002E-4</v>
      </c>
      <c r="G467" s="2">
        <v>2.9300000000000002E-4</v>
      </c>
      <c r="H467" s="2">
        <v>1.8799999999999999E-4</v>
      </c>
      <c r="I467" s="2">
        <v>1.9599999999999999E-4</v>
      </c>
      <c r="J467" s="2">
        <v>6.6299999999999996E-4</v>
      </c>
      <c r="K467" s="2">
        <v>7.7000000000000001E-5</v>
      </c>
      <c r="L467" s="2">
        <f>(1/COUNT(D467:K467))*SQRT(SUMSQ(D467:K467))</f>
        <v>1.1909404109778121E-4</v>
      </c>
    </row>
    <row r="468" spans="2:14" x14ac:dyDescent="0.55000000000000004">
      <c r="C468" s="2" t="s">
        <v>26</v>
      </c>
      <c r="D468" s="2">
        <v>0.65745100000000001</v>
      </c>
      <c r="E468" s="2">
        <v>0.766482</v>
      </c>
      <c r="F468" s="2">
        <v>0.59136599999999995</v>
      </c>
      <c r="G468" s="2">
        <v>0.70409100000000002</v>
      </c>
      <c r="H468" s="2">
        <v>0.64754800000000001</v>
      </c>
      <c r="I468" s="2">
        <v>0.63773899999999994</v>
      </c>
      <c r="J468" s="2">
        <v>0.69769400000000004</v>
      </c>
      <c r="K468" s="2">
        <v>0.56461099999999997</v>
      </c>
      <c r="L468" s="2">
        <f>AVERAGE(D468:K468)</f>
        <v>0.65837275000000006</v>
      </c>
      <c r="M468" s="2">
        <f xml:space="preserve"> _xlfn.STDEV.S(D468:K468) / SQRT(COUNT(D468:K468))</f>
        <v>2.2814811841174905E-2</v>
      </c>
      <c r="N468" s="2">
        <f>M468*$N$2</f>
        <v>2.5533404933897833E-2</v>
      </c>
    </row>
    <row r="469" spans="2:14" x14ac:dyDescent="0.55000000000000004">
      <c r="C469" s="2" t="s">
        <v>27</v>
      </c>
      <c r="D469" s="2">
        <v>1.47E-4</v>
      </c>
      <c r="E469" s="2">
        <v>3.1E-4</v>
      </c>
      <c r="F469" s="2">
        <v>1.08E-4</v>
      </c>
      <c r="G469" s="2">
        <v>3.19E-4</v>
      </c>
      <c r="H469" s="2">
        <v>1.6100000000000001E-4</v>
      </c>
      <c r="I469" s="2">
        <v>1.5699999999999999E-4</v>
      </c>
      <c r="J469" s="2">
        <v>4.86E-4</v>
      </c>
      <c r="K469" s="2">
        <v>6.7000000000000002E-5</v>
      </c>
      <c r="L469" s="2">
        <f>(1/COUNT(D469:K469))*SQRT(SUMSQ(D469:K469))</f>
        <v>9.0345603794539991E-5</v>
      </c>
    </row>
    <row r="470" spans="2:14" x14ac:dyDescent="0.55000000000000004">
      <c r="C470" s="2" t="s">
        <v>28</v>
      </c>
      <c r="D470" s="2">
        <v>2.1721529999999998</v>
      </c>
      <c r="E470" s="2">
        <v>2.570754</v>
      </c>
      <c r="F470" s="2">
        <v>3.1814640000000001</v>
      </c>
      <c r="G470" s="2">
        <v>3.4146649999999998</v>
      </c>
      <c r="H470" s="2">
        <v>1.727627</v>
      </c>
      <c r="I470" s="2">
        <v>3.0347300000000001</v>
      </c>
      <c r="J470" s="2">
        <v>3.2133910000000001</v>
      </c>
      <c r="K470" s="2">
        <v>2.6288330000000002</v>
      </c>
      <c r="L470" s="2">
        <f>AVERAGE(D470:K470)</f>
        <v>2.7429521250000004</v>
      </c>
      <c r="M470" s="2">
        <f xml:space="preserve"> _xlfn.STDEV.S(D470:K470) / SQRT(COUNT(D470:K470))</f>
        <v>0.20482178812623814</v>
      </c>
      <c r="N470" s="2">
        <f>M470*$N$2</f>
        <v>0.22922817386877664</v>
      </c>
    </row>
    <row r="471" spans="2:14" x14ac:dyDescent="0.55000000000000004">
      <c r="C471" s="2" t="s">
        <v>29</v>
      </c>
      <c r="D471" s="2">
        <v>1.462E-3</v>
      </c>
      <c r="E471" s="2">
        <v>1.9419999999999999E-3</v>
      </c>
      <c r="F471" s="2">
        <v>1.3209999999999999E-3</v>
      </c>
      <c r="G471" s="2">
        <v>3.3549999999999999E-3</v>
      </c>
      <c r="H471" s="2">
        <v>1.322E-3</v>
      </c>
      <c r="I471" s="2">
        <v>2.996E-3</v>
      </c>
      <c r="J471" s="2">
        <v>4.81E-3</v>
      </c>
      <c r="K471" s="2">
        <v>9.5299999999999996E-4</v>
      </c>
      <c r="L471" s="2">
        <f>(1/COUNT(D471:K471))*SQRT(SUMSQ(D471:K471))</f>
        <v>9.15814894984243E-4</v>
      </c>
    </row>
    <row r="472" spans="2:14" x14ac:dyDescent="0.55000000000000004">
      <c r="C472" s="2" t="s">
        <v>30</v>
      </c>
      <c r="D472" s="2">
        <v>15.552531999999999</v>
      </c>
      <c r="E472" s="2">
        <v>19.882919000000001</v>
      </c>
      <c r="F472" s="2">
        <v>21.656793</v>
      </c>
      <c r="G472" s="2">
        <v>34.246488999999997</v>
      </c>
      <c r="H472" s="2">
        <v>12.350714999999999</v>
      </c>
      <c r="I472" s="2">
        <v>18.014137000000002</v>
      </c>
      <c r="J472" s="2">
        <v>24.805426000000001</v>
      </c>
      <c r="K472" s="2">
        <v>26.984134000000001</v>
      </c>
      <c r="L472" s="2">
        <f>AVERAGE(D472:K472)</f>
        <v>21.686643125</v>
      </c>
      <c r="M472" s="2">
        <f xml:space="preserve"> _xlfn.STDEV.S(D472:K472) / SQRT(COUNT(D472:K472))</f>
        <v>2.453381161173664</v>
      </c>
      <c r="N472" s="2">
        <f>M472*$N$2</f>
        <v>2.7457239218773091</v>
      </c>
    </row>
    <row r="473" spans="2:14" x14ac:dyDescent="0.55000000000000004">
      <c r="C473" s="2" t="s">
        <v>31</v>
      </c>
      <c r="D473" s="2">
        <v>5.6899999999999997E-3</v>
      </c>
      <c r="E473" s="2">
        <v>1.1521999999999999E-2</v>
      </c>
      <c r="F473" s="2">
        <v>4.0410000000000003E-3</v>
      </c>
      <c r="G473" s="2">
        <v>2.0719999999999999E-2</v>
      </c>
      <c r="H473" s="2">
        <v>1.0022E-2</v>
      </c>
      <c r="I473" s="2">
        <v>1.1183999999999999E-2</v>
      </c>
      <c r="J473" s="2">
        <v>3.9926999999999997E-2</v>
      </c>
      <c r="K473" s="2">
        <v>5.5330999999999998E-2</v>
      </c>
      <c r="L473" s="2">
        <f>(1/COUNT(D473:K473))*SQRT(SUMSQ(D473:K473))</f>
        <v>9.2634934479047908E-3</v>
      </c>
    </row>
    <row r="474" spans="2:14" x14ac:dyDescent="0.55000000000000004">
      <c r="B474" s="2" t="s">
        <v>34</v>
      </c>
      <c r="C474" s="2" t="s">
        <v>22</v>
      </c>
      <c r="D474" s="2">
        <v>0.94940400000000003</v>
      </c>
      <c r="E474" s="2">
        <v>0.93900799999999995</v>
      </c>
      <c r="F474" s="2">
        <v>0.93251600000000001</v>
      </c>
      <c r="G474" s="2">
        <v>0.91714300000000004</v>
      </c>
      <c r="H474" s="2">
        <v>0.94878200000000001</v>
      </c>
      <c r="I474" s="2">
        <v>0.93767599999999995</v>
      </c>
      <c r="J474" s="2">
        <v>0.95193300000000003</v>
      </c>
      <c r="K474" s="2">
        <v>0.93112200000000001</v>
      </c>
      <c r="L474" s="2">
        <f>AVERAGE(D474:K474)</f>
        <v>0.93844799999999995</v>
      </c>
      <c r="M474" s="2">
        <f xml:space="preserve"> _xlfn.STDEV.S(D474:K474) / SQRT(COUNT(D474:K474))</f>
        <v>4.1238466482849991E-3</v>
      </c>
      <c r="N474" s="2">
        <f>M474*$N$2</f>
        <v>4.6152406203905719E-3</v>
      </c>
    </row>
    <row r="475" spans="2:14" x14ac:dyDescent="0.55000000000000004">
      <c r="C475" s="2" t="s">
        <v>23</v>
      </c>
      <c r="D475" s="2">
        <v>1.14E-3</v>
      </c>
      <c r="E475" s="2">
        <v>2.3479999999999998E-3</v>
      </c>
      <c r="F475" s="2">
        <v>8.0599999999999997E-4</v>
      </c>
      <c r="G475" s="2">
        <v>2.1220000000000002E-3</v>
      </c>
      <c r="H475" s="2">
        <v>2.81E-4</v>
      </c>
      <c r="I475" s="2">
        <v>7.27E-4</v>
      </c>
      <c r="J475" s="2">
        <v>9.3099999999999997E-4</v>
      </c>
      <c r="K475" s="2">
        <v>1.73E-4</v>
      </c>
      <c r="L475" s="2">
        <f>(1/COUNT(D475:K475))*SQRT(SUMSQ(D475:K475))</f>
        <v>4.5875858302597459E-4</v>
      </c>
    </row>
    <row r="476" spans="2:14" x14ac:dyDescent="0.55000000000000004">
      <c r="C476" s="2" t="s">
        <v>24</v>
      </c>
      <c r="D476" s="2">
        <v>0.31194100000000002</v>
      </c>
      <c r="E476" s="2">
        <v>0.33971499999999999</v>
      </c>
      <c r="F476" s="2">
        <v>0.35997800000000002</v>
      </c>
      <c r="G476" s="2">
        <v>0.39822600000000002</v>
      </c>
      <c r="H476" s="2">
        <v>0.31403999999999999</v>
      </c>
      <c r="I476" s="2">
        <v>0.34728799999999999</v>
      </c>
      <c r="J476" s="2">
        <v>0.30174800000000002</v>
      </c>
      <c r="K476" s="2">
        <v>0.36402200000000001</v>
      </c>
      <c r="L476" s="2">
        <f>AVERAGE(D476:K476)</f>
        <v>0.34211974999999994</v>
      </c>
      <c r="M476" s="2">
        <f xml:space="preserve"> _xlfn.STDEV.S(D476:K476) / SQRT(COUNT(D476:K476))</f>
        <v>1.1423767577714581E-2</v>
      </c>
      <c r="N476" s="2">
        <f>M476*$N$2</f>
        <v>1.278501376487786E-2</v>
      </c>
    </row>
    <row r="477" spans="2:14" x14ac:dyDescent="0.55000000000000004">
      <c r="C477" s="2" t="s">
        <v>25</v>
      </c>
      <c r="D477" s="2">
        <v>3.0890000000000002E-3</v>
      </c>
      <c r="E477" s="2">
        <v>5.6889999999999996E-3</v>
      </c>
      <c r="F477" s="2">
        <v>1.9530000000000001E-3</v>
      </c>
      <c r="G477" s="2">
        <v>4.7369999999999999E-3</v>
      </c>
      <c r="H477" s="2">
        <v>8.0000000000000004E-4</v>
      </c>
      <c r="I477" s="2">
        <v>1.9550000000000001E-3</v>
      </c>
      <c r="J477" s="2">
        <v>2.666E-3</v>
      </c>
      <c r="K477" s="2">
        <v>4.46E-4</v>
      </c>
      <c r="L477" s="2">
        <f>(1/COUNT(D477:K477))*SQRT(SUMSQ(D477:K477))</f>
        <v>1.117534374471318E-3</v>
      </c>
    </row>
    <row r="478" spans="2:14" x14ac:dyDescent="0.55000000000000004">
      <c r="C478" s="2" t="s">
        <v>26</v>
      </c>
      <c r="D478" s="2">
        <v>0.64247600000000005</v>
      </c>
      <c r="E478" s="2">
        <v>0.74798100000000001</v>
      </c>
      <c r="F478" s="2">
        <v>0.59265100000000004</v>
      </c>
      <c r="G478" s="2">
        <v>0.68835000000000002</v>
      </c>
      <c r="H478" s="2">
        <v>0.63523399999999997</v>
      </c>
      <c r="I478" s="2">
        <v>0.63938399999999995</v>
      </c>
      <c r="J478" s="2">
        <v>0.71657000000000004</v>
      </c>
      <c r="K478" s="2">
        <v>0.55694999999999995</v>
      </c>
      <c r="L478" s="2">
        <f>AVERAGE(D478:K478)</f>
        <v>0.65244950000000002</v>
      </c>
      <c r="M478" s="2">
        <f xml:space="preserve"> _xlfn.STDEV.S(D478:K478) / SQRT(COUNT(D478:K478))</f>
        <v>2.2276316077843753E-2</v>
      </c>
      <c r="N478" s="2">
        <f>M478*$N$2</f>
        <v>2.4930742484781852E-2</v>
      </c>
    </row>
    <row r="479" spans="2:14" x14ac:dyDescent="0.55000000000000004">
      <c r="C479" s="2" t="s">
        <v>27</v>
      </c>
      <c r="D479" s="2">
        <v>3.0219999999999999E-3</v>
      </c>
      <c r="E479" s="2">
        <v>4.4650000000000002E-3</v>
      </c>
      <c r="F479" s="2">
        <v>8.8000000000000003E-4</v>
      </c>
      <c r="G479" s="2">
        <v>5.731E-3</v>
      </c>
      <c r="H479" s="2">
        <v>6.6399999999999999E-4</v>
      </c>
      <c r="I479" s="2">
        <v>1.5690000000000001E-3</v>
      </c>
      <c r="J479" s="2">
        <v>2.1129999999999999E-3</v>
      </c>
      <c r="K479" s="2">
        <v>3.0600000000000001E-4</v>
      </c>
      <c r="L479" s="2">
        <f>(1/COUNT(D479:K479))*SQRT(SUMSQ(D479:K479))</f>
        <v>1.0469340057997923E-3</v>
      </c>
    </row>
    <row r="480" spans="2:14" x14ac:dyDescent="0.55000000000000004">
      <c r="C480" s="2" t="s">
        <v>28</v>
      </c>
      <c r="D480" s="2">
        <v>2.4429159999999999</v>
      </c>
      <c r="E480" s="2">
        <v>2.787674</v>
      </c>
      <c r="F480" s="2">
        <v>3.1766160000000001</v>
      </c>
      <c r="G480" s="2">
        <v>3.6239919999999999</v>
      </c>
      <c r="H480" s="2">
        <v>1.836158</v>
      </c>
      <c r="I480" s="2">
        <v>2.9775209999999999</v>
      </c>
      <c r="J480" s="2">
        <v>3.1253030000000002</v>
      </c>
      <c r="K480" s="2">
        <v>2.8378459999999999</v>
      </c>
      <c r="L480" s="2">
        <f>AVERAGE(D480:K480)</f>
        <v>2.8510032499999993</v>
      </c>
      <c r="M480" s="2">
        <f xml:space="preserve"> _xlfn.STDEV.S(D480:K480) / SQRT(COUNT(D480:K480))</f>
        <v>0.18876535683495327</v>
      </c>
      <c r="N480" s="2">
        <f>M480*$N$2</f>
        <v>0.21125847222022814</v>
      </c>
    </row>
    <row r="481" spans="2:14" x14ac:dyDescent="0.55000000000000004">
      <c r="C481" s="2" t="s">
        <v>29</v>
      </c>
      <c r="D481" s="2">
        <v>4.7608999999999999E-2</v>
      </c>
      <c r="E481" s="2">
        <v>3.9955999999999998E-2</v>
      </c>
      <c r="F481" s="2">
        <v>8.9149999999999993E-3</v>
      </c>
      <c r="G481" s="2">
        <v>7.3181999999999997E-2</v>
      </c>
      <c r="H481" s="2">
        <v>6.1850000000000004E-3</v>
      </c>
      <c r="I481" s="2">
        <v>3.0752999999999999E-2</v>
      </c>
      <c r="J481" s="2">
        <v>2.181E-2</v>
      </c>
      <c r="K481" s="2">
        <v>3.4810000000000002E-3</v>
      </c>
      <c r="L481" s="2">
        <f>(1/COUNT(D481:K481))*SQRT(SUMSQ(D481:K481))</f>
        <v>1.297231177655413E-2</v>
      </c>
    </row>
    <row r="482" spans="2:14" x14ac:dyDescent="0.55000000000000004">
      <c r="C482" s="2" t="s">
        <v>30</v>
      </c>
      <c r="D482" s="2">
        <v>16.758714000000001</v>
      </c>
      <c r="E482" s="2">
        <v>20.396481999999999</v>
      </c>
      <c r="F482" s="2">
        <v>21.687895999999999</v>
      </c>
      <c r="G482" s="2">
        <v>35.203239000000004</v>
      </c>
      <c r="H482" s="2">
        <v>13.151729</v>
      </c>
      <c r="I482" s="2">
        <v>17.916999000000001</v>
      </c>
      <c r="J482" s="2">
        <v>24.785688</v>
      </c>
      <c r="K482" s="2">
        <v>46.030023</v>
      </c>
      <c r="L482" s="2">
        <f>AVERAGE(D482:K482)</f>
        <v>24.491346250000003</v>
      </c>
      <c r="M482" s="2">
        <f xml:space="preserve"> _xlfn.STDEV.S(D482:K482) / SQRT(COUNT(D482:K482))</f>
        <v>3.8613831919363957</v>
      </c>
      <c r="N482" s="2">
        <f>M482*$N$2</f>
        <v>4.3215022473567579</v>
      </c>
    </row>
    <row r="483" spans="2:14" x14ac:dyDescent="0.55000000000000004">
      <c r="C483" s="2" t="s">
        <v>31</v>
      </c>
      <c r="D483" s="2">
        <v>5.7251000000000003E-2</v>
      </c>
      <c r="E483" s="2">
        <v>8.8311000000000001E-2</v>
      </c>
      <c r="F483" s="2">
        <v>1.9229E-2</v>
      </c>
      <c r="G483" s="2">
        <v>0.25754300000000002</v>
      </c>
      <c r="H483" s="2">
        <v>4.2981999999999999E-2</v>
      </c>
      <c r="I483" s="2">
        <v>8.3071000000000006E-2</v>
      </c>
      <c r="J483" s="2">
        <v>0.19146099999999999</v>
      </c>
      <c r="K483" s="2">
        <v>8.0987000000000003E-2</v>
      </c>
      <c r="L483" s="2">
        <f>(1/COUNT(D483:K483))*SQRT(SUMSQ(D483:K483))</f>
        <v>4.5024145096513209E-2</v>
      </c>
    </row>
    <row r="484" spans="2:14" x14ac:dyDescent="0.55000000000000004">
      <c r="B484" s="2" t="s">
        <v>35</v>
      </c>
      <c r="C484" s="2" t="s">
        <v>22</v>
      </c>
      <c r="D484" s="2">
        <v>0.94764999999999999</v>
      </c>
      <c r="E484" s="2">
        <v>0.93706</v>
      </c>
      <c r="F484" s="2">
        <v>0.92635699999999999</v>
      </c>
      <c r="G484" s="2">
        <v>0.91983400000000004</v>
      </c>
      <c r="H484" s="2">
        <v>0.94813599999999998</v>
      </c>
      <c r="I484" s="2">
        <v>0.92940199999999995</v>
      </c>
      <c r="J484" s="2">
        <v>0.93979000000000001</v>
      </c>
      <c r="K484" s="2">
        <v>0.92931299999999994</v>
      </c>
      <c r="L484" s="2">
        <f>AVERAGE(D484:K484)</f>
        <v>0.93469274999999996</v>
      </c>
      <c r="M484" s="2">
        <f xml:space="preserve"> _xlfn.STDEV.S(D484:K484) / SQRT(COUNT(D484:K484))</f>
        <v>3.6040603429128562E-3</v>
      </c>
      <c r="N484" s="2">
        <f>M484*$N$2</f>
        <v>4.0335170319361104E-3</v>
      </c>
    </row>
    <row r="485" spans="2:14" x14ac:dyDescent="0.55000000000000004">
      <c r="C485" s="2" t="s">
        <v>23</v>
      </c>
      <c r="D485" s="2">
        <v>1.4300000000000001E-4</v>
      </c>
      <c r="E485" s="2">
        <v>3.8699999999999997E-4</v>
      </c>
      <c r="F485" s="2">
        <v>1.7200000000000001E-4</v>
      </c>
      <c r="G485" s="2">
        <v>3.4000000000000002E-4</v>
      </c>
      <c r="H485" s="2">
        <v>2.1699999999999999E-4</v>
      </c>
      <c r="I485" s="2">
        <v>2.52E-4</v>
      </c>
      <c r="J485" s="2">
        <v>3.9800000000000002E-4</v>
      </c>
      <c r="K485" s="2">
        <v>7.1000000000000005E-5</v>
      </c>
      <c r="L485" s="2">
        <f>(1/COUNT(D485:K485))*SQRT(SUMSQ(D485:K485))</f>
        <v>9.5968744912080628E-5</v>
      </c>
    </row>
    <row r="486" spans="2:14" x14ac:dyDescent="0.55000000000000004">
      <c r="C486" s="2" t="s">
        <v>24</v>
      </c>
      <c r="D486" s="2">
        <v>0.31438700000000003</v>
      </c>
      <c r="E486" s="2">
        <v>0.34193200000000001</v>
      </c>
      <c r="F486" s="2">
        <v>0.37415399999999999</v>
      </c>
      <c r="G486" s="2">
        <v>0.39191900000000002</v>
      </c>
      <c r="H486" s="2">
        <v>0.31589</v>
      </c>
      <c r="I486" s="2">
        <v>0.36972699999999997</v>
      </c>
      <c r="J486" s="2">
        <v>0.33317099999999999</v>
      </c>
      <c r="K486" s="2">
        <v>0.36863000000000001</v>
      </c>
      <c r="L486" s="2">
        <f>AVERAGE(D486:K486)</f>
        <v>0.35122625000000007</v>
      </c>
      <c r="M486" s="2">
        <f xml:space="preserve"> _xlfn.STDEV.S(D486:K486) / SQRT(COUNT(D486:K486))</f>
        <v>1.0216326156399301E-2</v>
      </c>
      <c r="N486" s="2">
        <f>M486*$N$2</f>
        <v>1.1433694676251245E-2</v>
      </c>
    </row>
    <row r="487" spans="2:14" x14ac:dyDescent="0.55000000000000004">
      <c r="C487" s="2" t="s">
        <v>25</v>
      </c>
      <c r="D487" s="2">
        <v>4.1599999999999997E-4</v>
      </c>
      <c r="E487" s="2">
        <v>1.0820000000000001E-3</v>
      </c>
      <c r="F487" s="2">
        <v>4.1100000000000002E-4</v>
      </c>
      <c r="G487" s="2">
        <v>8.1999999999999998E-4</v>
      </c>
      <c r="H487" s="2">
        <v>6.0999999999999997E-4</v>
      </c>
      <c r="I487" s="2">
        <v>6.3100000000000005E-4</v>
      </c>
      <c r="J487" s="2">
        <v>1.0759999999999999E-3</v>
      </c>
      <c r="K487" s="2">
        <v>1.8900000000000001E-4</v>
      </c>
      <c r="L487" s="2">
        <f>(1/COUNT(D487:K487))*SQRT(SUMSQ(D487:K487))</f>
        <v>2.5460935150736313E-4</v>
      </c>
    </row>
    <row r="488" spans="2:14" x14ac:dyDescent="0.55000000000000004">
      <c r="C488" s="2" t="s">
        <v>26</v>
      </c>
      <c r="D488" s="2">
        <v>0.63749199999999995</v>
      </c>
      <c r="E488" s="2">
        <v>0.74365899999999996</v>
      </c>
      <c r="F488" s="2">
        <v>0.58673500000000001</v>
      </c>
      <c r="G488" s="2">
        <v>0.68855999999999995</v>
      </c>
      <c r="H488" s="2">
        <v>0.63350799999999996</v>
      </c>
      <c r="I488" s="2">
        <v>0.62163100000000004</v>
      </c>
      <c r="J488" s="2">
        <v>0.69199100000000002</v>
      </c>
      <c r="K488" s="2">
        <v>0.55290099999999998</v>
      </c>
      <c r="L488" s="2">
        <f>AVERAGE(D488:K488)</f>
        <v>0.64455962499999997</v>
      </c>
      <c r="M488" s="2">
        <f xml:space="preserve"> _xlfn.STDEV.S(D488:K488) / SQRT(COUNT(D488:K488))</f>
        <v>2.1732651881063249E-2</v>
      </c>
      <c r="N488" s="2">
        <f>M488*$N$2</f>
        <v>2.4322295736191702E-2</v>
      </c>
    </row>
    <row r="489" spans="2:14" x14ac:dyDescent="0.55000000000000004">
      <c r="C489" s="2" t="s">
        <v>27</v>
      </c>
      <c r="D489" s="2">
        <v>3.9800000000000002E-4</v>
      </c>
      <c r="E489" s="2">
        <v>8.0000000000000004E-4</v>
      </c>
      <c r="F489" s="2">
        <v>1.7699999999999999E-4</v>
      </c>
      <c r="G489" s="2">
        <v>1.0380000000000001E-3</v>
      </c>
      <c r="H489" s="2">
        <v>4.95E-4</v>
      </c>
      <c r="I489" s="2">
        <v>4.3399999999999998E-4</v>
      </c>
      <c r="J489" s="2">
        <v>7.6599999999999997E-4</v>
      </c>
      <c r="K489" s="2">
        <v>1.18E-4</v>
      </c>
      <c r="L489" s="2">
        <f>(1/COUNT(D489:K489))*SQRT(SUMSQ(D489:K489))</f>
        <v>2.1437547376040945E-4</v>
      </c>
    </row>
    <row r="490" spans="2:14" x14ac:dyDescent="0.55000000000000004">
      <c r="C490" s="2" t="s">
        <v>28</v>
      </c>
      <c r="D490" s="2">
        <v>2.5177520000000002</v>
      </c>
      <c r="E490" s="2">
        <v>2.7671790000000001</v>
      </c>
      <c r="F490" s="2">
        <v>3.237657</v>
      </c>
      <c r="G490" s="2">
        <v>3.5355690000000002</v>
      </c>
      <c r="H490" s="2">
        <v>1.849394</v>
      </c>
      <c r="I490" s="2">
        <v>3.3546079999999998</v>
      </c>
      <c r="J490" s="2">
        <v>3.334425</v>
      </c>
      <c r="K490" s="2">
        <v>2.9085040000000002</v>
      </c>
      <c r="L490" s="2">
        <f>AVERAGE(D490:K490)</f>
        <v>2.9381360000000001</v>
      </c>
      <c r="M490" s="2">
        <f xml:space="preserve"> _xlfn.STDEV.S(D490:K490) / SQRT(COUNT(D490:K490))</f>
        <v>0.1968193115583062</v>
      </c>
      <c r="N490" s="2">
        <f>M490*$N$2</f>
        <v>0.22027212916827771</v>
      </c>
    </row>
    <row r="491" spans="2:14" x14ac:dyDescent="0.55000000000000004">
      <c r="C491" s="2" t="s">
        <v>29</v>
      </c>
      <c r="D491" s="2">
        <v>6.1479999999999998E-3</v>
      </c>
      <c r="E491" s="2">
        <v>5.9649999999999998E-3</v>
      </c>
      <c r="F491" s="2">
        <v>2.065E-3</v>
      </c>
      <c r="G491" s="2">
        <v>1.0446E-2</v>
      </c>
      <c r="H491" s="2">
        <v>4.1710000000000002E-3</v>
      </c>
      <c r="I491" s="2">
        <v>1.1191E-2</v>
      </c>
      <c r="J491" s="2">
        <v>1.048E-2</v>
      </c>
      <c r="K491" s="2">
        <v>1.3500000000000001E-3</v>
      </c>
      <c r="L491" s="2">
        <f>(1/COUNT(D491:K491))*SQRT(SUMSQ(D491:K491))</f>
        <v>2.6251514599161703E-3</v>
      </c>
    </row>
    <row r="492" spans="2:14" x14ac:dyDescent="0.55000000000000004">
      <c r="C492" s="2" t="s">
        <v>30</v>
      </c>
      <c r="D492" s="2">
        <v>16.119501</v>
      </c>
      <c r="E492" s="2">
        <v>20.223917</v>
      </c>
      <c r="F492" s="2">
        <v>21.653089000000001</v>
      </c>
      <c r="G492" s="2">
        <v>34.483609000000001</v>
      </c>
      <c r="H492" s="2">
        <v>13.321441999999999</v>
      </c>
      <c r="I492" s="2">
        <v>18.819261999999998</v>
      </c>
      <c r="J492" s="2">
        <v>25.799973000000001</v>
      </c>
      <c r="K492" s="2">
        <v>48.695532999999998</v>
      </c>
      <c r="L492" s="2">
        <f>AVERAGE(D492:K492)</f>
        <v>24.889540750000002</v>
      </c>
      <c r="M492" s="2">
        <f xml:space="preserve"> _xlfn.STDEV.S(D492:K492) / SQRT(COUNT(D492:K492))</f>
        <v>4.0957856266930737</v>
      </c>
      <c r="N492" s="2">
        <f>M492*$N$2</f>
        <v>4.5838358719248236</v>
      </c>
    </row>
    <row r="493" spans="2:14" x14ac:dyDescent="0.55000000000000004">
      <c r="C493" s="2" t="s">
        <v>31</v>
      </c>
      <c r="D493" s="2">
        <v>2.2533999999999998E-2</v>
      </c>
      <c r="E493" s="2">
        <v>3.8476000000000003E-2</v>
      </c>
      <c r="F493" s="2">
        <v>1.0368E-2</v>
      </c>
      <c r="G493" s="2">
        <v>6.7566000000000001E-2</v>
      </c>
      <c r="H493" s="2">
        <v>3.7638999999999999E-2</v>
      </c>
      <c r="I493" s="2">
        <v>4.2176999999999999E-2</v>
      </c>
      <c r="J493" s="2">
        <v>0.11621099999999999</v>
      </c>
      <c r="K493" s="2">
        <v>4.0357999999999998E-2</v>
      </c>
      <c r="L493" s="2">
        <f>(1/COUNT(D493:K493))*SQRT(SUMSQ(D493:K493))</f>
        <v>1.9760361936446785E-2</v>
      </c>
    </row>
    <row r="494" spans="2:14" x14ac:dyDescent="0.55000000000000004">
      <c r="B494" s="2" t="s">
        <v>45</v>
      </c>
      <c r="C494" s="2" t="s">
        <v>22</v>
      </c>
      <c r="D494" s="2">
        <v>0.94410499999999997</v>
      </c>
      <c r="E494" s="2">
        <v>0.93173499999999998</v>
      </c>
      <c r="F494" s="2">
        <v>0.92028299999999996</v>
      </c>
      <c r="G494" s="2">
        <v>0.93086899999999995</v>
      </c>
      <c r="H494" s="2">
        <v>0.95011800000000002</v>
      </c>
      <c r="I494" s="2">
        <v>0.93246899999999999</v>
      </c>
      <c r="J494" s="2">
        <v>0.94649300000000003</v>
      </c>
      <c r="K494" s="2">
        <v>0.92954300000000001</v>
      </c>
      <c r="L494" s="2">
        <f>AVERAGE(D494:K494)</f>
        <v>0.93570187500000002</v>
      </c>
      <c r="M494" s="2">
        <f xml:space="preserve"> _xlfn.STDEV.S(D494:K494) / SQRT(COUNT(D494:K494))</f>
        <v>3.5859429295788396E-3</v>
      </c>
      <c r="N494" s="2">
        <f>M494*$N$2</f>
        <v>4.0132407634210499E-3</v>
      </c>
    </row>
    <row r="495" spans="2:14" x14ac:dyDescent="0.55000000000000004">
      <c r="C495" s="2" t="s">
        <v>23</v>
      </c>
      <c r="D495" s="2">
        <v>8.2700000000000004E-4</v>
      </c>
      <c r="E495" s="2">
        <v>2.2780000000000001E-3</v>
      </c>
      <c r="F495" s="2">
        <v>1.882E-3</v>
      </c>
      <c r="G495" s="2">
        <v>1.557E-3</v>
      </c>
      <c r="H495" s="2">
        <v>1.4859999999999999E-3</v>
      </c>
      <c r="I495" s="2">
        <v>1.0189999999999999E-3</v>
      </c>
      <c r="J495" s="2">
        <v>1.3420000000000001E-3</v>
      </c>
      <c r="K495" s="2">
        <v>6.7199999999999996E-4</v>
      </c>
      <c r="L495" s="2">
        <f>(1/COUNT(D495:K495))*SQRT(SUMSQ(D495:K495))</f>
        <v>5.2049392107401222E-4</v>
      </c>
    </row>
    <row r="496" spans="2:14" x14ac:dyDescent="0.55000000000000004">
      <c r="C496" s="2" t="s">
        <v>24</v>
      </c>
      <c r="D496" s="2">
        <v>0.32361499999999999</v>
      </c>
      <c r="E496" s="2">
        <v>0.35230800000000001</v>
      </c>
      <c r="F496" s="2">
        <v>0.38856200000000002</v>
      </c>
      <c r="G496" s="2">
        <v>0.35971700000000001</v>
      </c>
      <c r="H496" s="2">
        <v>0.30999500000000002</v>
      </c>
      <c r="I496" s="2">
        <v>0.359518</v>
      </c>
      <c r="J496" s="2">
        <v>0.313525</v>
      </c>
      <c r="K496" s="2">
        <v>0.36673099999999997</v>
      </c>
      <c r="L496" s="2">
        <f>AVERAGE(D496:K496)</f>
        <v>0.34674637500000005</v>
      </c>
      <c r="M496" s="2">
        <f xml:space="preserve"> _xlfn.STDEV.S(D496:K496) / SQRT(COUNT(D496:K496))</f>
        <v>9.9099505835900312E-3</v>
      </c>
      <c r="N496" s="2">
        <f>M496*$N$2</f>
        <v>1.1090811657234809E-2</v>
      </c>
    </row>
    <row r="497" spans="2:14" x14ac:dyDescent="0.55000000000000004">
      <c r="C497" s="2" t="s">
        <v>25</v>
      </c>
      <c r="D497" s="2">
        <v>2.4550000000000002E-3</v>
      </c>
      <c r="E497" s="2">
        <v>5.11E-3</v>
      </c>
      <c r="F497" s="2">
        <v>4.4749999999999998E-3</v>
      </c>
      <c r="G497" s="2">
        <v>3.689E-3</v>
      </c>
      <c r="H497" s="2">
        <v>4.2979999999999997E-3</v>
      </c>
      <c r="I497" s="2">
        <v>2.761E-3</v>
      </c>
      <c r="J497" s="2">
        <v>3.5929999999999998E-3</v>
      </c>
      <c r="K497" s="2">
        <v>1.4710000000000001E-3</v>
      </c>
      <c r="L497" s="2">
        <f>(1/COUNT(D497:K497))*SQRT(SUMSQ(D497:K497))</f>
        <v>1.2926649193623226E-3</v>
      </c>
    </row>
    <row r="498" spans="2:14" x14ac:dyDescent="0.55000000000000004">
      <c r="C498" s="2" t="s">
        <v>26</v>
      </c>
      <c r="D498" s="2">
        <v>0.62951100000000004</v>
      </c>
      <c r="E498" s="2">
        <v>0.73542399999999997</v>
      </c>
      <c r="F498" s="2">
        <v>0.58028599999999997</v>
      </c>
      <c r="G498" s="2">
        <v>0.70206400000000002</v>
      </c>
      <c r="H498" s="2">
        <v>0.639019</v>
      </c>
      <c r="I498" s="2">
        <v>0.62976100000000002</v>
      </c>
      <c r="J498" s="2">
        <v>0.707762</v>
      </c>
      <c r="K498" s="2">
        <v>0.55665600000000004</v>
      </c>
      <c r="L498" s="2">
        <f>AVERAGE(D498:K498)</f>
        <v>0.64756037500000008</v>
      </c>
      <c r="M498" s="2">
        <f xml:space="preserve"> _xlfn.STDEV.S(D498:K498) / SQRT(COUNT(D498:K498))</f>
        <v>2.2288649052935233E-2</v>
      </c>
      <c r="N498" s="2">
        <f>M498*$N$2</f>
        <v>2.4944545046435337E-2</v>
      </c>
    </row>
    <row r="499" spans="2:14" x14ac:dyDescent="0.55000000000000004">
      <c r="C499" s="2" t="s">
        <v>27</v>
      </c>
      <c r="D499" s="2">
        <v>2.3189999999999999E-3</v>
      </c>
      <c r="E499" s="2">
        <v>3.333E-3</v>
      </c>
      <c r="F499" s="2">
        <v>1.9170000000000001E-3</v>
      </c>
      <c r="G499" s="2">
        <v>3.3059999999999999E-3</v>
      </c>
      <c r="H499" s="2">
        <v>3.503E-3</v>
      </c>
      <c r="I499" s="2">
        <v>2.4719999999999998E-3</v>
      </c>
      <c r="J499" s="2">
        <v>2.421E-3</v>
      </c>
      <c r="K499" s="2">
        <v>8.43E-4</v>
      </c>
      <c r="L499" s="2">
        <f>(1/COUNT(D499:K499))*SQRT(SUMSQ(D499:K499))</f>
        <v>9.3578892184616072E-4</v>
      </c>
    </row>
    <row r="500" spans="2:14" x14ac:dyDescent="0.55000000000000004">
      <c r="C500" s="2" t="s">
        <v>28</v>
      </c>
      <c r="D500" s="2">
        <v>2.7198150000000001</v>
      </c>
      <c r="E500" s="2">
        <v>2.8162929999999999</v>
      </c>
      <c r="F500" s="2">
        <v>3.3068110000000002</v>
      </c>
      <c r="G500" s="2">
        <v>3.4736729999999998</v>
      </c>
      <c r="H500" s="2">
        <v>1.7829280000000001</v>
      </c>
      <c r="I500" s="2">
        <v>3.2525059999999999</v>
      </c>
      <c r="J500" s="2">
        <v>3.2562030000000002</v>
      </c>
      <c r="K500" s="2">
        <v>2.7780849999999999</v>
      </c>
      <c r="L500" s="2">
        <f>AVERAGE(D500:K500)</f>
        <v>2.9232892499999998</v>
      </c>
      <c r="M500" s="2">
        <f xml:space="preserve"> _xlfn.STDEV.S(D500:K500) / SQRT(COUNT(D500:K500))</f>
        <v>0.19103031084534691</v>
      </c>
      <c r="N500" s="2">
        <f>M500*$N$2</f>
        <v>0.21379331617627886</v>
      </c>
    </row>
    <row r="501" spans="2:14" x14ac:dyDescent="0.55000000000000004">
      <c r="C501" s="2" t="s">
        <v>29</v>
      </c>
      <c r="D501" s="2">
        <v>3.0602000000000001E-2</v>
      </c>
      <c r="E501" s="2">
        <v>3.7236999999999999E-2</v>
      </c>
      <c r="F501" s="2">
        <v>2.3102999999999999E-2</v>
      </c>
      <c r="G501" s="2">
        <v>6.5241999999999994E-2</v>
      </c>
      <c r="H501" s="2">
        <v>3.1186999999999999E-2</v>
      </c>
      <c r="I501" s="2">
        <v>4.9028000000000002E-2</v>
      </c>
      <c r="J501" s="2">
        <v>3.0969E-2</v>
      </c>
      <c r="K501" s="2">
        <v>1.6659E-2</v>
      </c>
      <c r="L501" s="2">
        <f>(1/COUNT(D501:K501))*SQRT(SUMSQ(D501:K501))</f>
        <v>1.3536016043434825E-2</v>
      </c>
    </row>
    <row r="502" spans="2:14" x14ac:dyDescent="0.55000000000000004">
      <c r="C502" s="2" t="s">
        <v>30</v>
      </c>
      <c r="D502" s="2">
        <v>16.597904</v>
      </c>
      <c r="E502" s="2">
        <v>19.887297</v>
      </c>
      <c r="F502" s="2">
        <v>21.813362999999999</v>
      </c>
      <c r="G502" s="2">
        <v>29.696807</v>
      </c>
      <c r="H502" s="2">
        <v>13.063912999999999</v>
      </c>
      <c r="I502" s="2">
        <v>18.194295</v>
      </c>
      <c r="J502" s="2">
        <v>26.458402</v>
      </c>
      <c r="K502" s="2">
        <v>39.887918999999997</v>
      </c>
      <c r="L502" s="2">
        <f>AVERAGE(D502:K502)</f>
        <v>23.199987499999999</v>
      </c>
      <c r="M502" s="2">
        <f xml:space="preserve"> _xlfn.STDEV.S(D502:K502) / SQRT(COUNT(D502:K502))</f>
        <v>3.0343100606879316</v>
      </c>
      <c r="N502" s="2">
        <f>M502*$N$2</f>
        <v>3.3958758026976232</v>
      </c>
    </row>
    <row r="503" spans="2:14" x14ac:dyDescent="0.55000000000000004">
      <c r="C503" s="2" t="s">
        <v>31</v>
      </c>
      <c r="D503" s="2">
        <v>0.18191199999999999</v>
      </c>
      <c r="E503" s="2">
        <v>0.131664</v>
      </c>
      <c r="F503" s="2">
        <v>4.9660000000000003E-2</v>
      </c>
      <c r="G503" s="2">
        <v>0.19098100000000001</v>
      </c>
      <c r="H503" s="2">
        <v>0.20945</v>
      </c>
      <c r="I503" s="2">
        <v>0.14611399999999999</v>
      </c>
      <c r="J503" s="2">
        <v>0.150088</v>
      </c>
      <c r="K503" s="2">
        <v>0.64906299999999995</v>
      </c>
      <c r="L503" s="2">
        <f>(1/COUNT(D503:K503))*SQRT(SUMSQ(D503:K503))</f>
        <v>9.669499662356501E-2</v>
      </c>
    </row>
    <row r="504" spans="2:14" x14ac:dyDescent="0.55000000000000004">
      <c r="B504" s="2" t="s">
        <v>46</v>
      </c>
      <c r="C504" s="2" t="s">
        <v>22</v>
      </c>
      <c r="L504" s="2" t="e">
        <f>AVERAGE(D504:K504)</f>
        <v>#DIV/0!</v>
      </c>
      <c r="M504" s="2" t="e">
        <f xml:space="preserve"> _xlfn.STDEV.S(D504:K504) / SQRT(COUNT(D504:K504))</f>
        <v>#DIV/0!</v>
      </c>
      <c r="N504" s="2" t="e">
        <f>M504*$N$2</f>
        <v>#DIV/0!</v>
      </c>
    </row>
    <row r="505" spans="2:14" x14ac:dyDescent="0.55000000000000004">
      <c r="C505" s="2" t="s">
        <v>23</v>
      </c>
      <c r="L505" s="2" t="e">
        <f>(1/COUNT(D505:K505))*SQRT(SUMSQ(D505:K505))</f>
        <v>#DIV/0!</v>
      </c>
    </row>
    <row r="506" spans="2:14" x14ac:dyDescent="0.55000000000000004">
      <c r="C506" s="2" t="s">
        <v>24</v>
      </c>
      <c r="L506" s="2" t="e">
        <f>AVERAGE(D506:K506)</f>
        <v>#DIV/0!</v>
      </c>
      <c r="M506" s="2" t="e">
        <f xml:space="preserve"> _xlfn.STDEV.S(D506:K506) / SQRT(COUNT(D506:K506))</f>
        <v>#DIV/0!</v>
      </c>
      <c r="N506" s="2" t="e">
        <f>M506*$N$2</f>
        <v>#DIV/0!</v>
      </c>
    </row>
    <row r="507" spans="2:14" x14ac:dyDescent="0.55000000000000004">
      <c r="C507" s="2" t="s">
        <v>25</v>
      </c>
      <c r="L507" s="2" t="e">
        <f>(1/COUNT(D507:K507))*SQRT(SUMSQ(D507:K507))</f>
        <v>#DIV/0!</v>
      </c>
    </row>
    <row r="508" spans="2:14" x14ac:dyDescent="0.55000000000000004">
      <c r="C508" s="2" t="s">
        <v>26</v>
      </c>
      <c r="L508" s="2" t="e">
        <f>AVERAGE(D508:K508)</f>
        <v>#DIV/0!</v>
      </c>
      <c r="M508" s="2" t="e">
        <f xml:space="preserve"> _xlfn.STDEV.S(D508:K508) / SQRT(COUNT(D508:K508))</f>
        <v>#DIV/0!</v>
      </c>
      <c r="N508" s="2" t="e">
        <f>M508*$N$2</f>
        <v>#DIV/0!</v>
      </c>
    </row>
    <row r="509" spans="2:14" x14ac:dyDescent="0.55000000000000004">
      <c r="C509" s="2" t="s">
        <v>27</v>
      </c>
      <c r="L509" s="2" t="e">
        <f>(1/COUNT(D509:K509))*SQRT(SUMSQ(D509:K509))</f>
        <v>#DIV/0!</v>
      </c>
    </row>
    <row r="510" spans="2:14" x14ac:dyDescent="0.55000000000000004">
      <c r="C510" s="2" t="s">
        <v>28</v>
      </c>
      <c r="L510" s="2" t="e">
        <f>AVERAGE(D510:K510)</f>
        <v>#DIV/0!</v>
      </c>
      <c r="M510" s="2" t="e">
        <f xml:space="preserve"> _xlfn.STDEV.S(D510:K510) / SQRT(COUNT(D510:K510))</f>
        <v>#DIV/0!</v>
      </c>
      <c r="N510" s="2" t="e">
        <f>M510*$N$2</f>
        <v>#DIV/0!</v>
      </c>
    </row>
    <row r="511" spans="2:14" x14ac:dyDescent="0.55000000000000004">
      <c r="C511" s="2" t="s">
        <v>29</v>
      </c>
      <c r="L511" s="2" t="e">
        <f>(1/COUNT(D511:K511))*SQRT(SUMSQ(D511:K511))</f>
        <v>#DIV/0!</v>
      </c>
    </row>
    <row r="512" spans="2:14" x14ac:dyDescent="0.55000000000000004">
      <c r="C512" s="2" t="s">
        <v>30</v>
      </c>
      <c r="L512" s="2" t="e">
        <f>AVERAGE(D512:K512)</f>
        <v>#DIV/0!</v>
      </c>
      <c r="M512" s="2" t="e">
        <f xml:space="preserve"> _xlfn.STDEV.S(D512:K512) / SQRT(COUNT(D512:K512))</f>
        <v>#DIV/0!</v>
      </c>
      <c r="N512" s="2" t="e">
        <f>M512*$N$2</f>
        <v>#DIV/0!</v>
      </c>
    </row>
    <row r="513" spans="2:14" x14ac:dyDescent="0.55000000000000004">
      <c r="C513" s="2" t="s">
        <v>31</v>
      </c>
      <c r="L513" s="2" t="e">
        <f>(1/COUNT(D513:K513))*SQRT(SUMSQ(D513:K513))</f>
        <v>#DIV/0!</v>
      </c>
    </row>
    <row r="514" spans="2:14" x14ac:dyDescent="0.55000000000000004">
      <c r="B514" s="2" t="s">
        <v>36</v>
      </c>
      <c r="C514" s="2" t="s">
        <v>22</v>
      </c>
      <c r="D514" s="2">
        <v>0.94157100000000005</v>
      </c>
      <c r="E514" s="2">
        <v>0.93138399999999999</v>
      </c>
      <c r="F514" s="2">
        <v>0.92378700000000002</v>
      </c>
      <c r="G514" s="2">
        <v>0.94181300000000001</v>
      </c>
      <c r="H514" s="2">
        <v>0.95118000000000003</v>
      </c>
      <c r="I514" s="2">
        <v>0.93250299999999997</v>
      </c>
      <c r="J514" s="2">
        <v>0.94106199999999995</v>
      </c>
      <c r="K514" s="2">
        <v>0.92938399999999999</v>
      </c>
      <c r="L514" s="2">
        <f>AVERAGE(D514:K514)</f>
        <v>0.93658549999999985</v>
      </c>
      <c r="M514" s="2">
        <f xml:space="preserve"> _xlfn.STDEV.S(D514:K514) / SQRT(COUNT(D514:K514))</f>
        <v>3.11851058199263E-3</v>
      </c>
      <c r="N514" s="2">
        <f>M514*$N$2</f>
        <v>3.4901095847285619E-3</v>
      </c>
    </row>
    <row r="515" spans="2:14" x14ac:dyDescent="0.55000000000000004">
      <c r="C515" s="2" t="s">
        <v>24</v>
      </c>
      <c r="D515" s="2">
        <v>0.33256200000000002</v>
      </c>
      <c r="E515" s="2">
        <v>0.357678</v>
      </c>
      <c r="F515" s="2">
        <v>0.38018999999999997</v>
      </c>
      <c r="G515" s="2">
        <v>0.33264300000000002</v>
      </c>
      <c r="H515" s="2">
        <v>0.30698599999999998</v>
      </c>
      <c r="I515" s="2">
        <v>0.36022399999999999</v>
      </c>
      <c r="J515" s="2">
        <v>0.32874999999999999</v>
      </c>
      <c r="K515" s="2">
        <v>0.36774899999999999</v>
      </c>
      <c r="L515" s="2">
        <f t="shared" ref="L515:L523" si="22">AVERAGE(D515:K515)</f>
        <v>0.34584774999999995</v>
      </c>
      <c r="M515" s="2">
        <f t="shared" ref="M515:M531" si="23" xml:space="preserve"> _xlfn.STDEV.S(D515:K515) / SQRT(COUNT(D515:K515))</f>
        <v>8.6180163336341889E-3</v>
      </c>
      <c r="N515" s="2">
        <f t="shared" ref="N515:N531" si="24">M515*$N$2</f>
        <v>9.6449316481540363E-3</v>
      </c>
    </row>
    <row r="516" spans="2:14" x14ac:dyDescent="0.55000000000000004">
      <c r="C516" s="2" t="s">
        <v>26</v>
      </c>
      <c r="D516" s="2">
        <v>0.61861100000000002</v>
      </c>
      <c r="E516" s="2">
        <v>0.73224100000000003</v>
      </c>
      <c r="F516" s="2">
        <v>0.58413300000000001</v>
      </c>
      <c r="G516" s="2">
        <v>0.72555999999999998</v>
      </c>
      <c r="H516" s="2">
        <v>0.64073500000000005</v>
      </c>
      <c r="I516" s="2">
        <v>0.62910100000000002</v>
      </c>
      <c r="J516" s="2">
        <v>0.69677299999999998</v>
      </c>
      <c r="K516" s="2">
        <v>0.55356499999999997</v>
      </c>
      <c r="L516" s="2">
        <f t="shared" si="22"/>
        <v>0.64758987499999998</v>
      </c>
      <c r="M516" s="2">
        <f t="shared" si="23"/>
        <v>2.3052807487404636E-2</v>
      </c>
      <c r="N516" s="2">
        <f t="shared" si="24"/>
        <v>2.5799759933886099E-2</v>
      </c>
    </row>
    <row r="517" spans="2:14" x14ac:dyDescent="0.55000000000000004">
      <c r="C517" s="2" t="s">
        <v>28</v>
      </c>
      <c r="D517" s="2">
        <v>2.8016380000000001</v>
      </c>
      <c r="E517" s="2">
        <v>2.8140679999999998</v>
      </c>
      <c r="F517" s="2">
        <v>3.2289330000000001</v>
      </c>
      <c r="G517" s="2">
        <v>3.055043</v>
      </c>
      <c r="H517" s="2">
        <v>1.772562</v>
      </c>
      <c r="I517" s="2">
        <v>3.253711</v>
      </c>
      <c r="J517" s="2">
        <v>3.2590979999999998</v>
      </c>
      <c r="K517" s="2">
        <v>2.8145669999999998</v>
      </c>
      <c r="L517" s="2">
        <f t="shared" si="22"/>
        <v>2.8749524999999996</v>
      </c>
      <c r="M517" s="2">
        <f t="shared" si="23"/>
        <v>0.17303765643092683</v>
      </c>
      <c r="N517" s="2">
        <f t="shared" si="24"/>
        <v>0.19365667274492926</v>
      </c>
    </row>
    <row r="518" spans="2:14" x14ac:dyDescent="0.55000000000000004">
      <c r="C518" s="2" t="s">
        <v>30</v>
      </c>
      <c r="D518" s="2">
        <v>16.531756000000001</v>
      </c>
      <c r="E518" s="2">
        <v>19.690480000000001</v>
      </c>
      <c r="F518" s="2">
        <v>21.464290999999999</v>
      </c>
      <c r="G518" s="2">
        <v>29.070226999999999</v>
      </c>
      <c r="H518" s="2">
        <v>12.880824</v>
      </c>
      <c r="I518" s="2">
        <v>18.128571000000001</v>
      </c>
      <c r="J518" s="2">
        <v>23.673891000000001</v>
      </c>
      <c r="K518" s="2">
        <v>47.329532999999998</v>
      </c>
      <c r="L518" s="2">
        <f t="shared" si="22"/>
        <v>23.596196625000001</v>
      </c>
      <c r="M518" s="2">
        <f t="shared" si="23"/>
        <v>3.7977023274696746</v>
      </c>
      <c r="N518" s="2">
        <f t="shared" si="24"/>
        <v>4.2502332265868841</v>
      </c>
    </row>
    <row r="519" spans="2:14" ht="14.25" customHeight="1" x14ac:dyDescent="0.55000000000000004">
      <c r="B519" s="2" t="s">
        <v>37</v>
      </c>
      <c r="C519" s="2" t="s">
        <v>22</v>
      </c>
      <c r="D519" s="2">
        <v>0.92576000000000003</v>
      </c>
      <c r="E519" s="2">
        <v>0.89901399999999998</v>
      </c>
      <c r="F519" s="2">
        <v>0.90177499999999999</v>
      </c>
      <c r="G519" s="2">
        <v>0.90744599999999997</v>
      </c>
      <c r="H519" s="2">
        <v>0.92302499999999998</v>
      </c>
      <c r="I519" s="2">
        <v>0.90306500000000001</v>
      </c>
      <c r="J519" s="2">
        <v>0.92636799999999997</v>
      </c>
      <c r="K519" s="2">
        <v>0.91520299999999999</v>
      </c>
      <c r="L519" s="2">
        <f t="shared" si="22"/>
        <v>0.91270700000000005</v>
      </c>
      <c r="M519" s="2">
        <f t="shared" si="23"/>
        <v>4.0030078601685799E-3</v>
      </c>
      <c r="N519" s="2">
        <f t="shared" si="24"/>
        <v>4.4800027876099567E-3</v>
      </c>
    </row>
    <row r="520" spans="2:14" x14ac:dyDescent="0.55000000000000004">
      <c r="C520" s="2" t="s">
        <v>24</v>
      </c>
      <c r="D520" s="2">
        <v>0.37678099999999998</v>
      </c>
      <c r="E520" s="2">
        <v>0.42708200000000002</v>
      </c>
      <c r="F520" s="2">
        <v>0.43008600000000002</v>
      </c>
      <c r="G520" s="2">
        <v>0.41951899999999998</v>
      </c>
      <c r="H520" s="2">
        <v>0.38153100000000001</v>
      </c>
      <c r="I520" s="2">
        <v>0.43020000000000003</v>
      </c>
      <c r="J520" s="2">
        <v>0.36762699999999998</v>
      </c>
      <c r="K520" s="2">
        <v>0.403499</v>
      </c>
      <c r="L520" s="2">
        <f t="shared" si="22"/>
        <v>0.40454062500000004</v>
      </c>
      <c r="M520" s="2">
        <f t="shared" si="23"/>
        <v>9.1682442331777192E-3</v>
      </c>
      <c r="N520" s="2">
        <f t="shared" si="24"/>
        <v>1.0260724224607278E-2</v>
      </c>
    </row>
    <row r="521" spans="2:14" x14ac:dyDescent="0.55000000000000004">
      <c r="C521" s="2" t="s">
        <v>26</v>
      </c>
      <c r="D521" s="2">
        <v>0.58435599999999999</v>
      </c>
      <c r="E521" s="2">
        <v>0.68399799999999999</v>
      </c>
      <c r="F521" s="2">
        <v>0.56125499999999995</v>
      </c>
      <c r="G521" s="2">
        <v>0.66992799999999997</v>
      </c>
      <c r="H521" s="2">
        <v>0.57402799999999998</v>
      </c>
      <c r="I521" s="2">
        <v>0.58247099999999996</v>
      </c>
      <c r="J521" s="2">
        <v>0.66659299999999999</v>
      </c>
      <c r="K521" s="2">
        <v>0.53114600000000001</v>
      </c>
      <c r="L521" s="2">
        <f t="shared" si="22"/>
        <v>0.60672187499999997</v>
      </c>
      <c r="M521" s="2">
        <f t="shared" si="23"/>
        <v>2.0479668363174851E-2</v>
      </c>
      <c r="N521" s="2">
        <f t="shared" si="24"/>
        <v>2.2920007794460569E-2</v>
      </c>
    </row>
    <row r="522" spans="2:14" x14ac:dyDescent="0.55000000000000004">
      <c r="C522" s="2" t="s">
        <v>28</v>
      </c>
      <c r="D522" s="2">
        <v>3.454501</v>
      </c>
      <c r="E522" s="2">
        <v>3.625273</v>
      </c>
      <c r="F522" s="2">
        <v>3.6132680000000001</v>
      </c>
      <c r="G522" s="2">
        <v>3.8651810000000002</v>
      </c>
      <c r="H522" s="2">
        <v>2.5192610000000002</v>
      </c>
      <c r="I522" s="2">
        <v>5.0778340000000002</v>
      </c>
      <c r="J522" s="2">
        <v>3.8907759999999998</v>
      </c>
      <c r="K522" s="2">
        <v>3.3028770000000001</v>
      </c>
      <c r="L522" s="2">
        <f t="shared" si="22"/>
        <v>3.6686213749999994</v>
      </c>
      <c r="M522" s="2">
        <f t="shared" si="23"/>
        <v>0.2528218393822127</v>
      </c>
      <c r="N522" s="2">
        <f t="shared" si="24"/>
        <v>0.28294786939371391</v>
      </c>
    </row>
    <row r="523" spans="2:14" x14ac:dyDescent="0.55000000000000004">
      <c r="C523" s="2" t="s">
        <v>30</v>
      </c>
      <c r="D523" s="2">
        <v>19.388672</v>
      </c>
      <c r="E523" s="2">
        <v>23.056571000000002</v>
      </c>
      <c r="F523" s="2">
        <v>22.732996</v>
      </c>
      <c r="G523" s="2">
        <v>36.583838</v>
      </c>
      <c r="H523" s="2">
        <v>17.623722999999998</v>
      </c>
      <c r="I523" s="2">
        <v>25.670574999999999</v>
      </c>
      <c r="J523" s="2">
        <v>32.349426000000001</v>
      </c>
      <c r="K523" s="2">
        <v>60.352992</v>
      </c>
      <c r="L523" s="2">
        <f t="shared" si="22"/>
        <v>29.719849125</v>
      </c>
      <c r="M523" s="2">
        <f t="shared" si="23"/>
        <v>4.9191316763128921</v>
      </c>
      <c r="N523" s="2">
        <f t="shared" si="24"/>
        <v>5.5052911191571114</v>
      </c>
    </row>
    <row r="524" spans="2:14" x14ac:dyDescent="0.55000000000000004">
      <c r="B524" s="2" t="s">
        <v>39</v>
      </c>
      <c r="C524" s="2" t="s">
        <v>22</v>
      </c>
      <c r="D524" s="2">
        <v>0.95115400000000005</v>
      </c>
      <c r="E524" s="2">
        <v>0.94941799999999998</v>
      </c>
      <c r="F524" s="2">
        <v>0.93086800000000003</v>
      </c>
      <c r="G524" s="2">
        <v>0.91373300000000002</v>
      </c>
      <c r="H524" s="2">
        <v>0.95304900000000004</v>
      </c>
      <c r="I524" s="2">
        <v>0.93769499999999995</v>
      </c>
      <c r="J524" s="2">
        <v>0.94983600000000001</v>
      </c>
      <c r="K524" s="2">
        <v>0.927122</v>
      </c>
      <c r="L524" s="2">
        <f t="shared" ref="L524:L532" si="25">AVERAGE(D524:K524)</f>
        <v>0.93910937499999991</v>
      </c>
      <c r="M524" s="2">
        <f t="shared" si="23"/>
        <v>5.0325594451726486E-3</v>
      </c>
      <c r="N524" s="2">
        <f t="shared" si="24"/>
        <v>5.6322348420861706E-3</v>
      </c>
    </row>
    <row r="525" spans="2:14" x14ac:dyDescent="0.55000000000000004">
      <c r="C525" s="2" t="s">
        <v>24</v>
      </c>
      <c r="D525" s="2">
        <v>0.305504</v>
      </c>
      <c r="E525" s="2">
        <v>0.31105100000000002</v>
      </c>
      <c r="F525" s="2">
        <v>0.36440099999999997</v>
      </c>
      <c r="G525" s="2">
        <v>0.40596900000000002</v>
      </c>
      <c r="H525" s="2">
        <v>0.30190699999999998</v>
      </c>
      <c r="I525" s="2">
        <v>0.34763500000000003</v>
      </c>
      <c r="J525" s="2">
        <v>0.307975</v>
      </c>
      <c r="K525" s="2">
        <v>0.37168400000000001</v>
      </c>
      <c r="L525" s="2">
        <f t="shared" si="25"/>
        <v>0.33951575000000001</v>
      </c>
      <c r="M525" s="2">
        <f t="shared" si="23"/>
        <v>1.3701086211827525E-2</v>
      </c>
      <c r="N525" s="2">
        <f t="shared" si="24"/>
        <v>1.5333695702432796E-2</v>
      </c>
    </row>
    <row r="526" spans="2:14" x14ac:dyDescent="0.55000000000000004">
      <c r="C526" s="2" t="s">
        <v>26</v>
      </c>
      <c r="D526" s="2">
        <v>0.64449500000000004</v>
      </c>
      <c r="E526" s="2">
        <v>0.76712000000000002</v>
      </c>
      <c r="F526" s="2">
        <v>0.59007500000000002</v>
      </c>
      <c r="G526" s="2">
        <v>0.67964899999999995</v>
      </c>
      <c r="H526" s="2">
        <v>0.64528200000000002</v>
      </c>
      <c r="I526" s="2">
        <v>0.64050700000000005</v>
      </c>
      <c r="J526" s="2">
        <v>0.712364</v>
      </c>
      <c r="K526" s="2">
        <v>0.55484299999999998</v>
      </c>
      <c r="L526" s="2">
        <f t="shared" si="25"/>
        <v>0.65429187499999997</v>
      </c>
      <c r="M526" s="2">
        <f t="shared" si="23"/>
        <v>2.3576095051402554E-2</v>
      </c>
      <c r="N526" s="2">
        <f t="shared" si="24"/>
        <v>2.6385401987892351E-2</v>
      </c>
    </row>
    <row r="527" spans="2:14" x14ac:dyDescent="0.55000000000000004">
      <c r="C527" s="2" t="s">
        <v>28</v>
      </c>
      <c r="D527" s="2">
        <v>2.3723709999999998</v>
      </c>
      <c r="E527" s="2">
        <v>2.6212620000000002</v>
      </c>
      <c r="F527" s="2">
        <v>3.1873670000000001</v>
      </c>
      <c r="G527" s="2">
        <v>3.687751</v>
      </c>
      <c r="H527" s="2">
        <v>1.7478149999999999</v>
      </c>
      <c r="I527" s="2">
        <v>3.1747990000000001</v>
      </c>
      <c r="J527" s="2">
        <v>3.1672199999999999</v>
      </c>
      <c r="K527" s="2">
        <v>2.8959769999999998</v>
      </c>
      <c r="L527" s="2">
        <f t="shared" si="25"/>
        <v>2.8568202499999997</v>
      </c>
      <c r="M527" s="2">
        <f t="shared" si="23"/>
        <v>0.21208026681497869</v>
      </c>
      <c r="N527" s="2">
        <f t="shared" si="24"/>
        <v>0.23735156655129705</v>
      </c>
    </row>
    <row r="528" spans="2:14" x14ac:dyDescent="0.55000000000000004">
      <c r="C528" s="2" t="s">
        <v>30</v>
      </c>
      <c r="D528" s="2">
        <v>16.006318</v>
      </c>
      <c r="E528" s="2">
        <v>20.936381999999998</v>
      </c>
      <c r="F528" s="2">
        <v>21.657893999999999</v>
      </c>
      <c r="G528" s="2">
        <v>34.945568000000002</v>
      </c>
      <c r="H528" s="2">
        <v>12.502670999999999</v>
      </c>
      <c r="I528" s="2">
        <v>20.064495000000001</v>
      </c>
      <c r="J528" s="2">
        <v>24.552776999999999</v>
      </c>
      <c r="K528" s="2">
        <v>48.496715999999999</v>
      </c>
      <c r="L528" s="2">
        <f t="shared" si="25"/>
        <v>24.895352624999997</v>
      </c>
      <c r="M528" s="2">
        <f t="shared" si="23"/>
        <v>4.0975467548884081</v>
      </c>
      <c r="N528" s="2">
        <f t="shared" si="24"/>
        <v>4.5858068546208468</v>
      </c>
    </row>
    <row r="529" spans="1:14" x14ac:dyDescent="0.55000000000000004">
      <c r="B529" s="2" t="s">
        <v>61</v>
      </c>
      <c r="C529" s="2" t="s">
        <v>22</v>
      </c>
      <c r="D529" s="2">
        <v>0.92272799999999999</v>
      </c>
      <c r="E529" s="2">
        <v>0.89336400000000005</v>
      </c>
      <c r="F529" s="2">
        <v>0.88613200000000003</v>
      </c>
      <c r="G529" s="2">
        <v>0.92097200000000001</v>
      </c>
      <c r="H529" s="2">
        <v>0.90528900000000001</v>
      </c>
      <c r="I529" s="2">
        <v>0.89163999999999999</v>
      </c>
      <c r="J529" s="2">
        <v>0.923651</v>
      </c>
      <c r="K529" s="2">
        <v>0.90176199999999995</v>
      </c>
      <c r="L529" s="2">
        <f t="shared" si="25"/>
        <v>0.90569224999999998</v>
      </c>
      <c r="M529" s="2">
        <f t="shared" si="23"/>
        <v>5.3349731782362294E-3</v>
      </c>
      <c r="N529" s="2">
        <f t="shared" si="24"/>
        <v>5.9706839319861142E-3</v>
      </c>
    </row>
    <row r="530" spans="1:14" x14ac:dyDescent="0.55000000000000004">
      <c r="C530" s="2" t="s">
        <v>24</v>
      </c>
      <c r="D530" s="2">
        <v>0.38603599999999999</v>
      </c>
      <c r="E530" s="2">
        <v>0.43592199999999998</v>
      </c>
      <c r="F530" s="2">
        <v>0.47065800000000002</v>
      </c>
      <c r="G530" s="2">
        <v>0.37572</v>
      </c>
      <c r="H530" s="2">
        <v>0.42835800000000002</v>
      </c>
      <c r="I530" s="2">
        <v>0.45993499999999998</v>
      </c>
      <c r="J530" s="2">
        <v>0.37519000000000002</v>
      </c>
      <c r="K530" s="2">
        <v>0.43761</v>
      </c>
      <c r="L530" s="2">
        <f t="shared" si="25"/>
        <v>0.42117862499999997</v>
      </c>
      <c r="M530" s="2">
        <f t="shared" si="23"/>
        <v>1.3299845647516658E-2</v>
      </c>
      <c r="N530" s="2">
        <f t="shared" si="24"/>
        <v>1.4884643662215423E-2</v>
      </c>
    </row>
    <row r="531" spans="1:14" x14ac:dyDescent="0.55000000000000004">
      <c r="C531" s="2" t="s">
        <v>26</v>
      </c>
      <c r="D531" s="2">
        <v>0.57605200000000001</v>
      </c>
      <c r="E531" s="2">
        <v>0.68623800000000001</v>
      </c>
      <c r="F531" s="2">
        <v>0.54409099999999999</v>
      </c>
      <c r="G531" s="2">
        <v>0.69553100000000001</v>
      </c>
      <c r="H531" s="2">
        <v>0.53915599999999997</v>
      </c>
      <c r="I531" s="2">
        <v>0.57949899999999999</v>
      </c>
      <c r="J531" s="2">
        <v>0.66163000000000005</v>
      </c>
      <c r="K531" s="2">
        <v>0.49719099999999999</v>
      </c>
      <c r="L531" s="2">
        <f t="shared" si="25"/>
        <v>0.5974235</v>
      </c>
      <c r="M531" s="2">
        <f t="shared" si="23"/>
        <v>2.6288105502163012E-2</v>
      </c>
      <c r="N531" s="2">
        <f t="shared" si="24"/>
        <v>2.9420573240072332E-2</v>
      </c>
    </row>
    <row r="532" spans="1:14" x14ac:dyDescent="0.55000000000000004">
      <c r="A532" s="2" t="s">
        <v>20</v>
      </c>
      <c r="B532" s="2" t="s">
        <v>21</v>
      </c>
      <c r="C532" s="2" t="s">
        <v>22</v>
      </c>
      <c r="D532" s="2">
        <v>0.95567100000000005</v>
      </c>
      <c r="E532" s="2">
        <v>0.94932799999999995</v>
      </c>
      <c r="F532" s="2">
        <v>0.92523500000000003</v>
      </c>
      <c r="G532" s="2">
        <v>0.92144999999999999</v>
      </c>
      <c r="H532" s="2">
        <v>0.95414200000000005</v>
      </c>
      <c r="I532" s="2">
        <v>0.93698800000000004</v>
      </c>
      <c r="J532" s="2">
        <v>0.94545199999999996</v>
      </c>
      <c r="K532" s="2">
        <v>0.93249800000000005</v>
      </c>
      <c r="L532" s="2">
        <f t="shared" si="25"/>
        <v>0.94009550000000008</v>
      </c>
      <c r="M532" s="2">
        <f xml:space="preserve"> _xlfn.STDEV.S(D532:K532) / SQRT(COUNT(D532:K532))</f>
        <v>4.609189586343476E-3</v>
      </c>
      <c r="N532" s="2">
        <f>M532*$N$2</f>
        <v>5.1584165999044402E-3</v>
      </c>
    </row>
    <row r="533" spans="1:14" x14ac:dyDescent="0.55000000000000004">
      <c r="A533" s="2">
        <v>1.167</v>
      </c>
      <c r="C533" s="2" t="s">
        <v>23</v>
      </c>
      <c r="D533" s="2">
        <v>1.2E-4</v>
      </c>
      <c r="E533" s="2">
        <v>6.7000000000000002E-4</v>
      </c>
      <c r="F533" s="2">
        <v>1.0382000000000001E-2</v>
      </c>
      <c r="G533" s="2">
        <v>1.6100000000000001E-4</v>
      </c>
      <c r="H533" s="2">
        <v>1.6799999999999999E-4</v>
      </c>
      <c r="I533" s="2">
        <v>1.9599999999999999E-4</v>
      </c>
      <c r="J533" s="2">
        <v>5.8699999999999996E-4</v>
      </c>
      <c r="K533" s="2">
        <v>1.07E-4</v>
      </c>
      <c r="L533" s="2">
        <f>(1/COUNT(D533:K533))*SQRT(SUMSQ(D533:K533))</f>
        <v>1.3032279815423703E-3</v>
      </c>
    </row>
    <row r="534" spans="1:14" x14ac:dyDescent="0.55000000000000004">
      <c r="C534" s="2" t="s">
        <v>24</v>
      </c>
      <c r="D534" s="2">
        <v>0.29258899999999999</v>
      </c>
      <c r="E534" s="2">
        <v>0.311255</v>
      </c>
      <c r="F534" s="2">
        <v>0.376774</v>
      </c>
      <c r="G534" s="2">
        <v>0.38868900000000001</v>
      </c>
      <c r="H534" s="2">
        <v>0.29847000000000001</v>
      </c>
      <c r="I534" s="2">
        <v>0.34959800000000002</v>
      </c>
      <c r="J534" s="2">
        <v>0.32033600000000001</v>
      </c>
      <c r="K534" s="2">
        <v>0.35964499999999999</v>
      </c>
      <c r="L534" s="2">
        <f>AVERAGE(D534:K534)</f>
        <v>0.33716950000000001</v>
      </c>
      <c r="M534" s="2">
        <f xml:space="preserve"> _xlfn.STDEV.S(D534:K534) / SQRT(COUNT(D534:K534))</f>
        <v>1.2902374730202622E-2</v>
      </c>
      <c r="N534" s="2">
        <f>M534*$N$2</f>
        <v>1.4439810456845255E-2</v>
      </c>
    </row>
    <row r="535" spans="1:14" x14ac:dyDescent="0.55000000000000004">
      <c r="C535" s="2" t="s">
        <v>25</v>
      </c>
      <c r="D535" s="2">
        <v>3.9100000000000002E-4</v>
      </c>
      <c r="E535" s="2">
        <v>1.9759999999999999E-3</v>
      </c>
      <c r="F535" s="2">
        <v>2.3408000000000002E-2</v>
      </c>
      <c r="G535" s="2">
        <v>3.4400000000000001E-4</v>
      </c>
      <c r="H535" s="2">
        <v>5.22E-4</v>
      </c>
      <c r="I535" s="2">
        <v>5.0900000000000001E-4</v>
      </c>
      <c r="J535" s="2">
        <v>1.8129999999999999E-3</v>
      </c>
      <c r="K535" s="2">
        <v>2.7099999999999997E-4</v>
      </c>
      <c r="L535" s="2">
        <f>(1/COUNT(D535:K535))*SQRT(SUMSQ(D535:K535))</f>
        <v>2.9474624467497467E-3</v>
      </c>
    </row>
    <row r="536" spans="1:14" x14ac:dyDescent="0.55000000000000004">
      <c r="C536" s="2" t="s">
        <v>26</v>
      </c>
      <c r="D536" s="2">
        <v>0.65734099999999995</v>
      </c>
      <c r="E536" s="2">
        <v>0.76712499999999995</v>
      </c>
      <c r="F536" s="2">
        <v>0.58374599999999999</v>
      </c>
      <c r="G536" s="2">
        <v>0.69908800000000004</v>
      </c>
      <c r="H536" s="2">
        <v>0.64823399999999998</v>
      </c>
      <c r="I536" s="2">
        <v>0.63780999999999999</v>
      </c>
      <c r="J536" s="2">
        <v>0.70235999999999998</v>
      </c>
      <c r="K536" s="2">
        <v>0.56289400000000001</v>
      </c>
      <c r="L536" s="2">
        <f>AVERAGE(D536:K536)</f>
        <v>0.65732475000000001</v>
      </c>
      <c r="M536" s="2">
        <f xml:space="preserve"> _xlfn.STDEV.S(D536:K536) / SQRT(COUNT(D536:K536))</f>
        <v>2.3384558457261301E-2</v>
      </c>
      <c r="N536" s="2">
        <f>M536*$N$2</f>
        <v>2.617104206014392E-2</v>
      </c>
    </row>
    <row r="537" spans="1:14" x14ac:dyDescent="0.55000000000000004">
      <c r="C537" s="2" t="s">
        <v>27</v>
      </c>
      <c r="D537" s="2">
        <v>3.7800000000000003E-4</v>
      </c>
      <c r="E537" s="2">
        <v>1.47E-3</v>
      </c>
      <c r="F537" s="2">
        <v>1.0866000000000001E-2</v>
      </c>
      <c r="G537" s="2">
        <v>5.9400000000000002E-4</v>
      </c>
      <c r="H537" s="2">
        <v>4.7100000000000001E-4</v>
      </c>
      <c r="I537" s="2">
        <v>3.97E-4</v>
      </c>
      <c r="J537" s="2">
        <v>1.2800000000000001E-3</v>
      </c>
      <c r="K537" s="2">
        <v>2.1800000000000001E-4</v>
      </c>
      <c r="L537" s="2">
        <f>(1/COUNT(D537:K537))*SQRT(SUMSQ(D537:K537))</f>
        <v>1.3851441147945582E-3</v>
      </c>
    </row>
    <row r="538" spans="1:14" x14ac:dyDescent="0.55000000000000004">
      <c r="C538" s="2" t="s">
        <v>28</v>
      </c>
      <c r="D538" s="2">
        <v>2.1748620000000001</v>
      </c>
      <c r="E538" s="2">
        <v>2.569623</v>
      </c>
      <c r="F538" s="2">
        <v>3.293701</v>
      </c>
      <c r="G538" s="2">
        <v>3.457843</v>
      </c>
      <c r="H538" s="2">
        <v>1.7223850000000001</v>
      </c>
      <c r="I538" s="2">
        <v>2.9442439999999999</v>
      </c>
      <c r="J538" s="2">
        <v>3.173829</v>
      </c>
      <c r="K538" s="2">
        <v>2.6511499999999999</v>
      </c>
      <c r="L538" s="2">
        <f>AVERAGE(D538:K538)</f>
        <v>2.7484546250000004</v>
      </c>
      <c r="M538" s="2">
        <f xml:space="preserve"> _xlfn.STDEV.S(D538:K538) / SQRT(COUNT(D538:K538))</f>
        <v>0.20886934694640857</v>
      </c>
      <c r="N538" s="2">
        <f>M538*$N$2</f>
        <v>0.23375803626994995</v>
      </c>
    </row>
    <row r="539" spans="1:14" x14ac:dyDescent="0.55000000000000004">
      <c r="C539" s="2" t="s">
        <v>29</v>
      </c>
      <c r="D539" s="2">
        <v>4.1110000000000001E-3</v>
      </c>
      <c r="E539" s="2">
        <v>8.7760000000000008E-3</v>
      </c>
      <c r="F539" s="2">
        <v>0.14710799999999999</v>
      </c>
      <c r="G539" s="2">
        <v>6.5570000000000003E-3</v>
      </c>
      <c r="H539" s="2">
        <v>4.6969999999999998E-3</v>
      </c>
      <c r="I539" s="2">
        <v>6.7949999999999998E-3</v>
      </c>
      <c r="J539" s="2">
        <v>1.2034E-2</v>
      </c>
      <c r="K539" s="2">
        <v>3.0000000000000001E-3</v>
      </c>
      <c r="L539" s="2">
        <f>(1/COUNT(D539:K539))*SQRT(SUMSQ(D539:K539))</f>
        <v>1.854038135058176E-2</v>
      </c>
    </row>
    <row r="540" spans="1:14" x14ac:dyDescent="0.55000000000000004">
      <c r="C540" s="2" t="s">
        <v>30</v>
      </c>
      <c r="D540" s="2">
        <v>15.553423</v>
      </c>
      <c r="E540" s="2">
        <v>19.883109999999999</v>
      </c>
      <c r="F540" s="2">
        <v>22.141674999999999</v>
      </c>
      <c r="G540" s="2">
        <v>35.159526</v>
      </c>
      <c r="H540" s="2">
        <v>12.385759</v>
      </c>
      <c r="I540" s="2">
        <v>17.684104999999999</v>
      </c>
      <c r="J540" s="2">
        <v>24.334788</v>
      </c>
      <c r="K540" s="2">
        <v>28.929324999999999</v>
      </c>
      <c r="L540" s="2">
        <f>AVERAGE(D540:K540)</f>
        <v>22.008963874999999</v>
      </c>
      <c r="M540" s="2">
        <f xml:space="preserve"> _xlfn.STDEV.S(D540:K540) / SQRT(COUNT(D540:K540))</f>
        <v>2.6177945033140997</v>
      </c>
      <c r="N540" s="2">
        <f>M540*$N$2</f>
        <v>2.9297286145581776</v>
      </c>
    </row>
    <row r="541" spans="1:14" x14ac:dyDescent="0.55000000000000004">
      <c r="C541" s="2" t="s">
        <v>31</v>
      </c>
      <c r="D541" s="2">
        <v>9.2940000000000002E-3</v>
      </c>
      <c r="E541" s="2">
        <v>3.6542999999999999E-2</v>
      </c>
      <c r="F541" s="2">
        <v>0.354931</v>
      </c>
      <c r="G541" s="2">
        <v>7.9366999999999993E-2</v>
      </c>
      <c r="H541" s="2">
        <v>4.6275999999999998E-2</v>
      </c>
      <c r="I541" s="2">
        <v>1.6667999999999999E-2</v>
      </c>
      <c r="J541" s="2">
        <v>7.7586000000000002E-2</v>
      </c>
      <c r="K541" s="2">
        <v>0.28101599999999999</v>
      </c>
      <c r="L541" s="2">
        <f>(1/COUNT(D541:K541))*SQRT(SUMSQ(D541:K541))</f>
        <v>5.8777357298936767E-2</v>
      </c>
    </row>
    <row r="542" spans="1:14" x14ac:dyDescent="0.55000000000000004">
      <c r="B542" s="2" t="s">
        <v>32</v>
      </c>
      <c r="C542" s="2" t="s">
        <v>22</v>
      </c>
      <c r="D542" s="2">
        <v>0.95067500000000005</v>
      </c>
      <c r="E542" s="2">
        <v>0.92906999999999995</v>
      </c>
      <c r="F542" s="2">
        <v>0.93105300000000002</v>
      </c>
      <c r="G542" s="2">
        <v>0.920566</v>
      </c>
      <c r="H542" s="2">
        <v>0.94998499999999997</v>
      </c>
      <c r="I542" s="2">
        <v>0.935585</v>
      </c>
      <c r="J542" s="2">
        <v>0.95199599999999995</v>
      </c>
      <c r="K542" s="2">
        <v>0.93244700000000003</v>
      </c>
      <c r="L542" s="2">
        <f>AVERAGE(D542:K542)</f>
        <v>0.93767212499999997</v>
      </c>
      <c r="M542" s="2">
        <f xml:space="preserve"> _xlfn.STDEV.S(D542:K542) / SQRT(COUNT(D542:K542))</f>
        <v>4.1574845349660813E-3</v>
      </c>
      <c r="N542" s="2">
        <f>M542*$N$2</f>
        <v>4.6528867683284904E-3</v>
      </c>
    </row>
    <row r="543" spans="1:14" x14ac:dyDescent="0.55000000000000004">
      <c r="C543" s="2" t="s">
        <v>23</v>
      </c>
      <c r="D543" s="2">
        <v>4.6000000000000001E-4</v>
      </c>
      <c r="E543" s="2">
        <v>4.1479999999999998E-3</v>
      </c>
      <c r="F543" s="2">
        <v>6.29E-4</v>
      </c>
      <c r="G543" s="2">
        <v>6.4099999999999997E-4</v>
      </c>
      <c r="H543" s="2">
        <v>1.8100000000000001E-4</v>
      </c>
      <c r="I543" s="2">
        <v>6.5799999999999995E-4</v>
      </c>
      <c r="J543" s="2">
        <v>9.0600000000000001E-4</v>
      </c>
      <c r="K543" s="2">
        <v>1.12E-4</v>
      </c>
      <c r="L543" s="2">
        <f>(1/COUNT(D543:K543))*SQRT(SUMSQ(D543:K543))</f>
        <v>5.5231234086791864E-4</v>
      </c>
    </row>
    <row r="544" spans="1:14" x14ac:dyDescent="0.55000000000000004">
      <c r="C544" s="2" t="s">
        <v>24</v>
      </c>
      <c r="D544" s="2">
        <v>0.30812</v>
      </c>
      <c r="E544" s="2">
        <v>0.36423299999999997</v>
      </c>
      <c r="F544" s="2">
        <v>0.36346800000000001</v>
      </c>
      <c r="G544" s="2">
        <v>0.39068900000000001</v>
      </c>
      <c r="H544" s="2">
        <v>0.31059399999999998</v>
      </c>
      <c r="I544" s="2">
        <v>0.352939</v>
      </c>
      <c r="J544" s="2">
        <v>0.30225299999999999</v>
      </c>
      <c r="K544" s="2">
        <v>0.35975200000000002</v>
      </c>
      <c r="L544" s="2">
        <f>AVERAGE(D544:K544)</f>
        <v>0.34400599999999998</v>
      </c>
      <c r="M544" s="2">
        <f xml:space="preserve"> _xlfn.STDEV.S(D544:K544) / SQRT(COUNT(D544:K544))</f>
        <v>1.1528240337784181E-2</v>
      </c>
      <c r="N544" s="2">
        <f>M544*$N$2</f>
        <v>1.290193540797486E-2</v>
      </c>
    </row>
    <row r="545" spans="2:14" x14ac:dyDescent="0.55000000000000004">
      <c r="C545" s="2" t="s">
        <v>25</v>
      </c>
      <c r="D545" s="2">
        <v>1.2440000000000001E-3</v>
      </c>
      <c r="E545" s="2">
        <v>9.7190000000000002E-3</v>
      </c>
      <c r="F545" s="2">
        <v>1.4660000000000001E-3</v>
      </c>
      <c r="G545" s="2">
        <v>1.474E-3</v>
      </c>
      <c r="H545" s="2">
        <v>5.5999999999999995E-4</v>
      </c>
      <c r="I545" s="2">
        <v>1.714E-3</v>
      </c>
      <c r="J545" s="2">
        <v>2.506E-3</v>
      </c>
      <c r="K545" s="2">
        <v>3.0499999999999999E-4</v>
      </c>
      <c r="L545" s="2">
        <f>(1/COUNT(D545:K545))*SQRT(SUMSQ(D545:K545))</f>
        <v>1.3107296751237456E-3</v>
      </c>
    </row>
    <row r="546" spans="2:14" x14ac:dyDescent="0.55000000000000004">
      <c r="C546" s="2" t="s">
        <v>26</v>
      </c>
      <c r="D546" s="2">
        <v>0.646536</v>
      </c>
      <c r="E546" s="2">
        <v>0.72874099999999997</v>
      </c>
      <c r="F546" s="2">
        <v>0.591252</v>
      </c>
      <c r="G546" s="2">
        <v>0.69876700000000003</v>
      </c>
      <c r="H546" s="2">
        <v>0.63792599999999999</v>
      </c>
      <c r="I546" s="2">
        <v>0.63626199999999999</v>
      </c>
      <c r="J546" s="2">
        <v>0.71555599999999997</v>
      </c>
      <c r="K546" s="2">
        <v>0.56317399999999995</v>
      </c>
      <c r="L546" s="2">
        <f>AVERAGE(D546:K546)</f>
        <v>0.65227674999999996</v>
      </c>
      <c r="M546" s="2">
        <f xml:space="preserve"> _xlfn.STDEV.S(D546:K546) / SQRT(COUNT(D546:K546))</f>
        <v>2.0775621435393594E-2</v>
      </c>
      <c r="N546" s="2">
        <f>M546*$N$2</f>
        <v>2.3251226376800764E-2</v>
      </c>
    </row>
    <row r="547" spans="2:14" x14ac:dyDescent="0.55000000000000004">
      <c r="C547" s="2" t="s">
        <v>27</v>
      </c>
      <c r="D547" s="2">
        <v>1.222E-3</v>
      </c>
      <c r="E547" s="2">
        <v>7.4019999999999997E-3</v>
      </c>
      <c r="F547" s="2">
        <v>5.7200000000000003E-4</v>
      </c>
      <c r="G547" s="2">
        <v>1.825E-3</v>
      </c>
      <c r="H547" s="2">
        <v>4.4299999999999998E-4</v>
      </c>
      <c r="I547" s="2">
        <v>1.364E-3</v>
      </c>
      <c r="J547" s="2">
        <v>1.949E-3</v>
      </c>
      <c r="K547" s="2">
        <v>2.22E-4</v>
      </c>
      <c r="L547" s="2">
        <f>(1/COUNT(D547:K547))*SQRT(SUMSQ(D547:K547))</f>
        <v>1.014314169463781E-3</v>
      </c>
    </row>
    <row r="548" spans="2:14" x14ac:dyDescent="0.55000000000000004">
      <c r="C548" s="2" t="s">
        <v>28</v>
      </c>
      <c r="D548" s="2">
        <v>2.4029790000000002</v>
      </c>
      <c r="E548" s="2">
        <v>2.9576180000000001</v>
      </c>
      <c r="F548" s="2">
        <v>3.2021039999999998</v>
      </c>
      <c r="G548" s="2">
        <v>3.486666</v>
      </c>
      <c r="H548" s="2">
        <v>1.8116220000000001</v>
      </c>
      <c r="I548" s="2">
        <v>3.0976110000000001</v>
      </c>
      <c r="J548" s="2">
        <v>3.1295160000000002</v>
      </c>
      <c r="K548" s="2">
        <v>2.6628620000000001</v>
      </c>
      <c r="L548" s="2">
        <f>AVERAGE(D548:K548)</f>
        <v>2.84387225</v>
      </c>
      <c r="M548" s="2">
        <f xml:space="preserve"> _xlfn.STDEV.S(D548:K548) / SQRT(COUNT(D548:K548))</f>
        <v>0.1886568947133499</v>
      </c>
      <c r="N548" s="2">
        <f>M548*$N$2</f>
        <v>0.21113708584675428</v>
      </c>
    </row>
    <row r="549" spans="2:14" x14ac:dyDescent="0.55000000000000004">
      <c r="C549" s="2" t="s">
        <v>29</v>
      </c>
      <c r="D549" s="2">
        <v>2.4839E-2</v>
      </c>
      <c r="E549" s="2">
        <v>8.2507999999999998E-2</v>
      </c>
      <c r="F549" s="2">
        <v>7.5589999999999997E-3</v>
      </c>
      <c r="G549" s="2">
        <v>2.2998000000000001E-2</v>
      </c>
      <c r="H549" s="2">
        <v>3.9659999999999999E-3</v>
      </c>
      <c r="I549" s="2">
        <v>2.6477000000000001E-2</v>
      </c>
      <c r="J549" s="2">
        <v>1.9761000000000001E-2</v>
      </c>
      <c r="K549" s="2">
        <v>3.6870000000000002E-3</v>
      </c>
      <c r="L549" s="2">
        <f>(1/COUNT(D549:K549))*SQRT(SUMSQ(D549:K549))</f>
        <v>1.1944823829932569E-2</v>
      </c>
    </row>
    <row r="550" spans="2:14" x14ac:dyDescent="0.55000000000000004">
      <c r="C550" s="2" t="s">
        <v>30</v>
      </c>
      <c r="D550" s="2">
        <v>16.714531000000001</v>
      </c>
      <c r="E550" s="2">
        <v>20.819711000000002</v>
      </c>
      <c r="F550" s="2">
        <v>21.858433999999999</v>
      </c>
      <c r="G550" s="2">
        <v>35.887965000000001</v>
      </c>
      <c r="H550" s="2">
        <v>13.046645</v>
      </c>
      <c r="I550" s="2">
        <v>18.326810999999999</v>
      </c>
      <c r="J550" s="2">
        <v>25.174130000000002</v>
      </c>
      <c r="K550" s="2">
        <v>29.132863</v>
      </c>
      <c r="L550" s="2">
        <f>AVERAGE(D550:K550)</f>
        <v>22.620136250000002</v>
      </c>
      <c r="M550" s="2">
        <f xml:space="preserve"> _xlfn.STDEV.S(D550:K550) / SQRT(COUNT(D550:K550))</f>
        <v>2.5834502287153458</v>
      </c>
      <c r="N550" s="2">
        <f>M550*$N$2</f>
        <v>2.891291906134033</v>
      </c>
    </row>
    <row r="551" spans="2:14" x14ac:dyDescent="0.55000000000000004">
      <c r="C551" s="2" t="s">
        <v>31</v>
      </c>
      <c r="D551" s="2">
        <v>5.0171E-2</v>
      </c>
      <c r="E551" s="2">
        <v>0.42851499999999998</v>
      </c>
      <c r="F551" s="2">
        <v>2.2086999999999999E-2</v>
      </c>
      <c r="G551" s="2">
        <v>0.13809299999999999</v>
      </c>
      <c r="H551" s="2">
        <v>4.1265000000000003E-2</v>
      </c>
      <c r="I551" s="2">
        <v>8.2533999999999996E-2</v>
      </c>
      <c r="J551" s="2">
        <v>0.158773</v>
      </c>
      <c r="K551" s="2">
        <v>0.33078299999999999</v>
      </c>
      <c r="L551" s="2">
        <f>(1/COUNT(D551:K551))*SQRT(SUMSQ(D551:K551))</f>
        <v>7.3828418762166878E-2</v>
      </c>
    </row>
    <row r="552" spans="2:14" x14ac:dyDescent="0.55000000000000004">
      <c r="B552" s="2" t="s">
        <v>33</v>
      </c>
      <c r="C552" s="2" t="s">
        <v>22</v>
      </c>
      <c r="D552" s="2">
        <v>0.95475399999999999</v>
      </c>
      <c r="E552" s="2">
        <v>0.94865699999999997</v>
      </c>
      <c r="F552" s="2">
        <v>0.93071499999999996</v>
      </c>
      <c r="G552" s="2">
        <v>0.92503500000000005</v>
      </c>
      <c r="H552" s="2">
        <v>0.953627</v>
      </c>
      <c r="I552" s="2">
        <v>0.936616</v>
      </c>
      <c r="J552" s="2">
        <v>0.94351700000000005</v>
      </c>
      <c r="K552" s="2">
        <v>0.93296400000000002</v>
      </c>
      <c r="L552" s="2">
        <f>AVERAGE(D552:K552)</f>
        <v>0.94073562499999996</v>
      </c>
      <c r="M552" s="2">
        <f xml:space="preserve"> _xlfn.STDEV.S(D552:K552) / SQRT(COUNT(D552:K552))</f>
        <v>3.9130702046269571E-3</v>
      </c>
      <c r="N552" s="2">
        <f>M552*$N$2</f>
        <v>4.37934823942713E-3</v>
      </c>
    </row>
    <row r="553" spans="2:14" x14ac:dyDescent="0.55000000000000004">
      <c r="C553" s="2" t="s">
        <v>23</v>
      </c>
      <c r="D553" s="2">
        <v>6.0999999999999999E-5</v>
      </c>
      <c r="E553" s="2">
        <v>1.6699999999999999E-4</v>
      </c>
      <c r="F553" s="2">
        <v>9.3999999999999994E-5</v>
      </c>
      <c r="G553" s="2">
        <v>1.12E-4</v>
      </c>
      <c r="H553" s="2">
        <v>5.3000000000000001E-5</v>
      </c>
      <c r="I553" s="2">
        <v>6.2000000000000003E-5</v>
      </c>
      <c r="J553" s="2">
        <v>2.6499999999999999E-4</v>
      </c>
      <c r="K553" s="2">
        <v>3.8000000000000002E-5</v>
      </c>
      <c r="L553" s="2">
        <f>(1/COUNT(D553:K553))*SQRT(SUMSQ(D553:K553))</f>
        <v>4.5296247085161476E-5</v>
      </c>
    </row>
    <row r="554" spans="2:14" x14ac:dyDescent="0.55000000000000004">
      <c r="C554" s="2" t="s">
        <v>24</v>
      </c>
      <c r="D554" s="2">
        <v>0.295072</v>
      </c>
      <c r="E554" s="2">
        <v>0.31313200000000002</v>
      </c>
      <c r="F554" s="2">
        <v>0.364207</v>
      </c>
      <c r="G554" s="2">
        <v>0.37975900000000001</v>
      </c>
      <c r="H554" s="2">
        <v>0.29996899999999999</v>
      </c>
      <c r="I554" s="2">
        <v>0.35069499999999998</v>
      </c>
      <c r="J554" s="2">
        <v>0.32564599999999999</v>
      </c>
      <c r="K554" s="2">
        <v>0.35827100000000001</v>
      </c>
      <c r="L554" s="2">
        <f>AVERAGE(D554:K554)</f>
        <v>0.33584387500000001</v>
      </c>
      <c r="M554" s="2">
        <f xml:space="preserve"> _xlfn.STDEV.S(D554:K554) / SQRT(COUNT(D554:K554))</f>
        <v>1.120085717452894E-2</v>
      </c>
      <c r="N554" s="2">
        <f>M554*$N$2</f>
        <v>1.2535541552345939E-2</v>
      </c>
    </row>
    <row r="555" spans="2:14" x14ac:dyDescent="0.55000000000000004">
      <c r="C555" s="2" t="s">
        <v>25</v>
      </c>
      <c r="D555" s="2">
        <v>1.7799999999999999E-4</v>
      </c>
      <c r="E555" s="2">
        <v>5.0100000000000003E-4</v>
      </c>
      <c r="F555" s="2">
        <v>2.34E-4</v>
      </c>
      <c r="G555" s="2">
        <v>2.72E-4</v>
      </c>
      <c r="H555" s="2">
        <v>1.64E-4</v>
      </c>
      <c r="I555" s="2">
        <v>1.5899999999999999E-4</v>
      </c>
      <c r="J555" s="2">
        <v>7.5100000000000004E-4</v>
      </c>
      <c r="K555" s="2">
        <v>1.05E-4</v>
      </c>
      <c r="L555" s="2">
        <f>(1/COUNT(D555:K555))*SQRT(SUMSQ(D555:K555))</f>
        <v>1.273913752967602E-4</v>
      </c>
    </row>
    <row r="556" spans="2:14" x14ac:dyDescent="0.55000000000000004">
      <c r="C556" s="2" t="s">
        <v>26</v>
      </c>
      <c r="D556" s="2">
        <v>0.654999</v>
      </c>
      <c r="E556" s="2">
        <v>0.76549500000000004</v>
      </c>
      <c r="F556" s="2">
        <v>0.59126100000000004</v>
      </c>
      <c r="G556" s="2">
        <v>0.703121</v>
      </c>
      <c r="H556" s="2">
        <v>0.64734599999999998</v>
      </c>
      <c r="I556" s="2">
        <v>0.63708600000000004</v>
      </c>
      <c r="J556" s="2">
        <v>0.69798300000000002</v>
      </c>
      <c r="K556" s="2">
        <v>0.56447499999999995</v>
      </c>
      <c r="L556" s="2">
        <f>AVERAGE(D556:K556)</f>
        <v>0.65772074999999997</v>
      </c>
      <c r="M556" s="2">
        <f xml:space="preserve"> _xlfn.STDEV.S(D556:K556) / SQRT(COUNT(D556:K556))</f>
        <v>2.2736858437308667E-2</v>
      </c>
      <c r="N556" s="2">
        <f>M556*$N$2</f>
        <v>2.5446162670374091E-2</v>
      </c>
    </row>
    <row r="557" spans="2:14" x14ac:dyDescent="0.55000000000000004">
      <c r="C557" s="2" t="s">
        <v>27</v>
      </c>
      <c r="D557" s="2">
        <v>1.7100000000000001E-4</v>
      </c>
      <c r="E557" s="2">
        <v>3.5E-4</v>
      </c>
      <c r="F557" s="2">
        <v>8.2999999999999998E-5</v>
      </c>
      <c r="G557" s="2">
        <v>3.19E-4</v>
      </c>
      <c r="H557" s="2">
        <v>1.08E-4</v>
      </c>
      <c r="I557" s="2">
        <v>1.35E-4</v>
      </c>
      <c r="J557" s="2">
        <v>5.6400000000000005E-4</v>
      </c>
      <c r="K557" s="2">
        <v>8.2000000000000001E-5</v>
      </c>
      <c r="L557" s="2">
        <f>(1/COUNT(D557:K557))*SQRT(SUMSQ(D557:K557))</f>
        <v>9.8035389018455991E-5</v>
      </c>
    </row>
    <row r="558" spans="2:14" x14ac:dyDescent="0.55000000000000004">
      <c r="C558" s="2" t="s">
        <v>28</v>
      </c>
      <c r="D558" s="2">
        <v>2.206801</v>
      </c>
      <c r="E558" s="2">
        <v>2.577734</v>
      </c>
      <c r="F558" s="2">
        <v>3.1832370000000001</v>
      </c>
      <c r="G558" s="2">
        <v>3.4168219999999998</v>
      </c>
      <c r="H558" s="2">
        <v>1.7295849999999999</v>
      </c>
      <c r="I558" s="2">
        <v>3.0490710000000001</v>
      </c>
      <c r="J558" s="2">
        <v>3.2189540000000001</v>
      </c>
      <c r="K558" s="2">
        <v>2.6328939999999998</v>
      </c>
      <c r="L558" s="2">
        <f>AVERAGE(D558:K558)</f>
        <v>2.7518872500000002</v>
      </c>
      <c r="M558" s="2">
        <f xml:space="preserve"> _xlfn.STDEV.S(D558:K558) / SQRT(COUNT(D558:K558))</f>
        <v>0.2036006252238986</v>
      </c>
      <c r="N558" s="2">
        <f>M558*$N$2</f>
        <v>0.2278614982594071</v>
      </c>
    </row>
    <row r="559" spans="2:14" x14ac:dyDescent="0.55000000000000004">
      <c r="C559" s="2" t="s">
        <v>29</v>
      </c>
      <c r="D559" s="2">
        <v>2.078E-3</v>
      </c>
      <c r="E559" s="2">
        <v>2.235E-3</v>
      </c>
      <c r="F559" s="2">
        <v>9.77E-4</v>
      </c>
      <c r="G559" s="2">
        <v>3.9940000000000002E-3</v>
      </c>
      <c r="H559" s="2">
        <v>8.9899999999999995E-4</v>
      </c>
      <c r="I559" s="2">
        <v>2.905E-3</v>
      </c>
      <c r="J559" s="2">
        <v>5.2989999999999999E-3</v>
      </c>
      <c r="K559" s="2">
        <v>9.8200000000000002E-4</v>
      </c>
      <c r="L559" s="2">
        <f>(1/COUNT(D559:K559))*SQRT(SUMSQ(D559:K559))</f>
        <v>1.0039828886116535E-3</v>
      </c>
    </row>
    <row r="560" spans="2:14" x14ac:dyDescent="0.55000000000000004">
      <c r="C560" s="2" t="s">
        <v>30</v>
      </c>
      <c r="D560" s="2">
        <v>15.546241999999999</v>
      </c>
      <c r="E560" s="2">
        <v>19.882787</v>
      </c>
      <c r="F560" s="2">
        <v>21.659569000000001</v>
      </c>
      <c r="G560" s="2">
        <v>34.254961000000002</v>
      </c>
      <c r="H560" s="2">
        <v>12.371518</v>
      </c>
      <c r="I560" s="2">
        <v>18.126621</v>
      </c>
      <c r="J560" s="2">
        <v>24.852031</v>
      </c>
      <c r="K560" s="2">
        <v>27.337781</v>
      </c>
      <c r="L560" s="2">
        <f>AVERAGE(D560:K560)</f>
        <v>21.75393875</v>
      </c>
      <c r="M560" s="2">
        <f xml:space="preserve"> _xlfn.STDEV.S(D560:K560) / SQRT(COUNT(D560:K560))</f>
        <v>2.4650626397723858</v>
      </c>
      <c r="N560" s="2">
        <f>M560*$N$2</f>
        <v>2.7587973552838263</v>
      </c>
    </row>
    <row r="561" spans="2:14" x14ac:dyDescent="0.55000000000000004">
      <c r="C561" s="2" t="s">
        <v>31</v>
      </c>
      <c r="D561" s="2">
        <v>6.3870000000000003E-3</v>
      </c>
      <c r="E561" s="2">
        <v>1.106E-2</v>
      </c>
      <c r="F561" s="2">
        <v>3.274E-3</v>
      </c>
      <c r="G561" s="2">
        <v>2.0912E-2</v>
      </c>
      <c r="H561" s="2">
        <v>1.0322E-2</v>
      </c>
      <c r="I561" s="2">
        <v>1.0635E-2</v>
      </c>
      <c r="J561" s="2">
        <v>4.4228999999999997E-2</v>
      </c>
      <c r="K561" s="2">
        <v>9.7243999999999997E-2</v>
      </c>
      <c r="L561" s="2">
        <f>(1/COUNT(D561:K561))*SQRT(SUMSQ(D561:K561))</f>
        <v>1.3831234509141799E-2</v>
      </c>
    </row>
    <row r="562" spans="2:14" x14ac:dyDescent="0.55000000000000004">
      <c r="B562" s="2" t="s">
        <v>34</v>
      </c>
      <c r="C562" s="2" t="s">
        <v>22</v>
      </c>
      <c r="D562" s="2">
        <v>0.94815700000000003</v>
      </c>
      <c r="E562" s="2">
        <v>0.94594699999999998</v>
      </c>
      <c r="F562" s="2">
        <v>0.93269800000000003</v>
      </c>
      <c r="G562" s="2">
        <v>0.91960399999999998</v>
      </c>
      <c r="H562" s="2">
        <v>0.94878499999999999</v>
      </c>
      <c r="I562" s="2">
        <v>0.93717399999999995</v>
      </c>
      <c r="J562" s="2">
        <v>0.951546</v>
      </c>
      <c r="K562" s="2">
        <v>0.93201400000000001</v>
      </c>
      <c r="L562" s="2">
        <f>AVERAGE(D562:K562)</f>
        <v>0.9394906249999998</v>
      </c>
      <c r="M562" s="2">
        <f xml:space="preserve"> _xlfn.STDEV.S(D562:K562) / SQRT(COUNT(D562:K562))</f>
        <v>3.8991587642972989E-3</v>
      </c>
      <c r="N562" s="2">
        <f>M562*$N$2</f>
        <v>4.3637791239935384E-3</v>
      </c>
    </row>
    <row r="563" spans="2:14" x14ac:dyDescent="0.55000000000000004">
      <c r="C563" s="2" t="s">
        <v>23</v>
      </c>
      <c r="D563" s="2">
        <v>1.627E-3</v>
      </c>
      <c r="E563" s="2">
        <v>5.6599999999999999E-4</v>
      </c>
      <c r="F563" s="2">
        <v>5.3499999999999999E-4</v>
      </c>
      <c r="G563" s="2">
        <v>1.2310000000000001E-3</v>
      </c>
      <c r="H563" s="2">
        <v>2.8200000000000002E-4</v>
      </c>
      <c r="I563" s="2">
        <v>7.45E-4</v>
      </c>
      <c r="J563" s="2">
        <v>9.8299999999999993E-4</v>
      </c>
      <c r="K563" s="2">
        <v>9.7E-5</v>
      </c>
      <c r="L563" s="2">
        <f>(1/COUNT(D563:K563))*SQRT(SUMSQ(D563:K563))</f>
        <v>3.1571639765777131E-4</v>
      </c>
    </row>
    <row r="564" spans="2:14" x14ac:dyDescent="0.55000000000000004">
      <c r="C564" s="2" t="s">
        <v>24</v>
      </c>
      <c r="D564" s="2">
        <v>0.31540299999999999</v>
      </c>
      <c r="E564" s="2">
        <v>0.32094</v>
      </c>
      <c r="F564" s="2">
        <v>0.35947400000000002</v>
      </c>
      <c r="G564" s="2">
        <v>0.39235700000000001</v>
      </c>
      <c r="H564" s="2">
        <v>0.31401400000000002</v>
      </c>
      <c r="I564" s="2">
        <v>0.34853699999999999</v>
      </c>
      <c r="J564" s="2">
        <v>0.30297200000000002</v>
      </c>
      <c r="K564" s="2">
        <v>0.36090299999999997</v>
      </c>
      <c r="L564" s="2">
        <f>AVERAGE(D564:K564)</f>
        <v>0.33932499999999999</v>
      </c>
      <c r="M564" s="2">
        <f xml:space="preserve"> _xlfn.STDEV.S(D564:K564) / SQRT(COUNT(D564:K564))</f>
        <v>1.0890119942275327E-2</v>
      </c>
      <c r="N564" s="2">
        <f>M564*$N$2</f>
        <v>1.2187777142347563E-2</v>
      </c>
    </row>
    <row r="565" spans="2:14" x14ac:dyDescent="0.55000000000000004">
      <c r="C565" s="2" t="s">
        <v>25</v>
      </c>
      <c r="D565" s="2">
        <v>4.4580000000000002E-3</v>
      </c>
      <c r="E565" s="2">
        <v>1.629E-3</v>
      </c>
      <c r="F565" s="2">
        <v>1.294E-3</v>
      </c>
      <c r="G565" s="2">
        <v>2.7439999999999999E-3</v>
      </c>
      <c r="H565" s="2">
        <v>7.8100000000000001E-4</v>
      </c>
      <c r="I565" s="2">
        <v>2.0179999999999998E-3</v>
      </c>
      <c r="J565" s="2">
        <v>2.728E-3</v>
      </c>
      <c r="K565" s="2">
        <v>2.5900000000000001E-4</v>
      </c>
      <c r="L565" s="2">
        <f>(1/COUNT(D565:K565))*SQRT(SUMSQ(D565:K565))</f>
        <v>8.2842779370021142E-4</v>
      </c>
    </row>
    <row r="566" spans="2:14" x14ac:dyDescent="0.55000000000000004">
      <c r="C566" s="2" t="s">
        <v>26</v>
      </c>
      <c r="D566" s="2">
        <v>0.63904300000000003</v>
      </c>
      <c r="E566" s="2">
        <v>0.76017500000000005</v>
      </c>
      <c r="F566" s="2">
        <v>0.59276600000000002</v>
      </c>
      <c r="G566" s="2">
        <v>0.68826500000000002</v>
      </c>
      <c r="H566" s="2">
        <v>0.63485899999999995</v>
      </c>
      <c r="I566" s="2">
        <v>0.63841800000000004</v>
      </c>
      <c r="J566" s="2">
        <v>0.71563500000000002</v>
      </c>
      <c r="K566" s="2">
        <v>0.56232599999999999</v>
      </c>
      <c r="L566" s="2">
        <f>AVERAGE(D566:K566)</f>
        <v>0.65393587499999994</v>
      </c>
      <c r="M566" s="2">
        <f xml:space="preserve"> _xlfn.STDEV.S(D566:K566) / SQRT(COUNT(D566:K566))</f>
        <v>2.2847582970350579E-2</v>
      </c>
      <c r="N566" s="2">
        <f>M566*$N$2</f>
        <v>2.5570081042261498E-2</v>
      </c>
    </row>
    <row r="567" spans="2:14" x14ac:dyDescent="0.55000000000000004">
      <c r="C567" s="2" t="s">
        <v>27</v>
      </c>
      <c r="D567" s="2">
        <v>4.4580000000000002E-3</v>
      </c>
      <c r="E567" s="2">
        <v>1.1349999999999999E-3</v>
      </c>
      <c r="F567" s="2">
        <v>5.8100000000000003E-4</v>
      </c>
      <c r="G567" s="2">
        <v>2.758E-3</v>
      </c>
      <c r="H567" s="2">
        <v>6.1899999999999998E-4</v>
      </c>
      <c r="I567" s="2">
        <v>1.6280000000000001E-3</v>
      </c>
      <c r="J567" s="2">
        <v>2.137E-3</v>
      </c>
      <c r="K567" s="2">
        <v>1.8200000000000001E-4</v>
      </c>
      <c r="L567" s="2">
        <f>(1/COUNT(D567:K567))*SQRT(SUMSQ(D567:K567))</f>
        <v>7.576645035898145E-4</v>
      </c>
    </row>
    <row r="568" spans="2:14" x14ac:dyDescent="0.55000000000000004">
      <c r="C568" s="2" t="s">
        <v>28</v>
      </c>
      <c r="D568" s="2">
        <v>2.4951560000000002</v>
      </c>
      <c r="E568" s="2">
        <v>2.6166070000000001</v>
      </c>
      <c r="F568" s="2">
        <v>3.175052</v>
      </c>
      <c r="G568" s="2">
        <v>3.6234730000000002</v>
      </c>
      <c r="H568" s="2">
        <v>1.8416939999999999</v>
      </c>
      <c r="I568" s="2">
        <v>3.0006979999999999</v>
      </c>
      <c r="J568" s="2">
        <v>3.1342639999999999</v>
      </c>
      <c r="K568" s="2">
        <v>2.660256</v>
      </c>
      <c r="L568" s="2">
        <f>AVERAGE(D568:K568)</f>
        <v>2.8184</v>
      </c>
      <c r="M568" s="2">
        <f xml:space="preserve"> _xlfn.STDEV.S(D568:K568) / SQRT(COUNT(D568:K568))</f>
        <v>0.19051232830796389</v>
      </c>
      <c r="N568" s="2">
        <f>M568*$N$2</f>
        <v>0.21321361129123487</v>
      </c>
    </row>
    <row r="569" spans="2:14" x14ac:dyDescent="0.55000000000000004">
      <c r="C569" s="2" t="s">
        <v>29</v>
      </c>
      <c r="D569" s="2">
        <v>7.2944999999999996E-2</v>
      </c>
      <c r="E569" s="2">
        <v>7.7340000000000004E-3</v>
      </c>
      <c r="F569" s="2">
        <v>5.5490000000000001E-3</v>
      </c>
      <c r="G569" s="2">
        <v>4.4574000000000003E-2</v>
      </c>
      <c r="H569" s="2">
        <v>5.7340000000000004E-3</v>
      </c>
      <c r="I569" s="2">
        <v>3.0308999999999999E-2</v>
      </c>
      <c r="J569" s="2">
        <v>2.299E-2</v>
      </c>
      <c r="K569" s="2">
        <v>2.3340000000000001E-3</v>
      </c>
      <c r="L569" s="2">
        <f>(1/COUNT(D569:K569))*SQRT(SUMSQ(D569:K569))</f>
        <v>1.1781820311792868E-2</v>
      </c>
    </row>
    <row r="570" spans="2:14" x14ac:dyDescent="0.55000000000000004">
      <c r="C570" s="2" t="s">
        <v>30</v>
      </c>
      <c r="D570" s="2">
        <v>16.831882</v>
      </c>
      <c r="E570" s="2">
        <v>20.162953999999999</v>
      </c>
      <c r="F570" s="2">
        <v>21.696290999999999</v>
      </c>
      <c r="G570" s="2">
        <v>36.055447000000001</v>
      </c>
      <c r="H570" s="2">
        <v>13.198342</v>
      </c>
      <c r="I570" s="2">
        <v>17.925056000000001</v>
      </c>
      <c r="J570" s="2">
        <v>24.976531999999999</v>
      </c>
      <c r="K570" s="2">
        <v>28.536873</v>
      </c>
      <c r="L570" s="2">
        <f>AVERAGE(D570:K570)</f>
        <v>22.422922124999999</v>
      </c>
      <c r="M570" s="2">
        <f xml:space="preserve"> _xlfn.STDEV.S(D570:K570) / SQRT(COUNT(D570:K570))</f>
        <v>2.5772559802782058</v>
      </c>
      <c r="N570" s="2">
        <f>M570*$N$2</f>
        <v>2.8843595564522695</v>
      </c>
    </row>
    <row r="571" spans="2:14" x14ac:dyDescent="0.55000000000000004">
      <c r="C571" s="2" t="s">
        <v>31</v>
      </c>
      <c r="D571" s="2">
        <v>0.105119</v>
      </c>
      <c r="E571" s="2">
        <v>9.3501000000000001E-2</v>
      </c>
      <c r="F571" s="2">
        <v>1.6402E-2</v>
      </c>
      <c r="G571" s="2">
        <v>0.180838</v>
      </c>
      <c r="H571" s="2">
        <v>5.6054E-2</v>
      </c>
      <c r="I571" s="2">
        <v>7.6224E-2</v>
      </c>
      <c r="J571" s="2">
        <v>0.20116100000000001</v>
      </c>
      <c r="K571" s="2">
        <v>0.215116</v>
      </c>
      <c r="L571" s="2">
        <f>(1/COUNT(D571:K571))*SQRT(SUMSQ(D571:K571))</f>
        <v>4.8162589131600632E-2</v>
      </c>
    </row>
    <row r="572" spans="2:14" x14ac:dyDescent="0.55000000000000004">
      <c r="B572" s="2" t="s">
        <v>35</v>
      </c>
      <c r="C572" s="2" t="s">
        <v>22</v>
      </c>
      <c r="D572" s="2">
        <v>0.94786199999999998</v>
      </c>
      <c r="E572" s="2">
        <v>0.935415</v>
      </c>
      <c r="F572" s="2">
        <v>0.92474500000000004</v>
      </c>
      <c r="G572" s="2">
        <v>0.92002899999999999</v>
      </c>
      <c r="H572" s="2">
        <v>0.94784900000000005</v>
      </c>
      <c r="I572" s="2">
        <v>0.92889100000000002</v>
      </c>
      <c r="J572" s="2">
        <v>0.93934499999999999</v>
      </c>
      <c r="K572" s="2">
        <v>0.92986500000000005</v>
      </c>
      <c r="L572" s="2">
        <f>AVERAGE(D572:K572)</f>
        <v>0.93425012500000015</v>
      </c>
      <c r="M572" s="2">
        <f xml:space="preserve"> _xlfn.STDEV.S(D572:K572) / SQRT(COUNT(D572:K572))</f>
        <v>3.6303890161361683E-3</v>
      </c>
      <c r="N572" s="2">
        <f>M572*$N$2</f>
        <v>4.0629830069116241E-3</v>
      </c>
    </row>
    <row r="573" spans="2:14" x14ac:dyDescent="0.55000000000000004">
      <c r="C573" s="2" t="s">
        <v>23</v>
      </c>
      <c r="D573" s="2">
        <v>2.3499999999999999E-4</v>
      </c>
      <c r="E573" s="2">
        <v>5.9000000000000003E-4</v>
      </c>
      <c r="F573" s="2">
        <v>2.0000000000000001E-4</v>
      </c>
      <c r="G573" s="2">
        <v>2.9300000000000002E-4</v>
      </c>
      <c r="H573" s="2">
        <v>2.1000000000000001E-4</v>
      </c>
      <c r="I573" s="2">
        <v>3.0800000000000001E-4</v>
      </c>
      <c r="J573" s="2">
        <v>3.6099999999999999E-4</v>
      </c>
      <c r="K573" s="2">
        <v>4.8000000000000001E-5</v>
      </c>
      <c r="L573" s="2">
        <f>(1/COUNT(D573:K573))*SQRT(SUMSQ(D573:K573))</f>
        <v>1.1185670241429434E-4</v>
      </c>
    </row>
    <row r="574" spans="2:14" x14ac:dyDescent="0.55000000000000004">
      <c r="C574" s="2" t="s">
        <v>24</v>
      </c>
      <c r="D574" s="2">
        <v>0.31378600000000001</v>
      </c>
      <c r="E574" s="2">
        <v>0.346445</v>
      </c>
      <c r="F574" s="2">
        <v>0.37781300000000001</v>
      </c>
      <c r="G574" s="2">
        <v>0.39147900000000002</v>
      </c>
      <c r="H574" s="2">
        <v>0.31670599999999999</v>
      </c>
      <c r="I574" s="2">
        <v>0.37103700000000001</v>
      </c>
      <c r="J574" s="2">
        <v>0.33417400000000003</v>
      </c>
      <c r="K574" s="2">
        <v>0.36716399999999999</v>
      </c>
      <c r="L574" s="2">
        <f>AVERAGE(D574:K574)</f>
        <v>0.35232549999999996</v>
      </c>
      <c r="M574" s="2">
        <f xml:space="preserve"> _xlfn.STDEV.S(D574:K574) / SQRT(COUNT(D574:K574))</f>
        <v>1.0239114085212647E-2</v>
      </c>
      <c r="N574" s="2">
        <f>M574*$N$2</f>
        <v>1.145919799479915E-2</v>
      </c>
    </row>
    <row r="575" spans="2:14" x14ac:dyDescent="0.55000000000000004">
      <c r="C575" s="2" t="s">
        <v>25</v>
      </c>
      <c r="D575" s="2">
        <v>6.3699999999999998E-4</v>
      </c>
      <c r="E575" s="2">
        <v>1.5820000000000001E-3</v>
      </c>
      <c r="F575" s="2">
        <v>4.4099999999999999E-4</v>
      </c>
      <c r="G575" s="2">
        <v>7.1500000000000003E-4</v>
      </c>
      <c r="H575" s="2">
        <v>5.8699999999999996E-4</v>
      </c>
      <c r="I575" s="2">
        <v>7.7399999999999995E-4</v>
      </c>
      <c r="J575" s="2">
        <v>9.3499999999999996E-4</v>
      </c>
      <c r="K575" s="2">
        <v>1.11E-4</v>
      </c>
      <c r="L575" s="2">
        <f>(1/COUNT(D575:K575))*SQRT(SUMSQ(D575:K575))</f>
        <v>2.9166520832968747E-4</v>
      </c>
    </row>
    <row r="576" spans="2:14" x14ac:dyDescent="0.55000000000000004">
      <c r="C576" s="2" t="s">
        <v>26</v>
      </c>
      <c r="D576" s="2">
        <v>0.63810900000000004</v>
      </c>
      <c r="E576" s="2">
        <v>0.74035700000000004</v>
      </c>
      <c r="F576" s="2">
        <v>0.58532700000000004</v>
      </c>
      <c r="G576" s="2">
        <v>0.68969100000000005</v>
      </c>
      <c r="H576" s="2">
        <v>0.63277899999999998</v>
      </c>
      <c r="I576" s="2">
        <v>0.62071200000000004</v>
      </c>
      <c r="J576" s="2">
        <v>0.69137499999999996</v>
      </c>
      <c r="K576" s="2">
        <v>0.55386299999999999</v>
      </c>
      <c r="L576" s="2">
        <f>AVERAGE(D576:K576)</f>
        <v>0.64402662499999996</v>
      </c>
      <c r="M576" s="2">
        <f xml:space="preserve"> _xlfn.STDEV.S(D576:K576) / SQRT(COUNT(D576:K576))</f>
        <v>2.1500360980306405E-2</v>
      </c>
      <c r="N576" s="2">
        <f>M576*$N$2</f>
        <v>2.4062325254174399E-2</v>
      </c>
    </row>
    <row r="577" spans="2:14" x14ac:dyDescent="0.55000000000000004">
      <c r="C577" s="2" t="s">
        <v>27</v>
      </c>
      <c r="D577" s="2">
        <v>5.71E-4</v>
      </c>
      <c r="E577" s="2">
        <v>1.178E-3</v>
      </c>
      <c r="F577" s="2">
        <v>1.9900000000000001E-4</v>
      </c>
      <c r="G577" s="2">
        <v>9.6599999999999995E-4</v>
      </c>
      <c r="H577" s="2">
        <v>4.9299999999999995E-4</v>
      </c>
      <c r="I577" s="2">
        <v>5.6099999999999998E-4</v>
      </c>
      <c r="J577" s="2">
        <v>6.87E-4</v>
      </c>
      <c r="K577" s="2">
        <v>1.02E-4</v>
      </c>
      <c r="L577" s="2">
        <f>(1/COUNT(D577:K577))*SQRT(SUMSQ(D577:K577))</f>
        <v>2.4130585493311181E-4</v>
      </c>
    </row>
    <row r="578" spans="2:14" x14ac:dyDescent="0.55000000000000004">
      <c r="C578" s="2" t="s">
        <v>28</v>
      </c>
      <c r="D578" s="2">
        <v>2.513369</v>
      </c>
      <c r="E578" s="2">
        <v>2.7944939999999998</v>
      </c>
      <c r="F578" s="2">
        <v>3.2584550000000001</v>
      </c>
      <c r="G578" s="2">
        <v>3.507225</v>
      </c>
      <c r="H578" s="2">
        <v>1.8567959999999999</v>
      </c>
      <c r="I578" s="2">
        <v>3.3841860000000001</v>
      </c>
      <c r="J578" s="2">
        <v>3.3508450000000001</v>
      </c>
      <c r="K578" s="2">
        <v>2.9057369999999998</v>
      </c>
      <c r="L578" s="2">
        <f>AVERAGE(D578:K578)</f>
        <v>2.9463883749999997</v>
      </c>
      <c r="M578" s="2">
        <f xml:space="preserve"> _xlfn.STDEV.S(D578:K578) / SQRT(COUNT(D578:K578))</f>
        <v>0.19669669265920381</v>
      </c>
      <c r="N578" s="2">
        <f>M578*$N$2</f>
        <v>0.22013489910803763</v>
      </c>
    </row>
    <row r="579" spans="2:14" x14ac:dyDescent="0.55000000000000004">
      <c r="C579" s="2" t="s">
        <v>29</v>
      </c>
      <c r="D579" s="2">
        <v>1.1129E-2</v>
      </c>
      <c r="E579" s="2">
        <v>9.1140000000000006E-3</v>
      </c>
      <c r="F579" s="2">
        <v>2.4789999999999999E-3</v>
      </c>
      <c r="G579" s="2">
        <v>1.0423E-2</v>
      </c>
      <c r="H579" s="2">
        <v>4.8079999999999998E-3</v>
      </c>
      <c r="I579" s="2">
        <v>1.2309E-2</v>
      </c>
      <c r="J579" s="2">
        <v>1.0056000000000001E-2</v>
      </c>
      <c r="K579" s="2">
        <v>1.967E-3</v>
      </c>
      <c r="L579" s="2">
        <f>(1/COUNT(D579:K579))*SQRT(SUMSQ(D579:K579))</f>
        <v>3.0652400420888739E-3</v>
      </c>
    </row>
    <row r="580" spans="2:14" x14ac:dyDescent="0.55000000000000004">
      <c r="C580" s="2" t="s">
        <v>30</v>
      </c>
      <c r="D580" s="2">
        <v>16.138569</v>
      </c>
      <c r="E580" s="2">
        <v>20.365020000000001</v>
      </c>
      <c r="F580" s="2">
        <v>21.710556</v>
      </c>
      <c r="G580" s="2">
        <v>33.462603000000001</v>
      </c>
      <c r="H580" s="2">
        <v>13.417897999999999</v>
      </c>
      <c r="I580" s="2">
        <v>18.986001999999999</v>
      </c>
      <c r="J580" s="2">
        <v>26.081185000000001</v>
      </c>
      <c r="K580" s="2">
        <v>49.195672000000002</v>
      </c>
      <c r="L580" s="2">
        <f>AVERAGE(D580:K580)</f>
        <v>24.919688125</v>
      </c>
      <c r="M580" s="2">
        <f xml:space="preserve"> _xlfn.STDEV.S(D580:K580) / SQRT(COUNT(D580:K580))</f>
        <v>4.0955229335846441</v>
      </c>
      <c r="N580" s="2">
        <f>M580*$N$2</f>
        <v>4.583541876534567</v>
      </c>
    </row>
    <row r="581" spans="2:14" x14ac:dyDescent="0.55000000000000004">
      <c r="C581" s="2" t="s">
        <v>31</v>
      </c>
      <c r="D581" s="2">
        <v>2.2412999999999999E-2</v>
      </c>
      <c r="E581" s="2">
        <v>5.2058E-2</v>
      </c>
      <c r="F581" s="2">
        <v>6.9210000000000001E-3</v>
      </c>
      <c r="G581" s="2">
        <v>8.6435999999999999E-2</v>
      </c>
      <c r="H581" s="2">
        <v>3.7414999999999997E-2</v>
      </c>
      <c r="I581" s="2">
        <v>5.3385000000000002E-2</v>
      </c>
      <c r="J581" s="2">
        <v>0.10106999999999999</v>
      </c>
      <c r="K581" s="2">
        <v>5.8597000000000003E-2</v>
      </c>
      <c r="L581" s="2">
        <f>(1/COUNT(D581:K581))*SQRT(SUMSQ(D581:K581))</f>
        <v>2.1150522315137397E-2</v>
      </c>
    </row>
    <row r="582" spans="2:14" x14ac:dyDescent="0.55000000000000004">
      <c r="B582" s="2" t="s">
        <v>45</v>
      </c>
      <c r="C582" s="2" t="s">
        <v>22</v>
      </c>
      <c r="D582" s="2">
        <v>0.943855</v>
      </c>
      <c r="E582" s="2">
        <v>0.92773600000000001</v>
      </c>
      <c r="F582" s="2">
        <v>0.91864100000000004</v>
      </c>
      <c r="G582" s="2">
        <v>0.92931299999999994</v>
      </c>
      <c r="H582" s="2">
        <v>0.94972500000000004</v>
      </c>
      <c r="I582" s="2">
        <v>0.93009500000000001</v>
      </c>
      <c r="J582" s="2">
        <v>0.94208599999999998</v>
      </c>
      <c r="K582" s="2">
        <v>0.93017000000000005</v>
      </c>
      <c r="L582" s="2">
        <f>AVERAGE(D582:K582)</f>
        <v>0.93395262499999998</v>
      </c>
      <c r="M582" s="2">
        <f xml:space="preserve"> _xlfn.STDEV.S(D582:K582) / SQRT(COUNT(D582:K582))</f>
        <v>3.627239608343965E-3</v>
      </c>
      <c r="N582" s="2">
        <f>M582*$N$2</f>
        <v>4.0594583184320474E-3</v>
      </c>
    </row>
    <row r="583" spans="2:14" x14ac:dyDescent="0.55000000000000004">
      <c r="C583" s="2" t="s">
        <v>23</v>
      </c>
      <c r="D583" s="2">
        <v>7.9199999999999995E-4</v>
      </c>
      <c r="E583" s="2">
        <v>1.8879999999999999E-3</v>
      </c>
      <c r="F583" s="2">
        <v>1.833E-3</v>
      </c>
      <c r="G583" s="2">
        <v>1.848E-3</v>
      </c>
      <c r="H583" s="2">
        <v>6.8099999999999996E-4</v>
      </c>
      <c r="I583" s="2">
        <v>3.6000000000000002E-4</v>
      </c>
      <c r="J583" s="2">
        <v>6.3000000000000003E-4</v>
      </c>
      <c r="K583" s="2">
        <v>1.8000000000000001E-4</v>
      </c>
      <c r="L583" s="2">
        <f>(1/COUNT(D583:K583))*SQRT(SUMSQ(D583:K583))</f>
        <v>4.3282253147219587E-4</v>
      </c>
    </row>
    <row r="584" spans="2:14" x14ac:dyDescent="0.55000000000000004">
      <c r="C584" s="2" t="s">
        <v>24</v>
      </c>
      <c r="D584" s="2">
        <v>0.324013</v>
      </c>
      <c r="E584" s="2">
        <v>0.35999900000000001</v>
      </c>
      <c r="F584" s="2">
        <v>0.392625</v>
      </c>
      <c r="G584" s="2">
        <v>0.36322900000000002</v>
      </c>
      <c r="H584" s="2">
        <v>0.31115599999999999</v>
      </c>
      <c r="I584" s="2">
        <v>0.36497200000000002</v>
      </c>
      <c r="J584" s="2">
        <v>0.32467000000000001</v>
      </c>
      <c r="K584" s="2">
        <v>0.36535200000000001</v>
      </c>
      <c r="L584" s="2">
        <f>AVERAGE(D584:K584)</f>
        <v>0.35075200000000001</v>
      </c>
      <c r="M584" s="2">
        <f xml:space="preserve"> _xlfn.STDEV.S(D584:K584) / SQRT(COUNT(D584:K584))</f>
        <v>9.7952130509900478E-3</v>
      </c>
      <c r="N584" s="2">
        <f>M584*$N$2</f>
        <v>1.0962402100259878E-2</v>
      </c>
    </row>
    <row r="585" spans="2:14" x14ac:dyDescent="0.55000000000000004">
      <c r="C585" s="2" t="s">
        <v>25</v>
      </c>
      <c r="D585" s="2">
        <v>2.3159999999999999E-3</v>
      </c>
      <c r="E585" s="2">
        <v>3.8869999999999998E-3</v>
      </c>
      <c r="F585" s="2">
        <v>4.1929999999999997E-3</v>
      </c>
      <c r="G585" s="2">
        <v>4.1879999999999999E-3</v>
      </c>
      <c r="H585" s="2">
        <v>1.9729999999999999E-3</v>
      </c>
      <c r="I585" s="2">
        <v>7.8799999999999996E-4</v>
      </c>
      <c r="J585" s="2">
        <v>1.47E-3</v>
      </c>
      <c r="K585" s="2">
        <v>5.4900000000000001E-4</v>
      </c>
      <c r="L585" s="2">
        <f>(1/COUNT(D585:K585))*SQRT(SUMSQ(D585:K585))</f>
        <v>9.88758628280937E-4</v>
      </c>
    </row>
    <row r="586" spans="2:14" x14ac:dyDescent="0.55000000000000004">
      <c r="C586" s="2" t="s">
        <v>26</v>
      </c>
      <c r="D586" s="2">
        <v>0.62890400000000002</v>
      </c>
      <c r="E586" s="2">
        <v>0.72986300000000004</v>
      </c>
      <c r="F586" s="2">
        <v>0.57823899999999995</v>
      </c>
      <c r="G586" s="2">
        <v>0.69880500000000001</v>
      </c>
      <c r="H586" s="2">
        <v>0.63795800000000003</v>
      </c>
      <c r="I586" s="2">
        <v>0.62746299999999999</v>
      </c>
      <c r="J586" s="2">
        <v>0.69995300000000005</v>
      </c>
      <c r="K586" s="2">
        <v>0.55659700000000001</v>
      </c>
      <c r="L586" s="2">
        <f>AVERAGE(D586:K586)</f>
        <v>0.64472275000000001</v>
      </c>
      <c r="M586" s="2">
        <f xml:space="preserve"> _xlfn.STDEV.S(D586:K586) / SQRT(COUNT(D586:K586))</f>
        <v>2.1549056551066724E-2</v>
      </c>
      <c r="N586" s="2">
        <f>M586*$N$2</f>
        <v>2.4116823346701576E-2</v>
      </c>
    </row>
    <row r="587" spans="2:14" x14ac:dyDescent="0.55000000000000004">
      <c r="C587" s="2" t="s">
        <v>27</v>
      </c>
      <c r="D587" s="2">
        <v>2.4849999999999998E-3</v>
      </c>
      <c r="E587" s="2">
        <v>2.7100000000000002E-3</v>
      </c>
      <c r="F587" s="2">
        <v>1.4829999999999999E-3</v>
      </c>
      <c r="G587" s="2">
        <v>3.6670000000000001E-3</v>
      </c>
      <c r="H587" s="2">
        <v>1.5479999999999999E-3</v>
      </c>
      <c r="I587" s="2">
        <v>8.5899999999999995E-4</v>
      </c>
      <c r="J587" s="2">
        <v>8.2700000000000004E-4</v>
      </c>
      <c r="K587" s="2">
        <v>3.1300000000000002E-4</v>
      </c>
      <c r="L587" s="2">
        <f>(1/COUNT(D587:K587))*SQRT(SUMSQ(D587:K587))</f>
        <v>7.1895742659075436E-4</v>
      </c>
    </row>
    <row r="588" spans="2:14" x14ac:dyDescent="0.55000000000000004">
      <c r="C588" s="2" t="s">
        <v>28</v>
      </c>
      <c r="D588" s="2">
        <v>2.7520790000000002</v>
      </c>
      <c r="E588" s="2">
        <v>2.9075820000000001</v>
      </c>
      <c r="F588" s="2">
        <v>3.3243149999999999</v>
      </c>
      <c r="G588" s="2">
        <v>3.574468</v>
      </c>
      <c r="H588" s="2">
        <v>1.79416</v>
      </c>
      <c r="I588" s="2">
        <v>3.3880080000000001</v>
      </c>
      <c r="J588" s="2">
        <v>3.3635199999999998</v>
      </c>
      <c r="K588" s="2">
        <v>2.7910529999999998</v>
      </c>
      <c r="L588" s="2">
        <f>AVERAGE(D588:K588)</f>
        <v>2.9868981249999997</v>
      </c>
      <c r="M588" s="2">
        <f xml:space="preserve"> _xlfn.STDEV.S(D588:K588) / SQRT(COUNT(D588:K588))</f>
        <v>0.2019650027612141</v>
      </c>
      <c r="N588" s="2">
        <f>M588*$N$2</f>
        <v>0.22603097644974085</v>
      </c>
    </row>
    <row r="589" spans="2:14" x14ac:dyDescent="0.55000000000000004">
      <c r="C589" s="2" t="s">
        <v>29</v>
      </c>
      <c r="D589" s="2">
        <v>3.4370999999999999E-2</v>
      </c>
      <c r="E589" s="2">
        <v>4.9537999999999999E-2</v>
      </c>
      <c r="F589" s="2">
        <v>1.8608E-2</v>
      </c>
      <c r="G589" s="2">
        <v>0.11193699999999999</v>
      </c>
      <c r="H589" s="2">
        <v>1.1877E-2</v>
      </c>
      <c r="I589" s="2">
        <v>3.1229E-2</v>
      </c>
      <c r="J589" s="2">
        <v>1.8103000000000001E-2</v>
      </c>
      <c r="K589" s="2">
        <v>8.7569999999999992E-3</v>
      </c>
      <c r="L589" s="2">
        <f>(1/COUNT(D589:K589))*SQRT(SUMSQ(D589:K589))</f>
        <v>1.6785524802824903E-2</v>
      </c>
    </row>
    <row r="590" spans="2:14" x14ac:dyDescent="0.55000000000000004">
      <c r="C590" s="2" t="s">
        <v>30</v>
      </c>
      <c r="D590" s="2">
        <v>16.564859999999999</v>
      </c>
      <c r="E590" s="2">
        <v>19.879877</v>
      </c>
      <c r="F590" s="2">
        <v>21.807262999999999</v>
      </c>
      <c r="G590" s="2">
        <v>29.80733</v>
      </c>
      <c r="H590" s="2">
        <v>13.087033999999999</v>
      </c>
      <c r="I590" s="2">
        <v>18.732468000000001</v>
      </c>
      <c r="J590" s="2">
        <v>27.224796999999999</v>
      </c>
      <c r="K590" s="2">
        <v>39.814320000000002</v>
      </c>
      <c r="L590" s="2">
        <f>AVERAGE(D590:K590)</f>
        <v>23.364743625000003</v>
      </c>
      <c r="M590" s="2">
        <f xml:space="preserve"> _xlfn.STDEV.S(D590:K590) / SQRT(COUNT(D590:K590))</f>
        <v>3.0322470609998389</v>
      </c>
      <c r="N590" s="2">
        <f>M590*$N$2</f>
        <v>3.3935669777648876</v>
      </c>
    </row>
    <row r="591" spans="2:14" x14ac:dyDescent="0.55000000000000004">
      <c r="C591" s="2" t="s">
        <v>31</v>
      </c>
      <c r="D591" s="2">
        <v>0.10667600000000001</v>
      </c>
      <c r="E591" s="2">
        <v>0.139624</v>
      </c>
      <c r="F591" s="2">
        <v>5.3015E-2</v>
      </c>
      <c r="G591" s="2">
        <v>0.41509000000000001</v>
      </c>
      <c r="H591" s="2">
        <v>7.3648000000000005E-2</v>
      </c>
      <c r="I591" s="2">
        <v>0.14052899999999999</v>
      </c>
      <c r="J591" s="2">
        <v>0.216192</v>
      </c>
      <c r="K591" s="2">
        <v>0.60068999999999995</v>
      </c>
      <c r="L591" s="2">
        <f>(1/COUNT(D591:K591))*SQRT(SUMSQ(D591:K591))</f>
        <v>9.9900326371620274E-2</v>
      </c>
    </row>
    <row r="592" spans="2:14" x14ac:dyDescent="0.55000000000000004">
      <c r="B592" s="2" t="s">
        <v>46</v>
      </c>
      <c r="C592" s="2" t="s">
        <v>22</v>
      </c>
      <c r="L592" s="2" t="e">
        <f>AVERAGE(D592:K592)</f>
        <v>#DIV/0!</v>
      </c>
      <c r="M592" s="2" t="e">
        <f xml:space="preserve"> _xlfn.STDEV.S(D592:K592) / SQRT(COUNT(D592:K592))</f>
        <v>#DIV/0!</v>
      </c>
      <c r="N592" s="2" t="e">
        <f>M592*$N$2</f>
        <v>#DIV/0!</v>
      </c>
    </row>
    <row r="593" spans="2:14" x14ac:dyDescent="0.55000000000000004">
      <c r="C593" s="2" t="s">
        <v>23</v>
      </c>
      <c r="L593" s="2" t="e">
        <f>(1/COUNT(D593:K593))*SQRT(SUMSQ(D593:K593))</f>
        <v>#DIV/0!</v>
      </c>
    </row>
    <row r="594" spans="2:14" x14ac:dyDescent="0.55000000000000004">
      <c r="C594" s="2" t="s">
        <v>24</v>
      </c>
      <c r="L594" s="2" t="e">
        <f>AVERAGE(D594:K594)</f>
        <v>#DIV/0!</v>
      </c>
      <c r="M594" s="2" t="e">
        <f xml:space="preserve"> _xlfn.STDEV.S(D594:K594) / SQRT(COUNT(D594:K594))</f>
        <v>#DIV/0!</v>
      </c>
      <c r="N594" s="2" t="e">
        <f>M594*$N$2</f>
        <v>#DIV/0!</v>
      </c>
    </row>
    <row r="595" spans="2:14" x14ac:dyDescent="0.55000000000000004">
      <c r="C595" s="2" t="s">
        <v>25</v>
      </c>
      <c r="L595" s="2" t="e">
        <f>(1/COUNT(D595:K595))*SQRT(SUMSQ(D595:K595))</f>
        <v>#DIV/0!</v>
      </c>
    </row>
    <row r="596" spans="2:14" x14ac:dyDescent="0.55000000000000004">
      <c r="C596" s="2" t="s">
        <v>26</v>
      </c>
      <c r="L596" s="2" t="e">
        <f>AVERAGE(D596:K596)</f>
        <v>#DIV/0!</v>
      </c>
      <c r="M596" s="2" t="e">
        <f xml:space="preserve"> _xlfn.STDEV.S(D596:K596) / SQRT(COUNT(D596:K596))</f>
        <v>#DIV/0!</v>
      </c>
      <c r="N596" s="2" t="e">
        <f>M596*$N$2</f>
        <v>#DIV/0!</v>
      </c>
    </row>
    <row r="597" spans="2:14" x14ac:dyDescent="0.55000000000000004">
      <c r="C597" s="2" t="s">
        <v>27</v>
      </c>
      <c r="L597" s="2" t="e">
        <f>(1/COUNT(D597:K597))*SQRT(SUMSQ(D597:K597))</f>
        <v>#DIV/0!</v>
      </c>
    </row>
    <row r="598" spans="2:14" x14ac:dyDescent="0.55000000000000004">
      <c r="C598" s="2" t="s">
        <v>28</v>
      </c>
      <c r="L598" s="2" t="e">
        <f>AVERAGE(D598:K598)</f>
        <v>#DIV/0!</v>
      </c>
      <c r="M598" s="2" t="e">
        <f xml:space="preserve"> _xlfn.STDEV.S(D598:K598) / SQRT(COUNT(D598:K598))</f>
        <v>#DIV/0!</v>
      </c>
      <c r="N598" s="2" t="e">
        <f>M598*$N$2</f>
        <v>#DIV/0!</v>
      </c>
    </row>
    <row r="599" spans="2:14" x14ac:dyDescent="0.55000000000000004">
      <c r="C599" s="2" t="s">
        <v>29</v>
      </c>
      <c r="L599" s="2" t="e">
        <f>(1/COUNT(D599:K599))*SQRT(SUMSQ(D599:K599))</f>
        <v>#DIV/0!</v>
      </c>
    </row>
    <row r="600" spans="2:14" x14ac:dyDescent="0.55000000000000004">
      <c r="C600" s="2" t="s">
        <v>30</v>
      </c>
      <c r="L600" s="2" t="e">
        <f>AVERAGE(D600:K600)</f>
        <v>#DIV/0!</v>
      </c>
      <c r="M600" s="2" t="e">
        <f xml:space="preserve"> _xlfn.STDEV.S(D600:K600) / SQRT(COUNT(D600:K600))</f>
        <v>#DIV/0!</v>
      </c>
      <c r="N600" s="2" t="e">
        <f>M600*$N$2</f>
        <v>#DIV/0!</v>
      </c>
    </row>
    <row r="601" spans="2:14" x14ac:dyDescent="0.55000000000000004">
      <c r="C601" s="2" t="s">
        <v>31</v>
      </c>
      <c r="L601" s="2" t="e">
        <f>(1/COUNT(D601:K601))*SQRT(SUMSQ(D601:K601))</f>
        <v>#DIV/0!</v>
      </c>
    </row>
    <row r="602" spans="2:14" x14ac:dyDescent="0.55000000000000004">
      <c r="B602" s="2" t="s">
        <v>36</v>
      </c>
      <c r="C602" s="2" t="s">
        <v>22</v>
      </c>
      <c r="D602" s="2">
        <v>0.93966099999999997</v>
      </c>
      <c r="E602" s="2">
        <v>0.92861000000000005</v>
      </c>
      <c r="F602" s="2">
        <v>0.92084900000000003</v>
      </c>
      <c r="G602" s="2">
        <v>0.94184800000000002</v>
      </c>
      <c r="H602" s="2">
        <v>0.94957499999999995</v>
      </c>
      <c r="I602" s="2">
        <v>0.929373</v>
      </c>
      <c r="J602" s="2">
        <v>0.93777999999999995</v>
      </c>
      <c r="K602" s="2">
        <v>0.92996800000000002</v>
      </c>
      <c r="L602" s="2">
        <f>AVERAGE(D602:K602)</f>
        <v>0.93470799999999998</v>
      </c>
      <c r="M602" s="2">
        <f xml:space="preserve"> _xlfn.STDEV.S(D602:K602) / SQRT(COUNT(D602:K602))</f>
        <v>3.2353074263286132E-3</v>
      </c>
      <c r="N602" s="2">
        <f>M602*$N$2</f>
        <v>3.6208238392309786E-3</v>
      </c>
    </row>
    <row r="603" spans="2:14" x14ac:dyDescent="0.55000000000000004">
      <c r="C603" s="2" t="s">
        <v>24</v>
      </c>
      <c r="D603" s="2">
        <v>0.33745000000000003</v>
      </c>
      <c r="E603" s="2">
        <v>0.36384499999999997</v>
      </c>
      <c r="F603" s="2">
        <v>0.38686300000000001</v>
      </c>
      <c r="G603" s="2">
        <v>0.33275300000000002</v>
      </c>
      <c r="H603" s="2">
        <v>0.31146699999999999</v>
      </c>
      <c r="I603" s="2">
        <v>0.36791600000000002</v>
      </c>
      <c r="J603" s="2">
        <v>0.33660299999999999</v>
      </c>
      <c r="K603" s="2">
        <v>0.36651699999999998</v>
      </c>
      <c r="L603" s="2">
        <f t="shared" ref="L603:L611" si="26">AVERAGE(D603:K603)</f>
        <v>0.35042675000000001</v>
      </c>
      <c r="M603" s="2">
        <f t="shared" ref="M603:M619" si="27" xml:space="preserve"> _xlfn.STDEV.S(D603:K603) / SQRT(COUNT(D603:K603))</f>
        <v>8.7240793839931489E-3</v>
      </c>
      <c r="N603" s="2">
        <f t="shared" ref="N603:N619" si="28">M603*$N$2</f>
        <v>9.7636330791451183E-3</v>
      </c>
    </row>
    <row r="604" spans="2:14" x14ac:dyDescent="0.55000000000000004">
      <c r="C604" s="2" t="s">
        <v>26</v>
      </c>
      <c r="D604" s="2">
        <v>0.61385400000000001</v>
      </c>
      <c r="E604" s="2">
        <v>0.72678399999999999</v>
      </c>
      <c r="F604" s="2">
        <v>0.58054899999999998</v>
      </c>
      <c r="G604" s="2">
        <v>0.72487299999999999</v>
      </c>
      <c r="H604" s="2">
        <v>0.63730200000000004</v>
      </c>
      <c r="I604" s="2">
        <v>0.62459699999999996</v>
      </c>
      <c r="J604" s="2">
        <v>0.69121999999999995</v>
      </c>
      <c r="K604" s="2">
        <v>0.554728</v>
      </c>
      <c r="L604" s="2">
        <f t="shared" si="26"/>
        <v>0.64423837499999992</v>
      </c>
      <c r="M604" s="2">
        <f t="shared" si="27"/>
        <v>2.2736278011565483E-2</v>
      </c>
      <c r="N604" s="2">
        <f t="shared" si="28"/>
        <v>2.5445513081605274E-2</v>
      </c>
    </row>
    <row r="605" spans="2:14" x14ac:dyDescent="0.55000000000000004">
      <c r="C605" s="2" t="s">
        <v>28</v>
      </c>
      <c r="D605" s="2">
        <v>2.9220329999999999</v>
      </c>
      <c r="E605" s="2">
        <v>2.8671099999999998</v>
      </c>
      <c r="F605" s="2">
        <v>3.3008839999999999</v>
      </c>
      <c r="G605" s="2">
        <v>3.0564960000000001</v>
      </c>
      <c r="H605" s="2">
        <v>1.799032</v>
      </c>
      <c r="I605" s="2">
        <v>3.3746369999999999</v>
      </c>
      <c r="J605" s="2">
        <v>3.3546960000000001</v>
      </c>
      <c r="K605" s="2">
        <v>2.7746949999999999</v>
      </c>
      <c r="L605" s="2">
        <f t="shared" si="26"/>
        <v>2.9311978750000001</v>
      </c>
      <c r="M605" s="2">
        <f t="shared" si="27"/>
        <v>0.18120826315807267</v>
      </c>
      <c r="N605" s="2">
        <f t="shared" si="28"/>
        <v>0.20280088184786529</v>
      </c>
    </row>
    <row r="606" spans="2:14" x14ac:dyDescent="0.55000000000000004">
      <c r="C606" s="2" t="s">
        <v>30</v>
      </c>
      <c r="D606" s="2">
        <v>16.762198999999999</v>
      </c>
      <c r="E606" s="2">
        <v>19.855049000000001</v>
      </c>
      <c r="F606" s="2">
        <v>21.769411999999999</v>
      </c>
      <c r="G606" s="2">
        <v>28.948008999999999</v>
      </c>
      <c r="H606" s="2">
        <v>12.95172</v>
      </c>
      <c r="I606" s="2">
        <v>18.513722999999999</v>
      </c>
      <c r="J606" s="2">
        <v>24.729749000000002</v>
      </c>
      <c r="K606" s="2">
        <v>45.246473999999999</v>
      </c>
      <c r="L606" s="2">
        <f t="shared" si="26"/>
        <v>23.597041875000002</v>
      </c>
      <c r="M606" s="2">
        <f t="shared" si="27"/>
        <v>3.5401639724650269</v>
      </c>
      <c r="N606" s="2">
        <f t="shared" si="28"/>
        <v>3.9620068256802634</v>
      </c>
    </row>
    <row r="607" spans="2:14" x14ac:dyDescent="0.55000000000000004">
      <c r="B607" s="2" t="s">
        <v>37</v>
      </c>
      <c r="C607" s="2" t="s">
        <v>22</v>
      </c>
      <c r="D607" s="2">
        <v>0.92406699999999997</v>
      </c>
      <c r="E607" s="2">
        <v>0.89273400000000003</v>
      </c>
      <c r="F607" s="2">
        <v>0.89717499999999994</v>
      </c>
      <c r="G607" s="2">
        <v>0.90591699999999997</v>
      </c>
      <c r="H607" s="2">
        <v>0.91956899999999997</v>
      </c>
      <c r="I607" s="2">
        <v>0.89840100000000001</v>
      </c>
      <c r="J607" s="2">
        <v>0.92088400000000004</v>
      </c>
      <c r="K607" s="2">
        <v>0.91245900000000002</v>
      </c>
      <c r="L607" s="2">
        <f t="shared" si="26"/>
        <v>0.90890074999999992</v>
      </c>
      <c r="M607" s="2">
        <f t="shared" si="27"/>
        <v>4.2638234298656673E-3</v>
      </c>
      <c r="N607" s="2">
        <f t="shared" si="28"/>
        <v>4.7718969132552217E-3</v>
      </c>
    </row>
    <row r="608" spans="2:14" x14ac:dyDescent="0.55000000000000004">
      <c r="C608" s="2" t="s">
        <v>24</v>
      </c>
      <c r="D608" s="2">
        <v>0.38016</v>
      </c>
      <c r="E608" s="2">
        <v>0.44043100000000002</v>
      </c>
      <c r="F608" s="2">
        <v>0.43972499999999998</v>
      </c>
      <c r="G608" s="2">
        <v>0.422871</v>
      </c>
      <c r="H608" s="2">
        <v>0.389598</v>
      </c>
      <c r="I608" s="2">
        <v>0.44040899999999999</v>
      </c>
      <c r="J608" s="2">
        <v>0.38139800000000001</v>
      </c>
      <c r="K608" s="2">
        <v>0.40959499999999999</v>
      </c>
      <c r="L608" s="2">
        <f t="shared" si="26"/>
        <v>0.41302337499999997</v>
      </c>
      <c r="M608" s="2">
        <f t="shared" si="27"/>
        <v>9.4034288672831222E-3</v>
      </c>
      <c r="N608" s="2">
        <f t="shared" si="28"/>
        <v>1.0523933254716667E-2</v>
      </c>
    </row>
    <row r="609" spans="1:14" x14ac:dyDescent="0.55000000000000004">
      <c r="C609" s="2" t="s">
        <v>26</v>
      </c>
      <c r="D609" s="2">
        <v>0.57943599999999995</v>
      </c>
      <c r="E609" s="2">
        <v>0.67497300000000005</v>
      </c>
      <c r="F609" s="2">
        <v>0.55660699999999996</v>
      </c>
      <c r="G609" s="2">
        <v>0.66574199999999994</v>
      </c>
      <c r="H609" s="2">
        <v>0.56661399999999995</v>
      </c>
      <c r="I609" s="2">
        <v>0.57733800000000002</v>
      </c>
      <c r="J609" s="2">
        <v>0.65575600000000001</v>
      </c>
      <c r="K609" s="2">
        <v>0.52781999999999996</v>
      </c>
      <c r="L609" s="2">
        <f t="shared" si="26"/>
        <v>0.60053575000000003</v>
      </c>
      <c r="M609" s="2">
        <f t="shared" si="27"/>
        <v>1.9907541100538838E-2</v>
      </c>
      <c r="N609" s="2">
        <f t="shared" si="28"/>
        <v>2.2279706345897075E-2</v>
      </c>
    </row>
    <row r="610" spans="1:14" x14ac:dyDescent="0.55000000000000004">
      <c r="C610" s="2" t="s">
        <v>28</v>
      </c>
      <c r="D610" s="2">
        <v>3.571739</v>
      </c>
      <c r="E610" s="2">
        <v>3.8153739999999998</v>
      </c>
      <c r="F610" s="2">
        <v>3.7012200000000002</v>
      </c>
      <c r="G610" s="2">
        <v>3.916277</v>
      </c>
      <c r="H610" s="2">
        <v>2.630144</v>
      </c>
      <c r="I610" s="2">
        <v>5.4503899999999996</v>
      </c>
      <c r="J610" s="2">
        <v>3.9777909999999999</v>
      </c>
      <c r="K610" s="2">
        <v>3.364684</v>
      </c>
      <c r="L610" s="2">
        <f t="shared" si="26"/>
        <v>3.803452375</v>
      </c>
      <c r="M610" s="2">
        <f t="shared" si="27"/>
        <v>0.27995477295301813</v>
      </c>
      <c r="N610" s="2">
        <f t="shared" si="28"/>
        <v>0.3133139396787033</v>
      </c>
    </row>
    <row r="611" spans="1:14" x14ac:dyDescent="0.55000000000000004">
      <c r="C611" s="2" t="s">
        <v>30</v>
      </c>
      <c r="D611" s="2">
        <v>19.109940999999999</v>
      </c>
      <c r="E611" s="2">
        <v>24.329758000000002</v>
      </c>
      <c r="F611" s="2">
        <v>22.879491000000002</v>
      </c>
      <c r="G611" s="2">
        <v>36.338262</v>
      </c>
      <c r="H611" s="2">
        <v>18.520192999999999</v>
      </c>
      <c r="I611" s="2">
        <v>26.946065999999998</v>
      </c>
      <c r="J611" s="2">
        <v>29.249265000000001</v>
      </c>
      <c r="K611" s="2">
        <v>62.462282999999999</v>
      </c>
      <c r="L611" s="2">
        <f t="shared" si="26"/>
        <v>29.979407375000001</v>
      </c>
      <c r="M611" s="2">
        <f t="shared" si="27"/>
        <v>5.0658040413112344</v>
      </c>
      <c r="N611" s="2">
        <f t="shared" si="28"/>
        <v>5.6694408353233561</v>
      </c>
    </row>
    <row r="612" spans="1:14" x14ac:dyDescent="0.55000000000000004">
      <c r="B612" s="2" t="s">
        <v>39</v>
      </c>
      <c r="C612" s="2" t="s">
        <v>22</v>
      </c>
      <c r="D612" s="2">
        <v>0.95101899999999995</v>
      </c>
      <c r="E612" s="2">
        <v>0.94997100000000001</v>
      </c>
      <c r="F612" s="2">
        <v>0.93144400000000005</v>
      </c>
      <c r="G612" s="2">
        <v>0.91452900000000004</v>
      </c>
      <c r="H612" s="2">
        <v>0.95262999999999998</v>
      </c>
      <c r="I612" s="2">
        <v>0.93801100000000004</v>
      </c>
      <c r="J612" s="2">
        <v>0.94793899999999998</v>
      </c>
      <c r="K612" s="2">
        <v>0.92754199999999998</v>
      </c>
      <c r="L612" s="2">
        <f t="shared" ref="L612:L620" si="29">AVERAGE(D612:K612)</f>
        <v>0.93913562500000003</v>
      </c>
      <c r="M612" s="2">
        <f t="shared" si="27"/>
        <v>4.8523586530436697E-3</v>
      </c>
      <c r="N612" s="2">
        <f t="shared" si="28"/>
        <v>5.4305614806370757E-3</v>
      </c>
    </row>
    <row r="613" spans="1:14" x14ac:dyDescent="0.55000000000000004">
      <c r="C613" s="2" t="s">
        <v>24</v>
      </c>
      <c r="D613" s="2">
        <v>0.30585899999999999</v>
      </c>
      <c r="E613" s="2">
        <v>0.30920300000000001</v>
      </c>
      <c r="F613" s="2">
        <v>0.36287700000000001</v>
      </c>
      <c r="G613" s="2">
        <v>0.404086</v>
      </c>
      <c r="H613" s="2">
        <v>0.30318899999999999</v>
      </c>
      <c r="I613" s="2">
        <v>0.34675899999999998</v>
      </c>
      <c r="J613" s="2">
        <v>0.31389800000000001</v>
      </c>
      <c r="K613" s="2">
        <v>0.370973</v>
      </c>
      <c r="L613" s="2">
        <f t="shared" si="29"/>
        <v>0.3396055</v>
      </c>
      <c r="M613" s="2">
        <f t="shared" si="27"/>
        <v>1.3218335147492235E-2</v>
      </c>
      <c r="N613" s="2">
        <f t="shared" si="28"/>
        <v>1.4793420442055791E-2</v>
      </c>
    </row>
    <row r="614" spans="1:14" x14ac:dyDescent="0.55000000000000004">
      <c r="C614" s="2" t="s">
        <v>26</v>
      </c>
      <c r="D614" s="2">
        <v>0.64423900000000001</v>
      </c>
      <c r="E614" s="2">
        <v>0.76842999999999995</v>
      </c>
      <c r="F614" s="2">
        <v>0.59087000000000001</v>
      </c>
      <c r="G614" s="2">
        <v>0.68108900000000006</v>
      </c>
      <c r="H614" s="2">
        <v>0.64416099999999998</v>
      </c>
      <c r="I614" s="2">
        <v>0.64119300000000001</v>
      </c>
      <c r="J614" s="2">
        <v>0.70752000000000004</v>
      </c>
      <c r="K614" s="2">
        <v>0.55548900000000001</v>
      </c>
      <c r="L614" s="2">
        <f t="shared" si="29"/>
        <v>0.65412387499999991</v>
      </c>
      <c r="M614" s="2">
        <f t="shared" si="27"/>
        <v>2.3428547441741041E-2</v>
      </c>
      <c r="N614" s="2">
        <f t="shared" si="28"/>
        <v>2.6220272733671769E-2</v>
      </c>
    </row>
    <row r="615" spans="1:14" x14ac:dyDescent="0.55000000000000004">
      <c r="C615" s="2" t="s">
        <v>28</v>
      </c>
      <c r="D615" s="2">
        <v>2.3863210000000001</v>
      </c>
      <c r="E615" s="2">
        <v>2.6143390000000002</v>
      </c>
      <c r="F615" s="2">
        <v>3.1821660000000001</v>
      </c>
      <c r="G615" s="2">
        <v>3.6793119999999999</v>
      </c>
      <c r="H615" s="2">
        <v>1.7576320000000001</v>
      </c>
      <c r="I615" s="2">
        <v>3.1629139999999998</v>
      </c>
      <c r="J615" s="2">
        <v>3.2087379999999999</v>
      </c>
      <c r="K615" s="2">
        <v>2.9297309999999999</v>
      </c>
      <c r="L615" s="2">
        <f t="shared" si="29"/>
        <v>2.865144125</v>
      </c>
      <c r="M615" s="2">
        <f t="shared" si="27"/>
        <v>0.21099361933949506</v>
      </c>
      <c r="N615" s="2">
        <f t="shared" si="28"/>
        <v>0.23613543510979873</v>
      </c>
    </row>
    <row r="616" spans="1:14" x14ac:dyDescent="0.55000000000000004">
      <c r="C616" s="2" t="s">
        <v>30</v>
      </c>
      <c r="D616" s="2">
        <v>16.046006999999999</v>
      </c>
      <c r="E616" s="2">
        <v>20.962028</v>
      </c>
      <c r="F616" s="2">
        <v>21.644124999999999</v>
      </c>
      <c r="G616" s="2">
        <v>34.651021</v>
      </c>
      <c r="H616" s="2">
        <v>12.635324000000001</v>
      </c>
      <c r="I616" s="2">
        <v>20.032188999999999</v>
      </c>
      <c r="J616" s="2">
        <v>24.755989</v>
      </c>
      <c r="K616" s="2">
        <v>32.726576000000001</v>
      </c>
      <c r="L616" s="2">
        <f t="shared" si="29"/>
        <v>22.931657374999997</v>
      </c>
      <c r="M616" s="2">
        <f t="shared" si="27"/>
        <v>2.6858852588524158</v>
      </c>
      <c r="N616" s="2">
        <f t="shared" si="28"/>
        <v>3.0059330051759061</v>
      </c>
    </row>
    <row r="617" spans="1:14" x14ac:dyDescent="0.55000000000000004">
      <c r="B617" s="2" t="s">
        <v>61</v>
      </c>
      <c r="C617" s="2" t="s">
        <v>22</v>
      </c>
      <c r="D617" s="2">
        <v>0.92080700000000004</v>
      </c>
      <c r="E617" s="2">
        <v>0.88688100000000003</v>
      </c>
      <c r="F617" s="2">
        <v>0.87922199999999995</v>
      </c>
      <c r="G617" s="2">
        <v>0.91722300000000001</v>
      </c>
      <c r="H617" s="2">
        <v>0.89959599999999995</v>
      </c>
      <c r="I617" s="2">
        <v>0.88555200000000001</v>
      </c>
      <c r="J617" s="2">
        <v>0.91534400000000005</v>
      </c>
      <c r="K617" s="2">
        <v>0.89385999999999999</v>
      </c>
      <c r="L617" s="2">
        <f t="shared" si="29"/>
        <v>0.89981062499999998</v>
      </c>
      <c r="M617" s="2">
        <f t="shared" si="27"/>
        <v>5.6932845401324187E-3</v>
      </c>
      <c r="N617" s="2">
        <f t="shared" si="28"/>
        <v>6.371691363447827E-3</v>
      </c>
    </row>
    <row r="618" spans="1:14" x14ac:dyDescent="0.55000000000000004">
      <c r="C618" s="2" t="s">
        <v>24</v>
      </c>
      <c r="D618" s="2">
        <v>0.38912200000000002</v>
      </c>
      <c r="E618" s="2">
        <v>0.44890000000000002</v>
      </c>
      <c r="F618" s="2">
        <v>0.48494599999999999</v>
      </c>
      <c r="G618" s="2">
        <v>0.38655099999999998</v>
      </c>
      <c r="H618" s="2">
        <v>0.44122400000000001</v>
      </c>
      <c r="I618" s="2">
        <v>0.47376600000000002</v>
      </c>
      <c r="J618" s="2">
        <v>0.39776899999999998</v>
      </c>
      <c r="K618" s="2">
        <v>0.45543699999999998</v>
      </c>
      <c r="L618" s="2">
        <f t="shared" si="29"/>
        <v>0.43471437499999993</v>
      </c>
      <c r="M618" s="2">
        <f t="shared" si="27"/>
        <v>1.3683029119702443E-2</v>
      </c>
      <c r="N618" s="2">
        <f t="shared" si="28"/>
        <v>1.5313486942949348E-2</v>
      </c>
    </row>
    <row r="619" spans="1:14" x14ac:dyDescent="0.55000000000000004">
      <c r="C619" s="2" t="s">
        <v>26</v>
      </c>
      <c r="D619" s="2">
        <v>0.56965900000000003</v>
      </c>
      <c r="E619" s="2">
        <v>0.67573499999999997</v>
      </c>
      <c r="F619" s="2">
        <v>0.53573899999999997</v>
      </c>
      <c r="G619" s="2">
        <v>0.68621699999999997</v>
      </c>
      <c r="H619" s="2">
        <v>0.52817000000000003</v>
      </c>
      <c r="I619" s="2">
        <v>0.57112200000000002</v>
      </c>
      <c r="J619" s="2">
        <v>0.64634800000000003</v>
      </c>
      <c r="K619" s="2">
        <v>0.48673899999999998</v>
      </c>
      <c r="L619" s="2">
        <f t="shared" si="29"/>
        <v>0.58746612499999995</v>
      </c>
      <c r="M619" s="2">
        <f t="shared" si="27"/>
        <v>2.6026123052780813E-2</v>
      </c>
      <c r="N619" s="2">
        <f t="shared" si="28"/>
        <v>2.9127373190375776E-2</v>
      </c>
    </row>
    <row r="620" spans="1:14" x14ac:dyDescent="0.55000000000000004">
      <c r="A620" s="2" t="s">
        <v>20</v>
      </c>
      <c r="B620" s="2" t="s">
        <v>21</v>
      </c>
      <c r="C620" s="2" t="s">
        <v>22</v>
      </c>
      <c r="D620" s="2">
        <v>0.95475699999999997</v>
      </c>
      <c r="E620" s="2">
        <v>0.94986099999999996</v>
      </c>
      <c r="F620" s="2">
        <v>0.92699699999999996</v>
      </c>
      <c r="G620" s="2">
        <v>0.92194699999999996</v>
      </c>
      <c r="H620" s="7">
        <v>0.953538</v>
      </c>
      <c r="I620" s="2">
        <v>0.93781199999999998</v>
      </c>
      <c r="J620" s="2">
        <v>0.94470299999999996</v>
      </c>
      <c r="K620" s="2">
        <v>0.93255200000000005</v>
      </c>
      <c r="L620" s="2">
        <f t="shared" si="29"/>
        <v>0.94027087499999995</v>
      </c>
      <c r="M620" s="2">
        <f xml:space="preserve"> _xlfn.STDEV.S(D620:K620) / SQRT(COUNT(D620:K620))</f>
        <v>4.3815072073981731E-3</v>
      </c>
      <c r="N620" s="2">
        <f>M620*$N$2</f>
        <v>4.9036037871407739E-3</v>
      </c>
    </row>
    <row r="621" spans="1:14" x14ac:dyDescent="0.55000000000000004">
      <c r="A621" s="2">
        <v>1.333</v>
      </c>
      <c r="C621" s="2" t="s">
        <v>23</v>
      </c>
      <c r="D621" s="2">
        <v>1.0399999999999999E-4</v>
      </c>
      <c r="E621" s="2">
        <v>4.5100000000000001E-4</v>
      </c>
      <c r="F621" s="2">
        <v>3.5799999999999997E-4</v>
      </c>
      <c r="G621" s="2">
        <v>2.2100000000000001E-4</v>
      </c>
      <c r="H621" s="2">
        <v>9.6000000000000002E-5</v>
      </c>
      <c r="I621" s="2">
        <v>4.7199999999999998E-4</v>
      </c>
      <c r="J621" s="2">
        <v>1.2700000000000001E-3</v>
      </c>
      <c r="K621" s="2">
        <v>1.02E-4</v>
      </c>
      <c r="L621" s="2">
        <f>(1/COUNT(D621:K621))*SQRT(SUMSQ(D621:K621))</f>
        <v>1.8735519408332401E-4</v>
      </c>
    </row>
    <row r="622" spans="1:14" x14ac:dyDescent="0.55000000000000004">
      <c r="C622" s="2" t="s">
        <v>24</v>
      </c>
      <c r="D622" s="2">
        <v>0.29516900000000001</v>
      </c>
      <c r="E622" s="2">
        <v>0.30965799999999999</v>
      </c>
      <c r="F622" s="2">
        <v>0.373029</v>
      </c>
      <c r="G622" s="2">
        <v>0.38732100000000003</v>
      </c>
      <c r="H622" s="2">
        <v>0.30024800000000001</v>
      </c>
      <c r="I622" s="2">
        <v>0.34779300000000002</v>
      </c>
      <c r="J622" s="2">
        <v>0.322295</v>
      </c>
      <c r="K622" s="2">
        <v>0.35944300000000001</v>
      </c>
      <c r="L622" s="2">
        <f>AVERAGE(D622:K622)</f>
        <v>0.33686950000000004</v>
      </c>
      <c r="M622" s="2">
        <f xml:space="preserve"> _xlfn.STDEV.S(D622:K622) / SQRT(COUNT(D622:K622))</f>
        <v>1.2330780875516362E-2</v>
      </c>
      <c r="N622" s="2">
        <f>M622*$N$2</f>
        <v>1.3800105976657869E-2</v>
      </c>
    </row>
    <row r="623" spans="1:14" x14ac:dyDescent="0.55000000000000004">
      <c r="C623" s="2" t="s">
        <v>25</v>
      </c>
      <c r="D623" s="2">
        <v>2.6800000000000001E-4</v>
      </c>
      <c r="E623" s="2">
        <v>1.4499999999999999E-3</v>
      </c>
      <c r="F623" s="2">
        <v>8.2799999999999996E-4</v>
      </c>
      <c r="G623" s="2">
        <v>5.0199999999999995E-4</v>
      </c>
      <c r="H623" s="2">
        <v>3.0299999999999999E-4</v>
      </c>
      <c r="I623" s="2">
        <v>1.307E-3</v>
      </c>
      <c r="J623" s="2">
        <v>3.6900000000000001E-3</v>
      </c>
      <c r="K623" s="2">
        <v>2.5999999999999998E-4</v>
      </c>
      <c r="L623" s="2">
        <f>(1/COUNT(D623:K623))*SQRT(SUMSQ(D623:K623))</f>
        <v>5.3903371299947463E-4</v>
      </c>
    </row>
    <row r="624" spans="1:14" x14ac:dyDescent="0.55000000000000004">
      <c r="C624" s="2" t="s">
        <v>26</v>
      </c>
      <c r="D624" s="2">
        <v>0.65495099999999995</v>
      </c>
      <c r="E624" s="2">
        <v>0.76819300000000001</v>
      </c>
      <c r="F624" s="2">
        <v>0.58701899999999996</v>
      </c>
      <c r="G624" s="2">
        <v>0.70099800000000001</v>
      </c>
      <c r="H624" s="2">
        <v>0.64709000000000005</v>
      </c>
      <c r="I624" s="2">
        <v>0.63936199999999999</v>
      </c>
      <c r="J624" s="2">
        <v>0.70095499999999999</v>
      </c>
      <c r="K624" s="2">
        <v>0.56333100000000003</v>
      </c>
      <c r="L624" s="2">
        <f>AVERAGE(D624:K624)</f>
        <v>0.65773737499999996</v>
      </c>
      <c r="M624" s="2">
        <f xml:space="preserve"> _xlfn.STDEV.S(D624:K624) / SQRT(COUNT(D624:K624))</f>
        <v>2.3265596523728137E-2</v>
      </c>
      <c r="N624" s="2">
        <f>M624*$N$2</f>
        <v>2.6037904726302762E-2</v>
      </c>
    </row>
    <row r="625" spans="2:14" x14ac:dyDescent="0.55000000000000004">
      <c r="C625" s="2" t="s">
        <v>27</v>
      </c>
      <c r="D625" s="2">
        <v>2.1699999999999999E-4</v>
      </c>
      <c r="E625" s="2">
        <v>9.7499999999999996E-4</v>
      </c>
      <c r="F625" s="2">
        <v>2.8400000000000002E-4</v>
      </c>
      <c r="G625" s="2">
        <v>5.5400000000000002E-4</v>
      </c>
      <c r="H625" s="2">
        <v>2.1499999999999999E-4</v>
      </c>
      <c r="I625" s="2">
        <v>1.212E-3</v>
      </c>
      <c r="J625" s="2">
        <v>2.7499999999999998E-3</v>
      </c>
      <c r="K625" s="2">
        <v>1.92E-4</v>
      </c>
      <c r="L625" s="2">
        <f>(1/COUNT(D625:K625))*SQRT(SUMSQ(D625:K625))</f>
        <v>4.0504280252215316E-4</v>
      </c>
    </row>
    <row r="626" spans="2:14" x14ac:dyDescent="0.55000000000000004">
      <c r="C626" s="2" t="s">
        <v>28</v>
      </c>
      <c r="D626" s="2">
        <v>2.2069139999999998</v>
      </c>
      <c r="E626" s="2">
        <v>2.5644339999999999</v>
      </c>
      <c r="F626" s="2">
        <v>3.247064</v>
      </c>
      <c r="G626" s="2">
        <v>3.432515</v>
      </c>
      <c r="H626" s="2">
        <v>1.737546</v>
      </c>
      <c r="I626" s="2">
        <v>3.0163479999999998</v>
      </c>
      <c r="J626" s="2">
        <v>3.1919179999999998</v>
      </c>
      <c r="K626" s="2">
        <v>2.6459090000000001</v>
      </c>
      <c r="L626" s="2">
        <f>AVERAGE(D626:K626)</f>
        <v>2.755331</v>
      </c>
      <c r="M626" s="2">
        <f xml:space="preserve"> _xlfn.STDEV.S(D626:K626) / SQRT(COUNT(D626:K626))</f>
        <v>0.20459803565292509</v>
      </c>
      <c r="N626" s="2">
        <f>M626*$N$2</f>
        <v>0.2289777592457749</v>
      </c>
    </row>
    <row r="627" spans="2:14" x14ac:dyDescent="0.55000000000000004">
      <c r="C627" s="2" t="s">
        <v>29</v>
      </c>
      <c r="D627" s="2">
        <v>3.8119999999999999E-3</v>
      </c>
      <c r="E627" s="2">
        <v>5.3340000000000002E-3</v>
      </c>
      <c r="F627" s="2">
        <v>4.0569999999999998E-3</v>
      </c>
      <c r="G627" s="2">
        <v>5.6280000000000002E-3</v>
      </c>
      <c r="H627" s="2">
        <v>1.9220000000000001E-3</v>
      </c>
      <c r="I627" s="2">
        <v>1.9209E-2</v>
      </c>
      <c r="J627" s="2">
        <v>2.8598999999999999E-2</v>
      </c>
      <c r="K627" s="2">
        <v>3.823E-3</v>
      </c>
      <c r="L627" s="2">
        <f>(1/COUNT(D627:K627))*SQRT(SUMSQ(D627:K627))</f>
        <v>4.5005458488387821E-3</v>
      </c>
    </row>
    <row r="628" spans="2:14" x14ac:dyDescent="0.55000000000000004">
      <c r="C628" s="2" t="s">
        <v>30</v>
      </c>
      <c r="D628" s="2">
        <v>15.569082</v>
      </c>
      <c r="E628" s="2">
        <v>19.923079999999999</v>
      </c>
      <c r="F628" s="2">
        <v>21.888439999999999</v>
      </c>
      <c r="G628" s="2">
        <v>35.178437000000002</v>
      </c>
      <c r="H628" s="2">
        <v>12.526077000000001</v>
      </c>
      <c r="I628" s="2">
        <v>17.997919</v>
      </c>
      <c r="J628" s="2">
        <v>24.405635</v>
      </c>
      <c r="K628" s="2">
        <v>28.239431</v>
      </c>
      <c r="L628" s="2">
        <f>AVERAGE(D628:K628)</f>
        <v>21.966012624999998</v>
      </c>
      <c r="M628" s="2">
        <f xml:space="preserve"> _xlfn.STDEV.S(D628:K628) / SQRT(COUNT(D628:K628))</f>
        <v>2.569860187865614</v>
      </c>
      <c r="N628" s="2">
        <f>M628*$N$2</f>
        <v>2.8760824878622517</v>
      </c>
    </row>
    <row r="629" spans="2:14" x14ac:dyDescent="0.55000000000000004">
      <c r="C629" s="2" t="s">
        <v>31</v>
      </c>
      <c r="D629" s="2">
        <v>8.9029999999999995E-3</v>
      </c>
      <c r="E629" s="2">
        <v>5.4918000000000002E-2</v>
      </c>
      <c r="F629" s="2">
        <v>1.5288E-2</v>
      </c>
      <c r="G629" s="2">
        <v>3.3107999999999999E-2</v>
      </c>
      <c r="H629" s="2">
        <v>4.4683E-2</v>
      </c>
      <c r="I629" s="2">
        <v>5.6828999999999998E-2</v>
      </c>
      <c r="J629" s="2">
        <v>0.18742900000000001</v>
      </c>
      <c r="K629" s="2">
        <v>0.29952099999999998</v>
      </c>
      <c r="L629" s="2">
        <f>(1/COUNT(D629:K629))*SQRT(SUMSQ(D629:K629))</f>
        <v>4.5841724640502179E-2</v>
      </c>
    </row>
    <row r="630" spans="2:14" x14ac:dyDescent="0.55000000000000004">
      <c r="B630" s="2" t="s">
        <v>32</v>
      </c>
      <c r="C630" s="2" t="s">
        <v>22</v>
      </c>
      <c r="D630" s="2">
        <v>0.95019600000000004</v>
      </c>
      <c r="E630" s="2">
        <v>0.94054499999999996</v>
      </c>
      <c r="F630" s="2">
        <v>0.93063600000000002</v>
      </c>
      <c r="G630" s="2">
        <v>0.919933</v>
      </c>
      <c r="H630" s="2">
        <v>0.95004500000000003</v>
      </c>
      <c r="I630" s="2">
        <v>0.93596299999999999</v>
      </c>
      <c r="J630" s="2">
        <v>0.95127600000000001</v>
      </c>
      <c r="K630" s="2">
        <v>0.93211299999999997</v>
      </c>
      <c r="L630" s="2">
        <f>AVERAGE(D630:K630)</f>
        <v>0.938838375</v>
      </c>
      <c r="M630" s="2">
        <f xml:space="preserve"> _xlfn.STDEV.S(D630:K630) / SQRT(COUNT(D630:K630))</f>
        <v>3.9874396186091142E-3</v>
      </c>
      <c r="N630" s="2">
        <f>M630*$N$2</f>
        <v>4.4625794479561456E-3</v>
      </c>
    </row>
    <row r="631" spans="2:14" x14ac:dyDescent="0.55000000000000004">
      <c r="C631" s="2" t="s">
        <v>23</v>
      </c>
      <c r="D631" s="2">
        <v>4.15E-4</v>
      </c>
      <c r="E631" s="2">
        <v>1.2390000000000001E-3</v>
      </c>
      <c r="F631" s="2">
        <v>5.2099999999999998E-4</v>
      </c>
      <c r="G631" s="2">
        <v>8.3299999999999997E-4</v>
      </c>
      <c r="H631" s="2">
        <v>1.9599999999999999E-4</v>
      </c>
      <c r="I631" s="2">
        <v>5.9999999999999995E-4</v>
      </c>
      <c r="J631" s="2">
        <v>1.2110000000000001E-3</v>
      </c>
      <c r="K631" s="2">
        <v>1.5799999999999999E-4</v>
      </c>
      <c r="L631" s="2">
        <f>(1/COUNT(D631:K631))*SQRT(SUMSQ(D631:K631))</f>
        <v>2.6700237007375047E-4</v>
      </c>
    </row>
    <row r="632" spans="2:14" x14ac:dyDescent="0.55000000000000004">
      <c r="C632" s="2" t="s">
        <v>24</v>
      </c>
      <c r="D632" s="2">
        <v>0.30921799999999999</v>
      </c>
      <c r="E632" s="2">
        <v>0.335503</v>
      </c>
      <c r="F632" s="2">
        <v>0.36452800000000002</v>
      </c>
      <c r="G632" s="2">
        <v>0.39208999999999999</v>
      </c>
      <c r="H632" s="2">
        <v>0.31032900000000002</v>
      </c>
      <c r="I632" s="2">
        <v>0.35195399999999999</v>
      </c>
      <c r="J632" s="2">
        <v>0.304336</v>
      </c>
      <c r="K632" s="2">
        <v>0.36172500000000002</v>
      </c>
      <c r="L632" s="2">
        <f>AVERAGE(D632:K632)</f>
        <v>0.34121037500000001</v>
      </c>
      <c r="M632" s="2">
        <f xml:space="preserve"> _xlfn.STDEV.S(D632:K632) / SQRT(COUNT(D632:K632))</f>
        <v>1.1210795366421058E-2</v>
      </c>
      <c r="N632" s="2">
        <f>M632*$N$2</f>
        <v>1.2546663970521409E-2</v>
      </c>
    </row>
    <row r="633" spans="2:14" x14ac:dyDescent="0.55000000000000004">
      <c r="C633" s="2" t="s">
        <v>25</v>
      </c>
      <c r="D633" s="2">
        <v>1.062E-3</v>
      </c>
      <c r="E633" s="2">
        <v>3.2669999999999999E-3</v>
      </c>
      <c r="F633" s="2">
        <v>1.25E-3</v>
      </c>
      <c r="G633" s="2">
        <v>1.8940000000000001E-3</v>
      </c>
      <c r="H633" s="2">
        <v>5.8500000000000002E-4</v>
      </c>
      <c r="I633" s="2">
        <v>1.5250000000000001E-3</v>
      </c>
      <c r="J633" s="2">
        <v>3.2550000000000001E-3</v>
      </c>
      <c r="K633" s="2">
        <v>4.0499999999999998E-4</v>
      </c>
      <c r="L633" s="2">
        <f>(1/COUNT(D633:K633))*SQRT(SUMSQ(D633:K633))</f>
        <v>6.8895039053984137E-4</v>
      </c>
    </row>
    <row r="634" spans="2:14" x14ac:dyDescent="0.55000000000000004">
      <c r="C634" s="2" t="s">
        <v>26</v>
      </c>
      <c r="D634" s="2">
        <v>0.64563400000000004</v>
      </c>
      <c r="E634" s="2">
        <v>0.74864299999999995</v>
      </c>
      <c r="F634" s="2">
        <v>0.59097200000000005</v>
      </c>
      <c r="G634" s="2">
        <v>0.69690300000000005</v>
      </c>
      <c r="H634" s="2">
        <v>0.63795299999999999</v>
      </c>
      <c r="I634" s="2">
        <v>0.63701399999999997</v>
      </c>
      <c r="J634" s="2">
        <v>0.71424500000000002</v>
      </c>
      <c r="K634" s="2">
        <v>0.55807399999999996</v>
      </c>
      <c r="L634" s="2">
        <f>AVERAGE(D634:K634)</f>
        <v>0.65367975</v>
      </c>
      <c r="M634" s="2">
        <f xml:space="preserve"> _xlfn.STDEV.S(D634:K634) / SQRT(COUNT(D634:K634))</f>
        <v>2.2447140695857962E-2</v>
      </c>
      <c r="N634" s="2">
        <f>M634*$N$2</f>
        <v>2.51219224153813E-2</v>
      </c>
    </row>
    <row r="635" spans="2:14" x14ac:dyDescent="0.55000000000000004">
      <c r="C635" s="2" t="s">
        <v>27</v>
      </c>
      <c r="D635" s="2">
        <v>1.0059999999999999E-3</v>
      </c>
      <c r="E635" s="2">
        <v>2.5019999999999999E-3</v>
      </c>
      <c r="F635" s="2">
        <v>4.73E-4</v>
      </c>
      <c r="G635" s="2">
        <v>2.2769999999999999E-3</v>
      </c>
      <c r="H635" s="2">
        <v>4.73E-4</v>
      </c>
      <c r="I635" s="2">
        <v>1.157E-3</v>
      </c>
      <c r="J635" s="2">
        <v>2.503E-3</v>
      </c>
      <c r="K635" s="2">
        <v>2.43E-4</v>
      </c>
      <c r="L635" s="2">
        <f>(1/COUNT(D635:K635))*SQRT(SUMSQ(D635:K635))</f>
        <v>5.6688477113960294E-4</v>
      </c>
    </row>
    <row r="636" spans="2:14" x14ac:dyDescent="0.55000000000000004">
      <c r="C636" s="2" t="s">
        <v>28</v>
      </c>
      <c r="D636" s="2">
        <v>2.4344429999999999</v>
      </c>
      <c r="E636" s="2">
        <v>2.69224</v>
      </c>
      <c r="F636" s="2">
        <v>3.2052779999999998</v>
      </c>
      <c r="G636" s="2">
        <v>3.5099209999999998</v>
      </c>
      <c r="H636" s="2">
        <v>1.8122769999999999</v>
      </c>
      <c r="I636" s="2">
        <v>3.0837300000000001</v>
      </c>
      <c r="J636" s="2">
        <v>3.1450360000000002</v>
      </c>
      <c r="K636" s="2">
        <v>2.8292009999999999</v>
      </c>
      <c r="L636" s="2">
        <f>AVERAGE(D636:K636)</f>
        <v>2.8390157500000002</v>
      </c>
      <c r="M636" s="2">
        <f xml:space="preserve"> _xlfn.STDEV.S(D636:K636) / SQRT(COUNT(D636:K636))</f>
        <v>0.18790700438911492</v>
      </c>
      <c r="N636" s="2">
        <f>M636*$N$2</f>
        <v>0.21029783924511686</v>
      </c>
    </row>
    <row r="637" spans="2:14" x14ac:dyDescent="0.55000000000000004">
      <c r="C637" s="2" t="s">
        <v>29</v>
      </c>
      <c r="D637" s="2">
        <v>2.7913E-2</v>
      </c>
      <c r="E637" s="2">
        <v>1.9012999999999999E-2</v>
      </c>
      <c r="F637" s="2">
        <v>5.6940000000000003E-3</v>
      </c>
      <c r="G637" s="2">
        <v>3.1036000000000001E-2</v>
      </c>
      <c r="H637" s="2">
        <v>4.1330000000000004E-3</v>
      </c>
      <c r="I637" s="2">
        <v>2.8136000000000001E-2</v>
      </c>
      <c r="J637" s="2">
        <v>2.8412E-2</v>
      </c>
      <c r="K637" s="2">
        <v>2.6689999999999999E-3</v>
      </c>
      <c r="L637" s="2">
        <f>(1/COUNT(D637:K637))*SQRT(SUMSQ(D637:K637))</f>
        <v>7.6642087817334406E-3</v>
      </c>
    </row>
    <row r="638" spans="2:14" x14ac:dyDescent="0.55000000000000004">
      <c r="C638" s="2" t="s">
        <v>30</v>
      </c>
      <c r="D638" s="2">
        <v>16.804354</v>
      </c>
      <c r="E638" s="2">
        <v>19.745999000000001</v>
      </c>
      <c r="F638" s="2">
        <v>21.838736000000001</v>
      </c>
      <c r="G638" s="2">
        <v>35.836224000000001</v>
      </c>
      <c r="H638" s="2">
        <v>13.072122</v>
      </c>
      <c r="I638" s="2">
        <v>18.268291000000001</v>
      </c>
      <c r="J638" s="2">
        <v>25.316063</v>
      </c>
      <c r="K638" s="2">
        <v>46.143115000000002</v>
      </c>
      <c r="L638" s="2">
        <f>AVERAGE(D638:K638)</f>
        <v>24.628113000000003</v>
      </c>
      <c r="M638" s="2">
        <f xml:space="preserve"> _xlfn.STDEV.S(D638:K638) / SQRT(COUNT(D638:K638))</f>
        <v>3.9092506323412715</v>
      </c>
      <c r="N638" s="2">
        <f>M638*$N$2</f>
        <v>4.3750735302371684</v>
      </c>
    </row>
    <row r="639" spans="2:14" x14ac:dyDescent="0.55000000000000004">
      <c r="C639" s="2" t="s">
        <v>31</v>
      </c>
      <c r="D639" s="2">
        <v>6.7843000000000001E-2</v>
      </c>
      <c r="E639" s="2">
        <v>0.116705</v>
      </c>
      <c r="F639" s="2">
        <v>1.8460000000000001E-2</v>
      </c>
      <c r="G639" s="2">
        <v>0.14590800000000001</v>
      </c>
      <c r="H639" s="2">
        <v>3.6324000000000002E-2</v>
      </c>
      <c r="I639" s="2">
        <v>8.2373000000000002E-2</v>
      </c>
      <c r="J639" s="2">
        <v>0.220746</v>
      </c>
      <c r="K639" s="2">
        <v>7.5202000000000005E-2</v>
      </c>
      <c r="L639" s="2">
        <f>(1/COUNT(D639:K639))*SQRT(SUMSQ(D639:K639))</f>
        <v>3.9988577893216894E-2</v>
      </c>
    </row>
    <row r="640" spans="2:14" x14ac:dyDescent="0.55000000000000004">
      <c r="B640" s="2" t="s">
        <v>33</v>
      </c>
      <c r="C640" s="2" t="s">
        <v>22</v>
      </c>
      <c r="D640" s="2">
        <v>0.95469999999999999</v>
      </c>
      <c r="E640" s="2">
        <v>0.94848299999999997</v>
      </c>
      <c r="F640" s="2">
        <v>0.93069299999999999</v>
      </c>
      <c r="G640" s="2">
        <v>0.92460100000000001</v>
      </c>
      <c r="H640" s="2">
        <v>0.95326500000000003</v>
      </c>
      <c r="I640" s="2">
        <v>0.93611800000000001</v>
      </c>
      <c r="J640" s="2">
        <v>0.94318199999999996</v>
      </c>
      <c r="K640" s="2">
        <v>0.93283700000000003</v>
      </c>
      <c r="L640" s="2">
        <f>AVERAGE(D640:K640)</f>
        <v>0.940484875</v>
      </c>
      <c r="M640" s="2">
        <f xml:space="preserve"> _xlfn.STDEV.S(D640:K640) / SQRT(COUNT(D640:K640))</f>
        <v>3.9242464037128905E-3</v>
      </c>
      <c r="N640" s="2">
        <f>M640*$N$2</f>
        <v>4.391856184654536E-3</v>
      </c>
    </row>
    <row r="641" spans="2:14" x14ac:dyDescent="0.55000000000000004">
      <c r="C641" s="2" t="s">
        <v>23</v>
      </c>
      <c r="D641" s="2">
        <v>6.3E-5</v>
      </c>
      <c r="E641" s="2">
        <v>1.7799999999999999E-4</v>
      </c>
      <c r="F641" s="2">
        <v>1.21E-4</v>
      </c>
      <c r="G641" s="2">
        <v>1.3300000000000001E-4</v>
      </c>
      <c r="H641" s="2">
        <v>6.4999999999999994E-5</v>
      </c>
      <c r="I641" s="2">
        <v>6.4999999999999994E-5</v>
      </c>
      <c r="J641" s="2">
        <v>2.6200000000000003E-4</v>
      </c>
      <c r="K641" s="2">
        <v>3.6999999999999998E-5</v>
      </c>
      <c r="L641" s="2">
        <f>(1/COUNT(D641:K641))*SQRT(SUMSQ(D641:K641))</f>
        <v>4.7835329517000293E-5</v>
      </c>
    </row>
    <row r="642" spans="2:14" x14ac:dyDescent="0.55000000000000004">
      <c r="C642" s="2" t="s">
        <v>24</v>
      </c>
      <c r="D642" s="2">
        <v>0.29525600000000002</v>
      </c>
      <c r="E642" s="2">
        <v>0.31367899999999999</v>
      </c>
      <c r="F642" s="2">
        <v>0.36432900000000001</v>
      </c>
      <c r="G642" s="2">
        <v>0.38072899999999998</v>
      </c>
      <c r="H642" s="2">
        <v>0.30109599999999997</v>
      </c>
      <c r="I642" s="2">
        <v>0.35194900000000001</v>
      </c>
      <c r="J642" s="2">
        <v>0.32657399999999998</v>
      </c>
      <c r="K642" s="2">
        <v>0.358568</v>
      </c>
      <c r="L642" s="2">
        <f>AVERAGE(D642:K642)</f>
        <v>0.3365225</v>
      </c>
      <c r="M642" s="2">
        <f xml:space="preserve"> _xlfn.STDEV.S(D642:K642) / SQRT(COUNT(D642:K642))</f>
        <v>1.1204396558940602E-2</v>
      </c>
      <c r="N642" s="2">
        <f>M642*$N$2</f>
        <v>1.253950268671903E-2</v>
      </c>
    </row>
    <row r="643" spans="2:14" x14ac:dyDescent="0.55000000000000004">
      <c r="C643" s="2" t="s">
        <v>25</v>
      </c>
      <c r="D643" s="2">
        <v>1.9000000000000001E-4</v>
      </c>
      <c r="E643" s="2">
        <v>5.5199999999999997E-4</v>
      </c>
      <c r="F643" s="2">
        <v>3.1199999999999999E-4</v>
      </c>
      <c r="G643" s="2">
        <v>3.0899999999999998E-4</v>
      </c>
      <c r="H643" s="2">
        <v>2.0000000000000001E-4</v>
      </c>
      <c r="I643" s="2">
        <v>1.64E-4</v>
      </c>
      <c r="J643" s="2">
        <v>7.5500000000000003E-4</v>
      </c>
      <c r="K643" s="2">
        <v>9.6000000000000002E-5</v>
      </c>
      <c r="L643" s="2">
        <f>(1/COUNT(D643:K643))*SQRT(SUMSQ(D643:K643))</f>
        <v>1.3577129206868439E-4</v>
      </c>
    </row>
    <row r="644" spans="2:14" x14ac:dyDescent="0.55000000000000004">
      <c r="C644" s="2" t="s">
        <v>26</v>
      </c>
      <c r="D644" s="2">
        <v>0.65487700000000004</v>
      </c>
      <c r="E644" s="2">
        <v>0.76509499999999997</v>
      </c>
      <c r="F644" s="2">
        <v>0.59117299999999995</v>
      </c>
      <c r="G644" s="2">
        <v>0.70188700000000004</v>
      </c>
      <c r="H644" s="2">
        <v>0.64644699999999999</v>
      </c>
      <c r="I644" s="2">
        <v>0.63611700000000004</v>
      </c>
      <c r="J644" s="2">
        <v>0.69747800000000004</v>
      </c>
      <c r="K644" s="2">
        <v>0.56435599999999997</v>
      </c>
      <c r="L644" s="2">
        <f>AVERAGE(D644:K644)</f>
        <v>0.65717875000000003</v>
      </c>
      <c r="M644" s="2">
        <f xml:space="preserve"> _xlfn.STDEV.S(D644:K644) / SQRT(COUNT(D644:K644))</f>
        <v>2.2680097457234236E-2</v>
      </c>
      <c r="N644" s="2">
        <f>M644*$N$2</f>
        <v>2.5382638101389056E-2</v>
      </c>
    </row>
    <row r="645" spans="2:14" x14ac:dyDescent="0.55000000000000004">
      <c r="C645" s="2" t="s">
        <v>27</v>
      </c>
      <c r="D645" s="2">
        <v>1.8100000000000001E-4</v>
      </c>
      <c r="E645" s="2">
        <v>3.8299999999999999E-4</v>
      </c>
      <c r="F645" s="2">
        <v>1.2E-4</v>
      </c>
      <c r="G645" s="2">
        <v>3.3100000000000002E-4</v>
      </c>
      <c r="H645" s="2">
        <v>1.5100000000000001E-4</v>
      </c>
      <c r="I645" s="2">
        <v>1.35E-4</v>
      </c>
      <c r="J645" s="2">
        <v>5.6599999999999999E-4</v>
      </c>
      <c r="K645" s="2">
        <v>6.9999999999999994E-5</v>
      </c>
      <c r="L645" s="2">
        <f>(1/COUNT(D645:K645))*SQRT(SUMSQ(D645:K645))</f>
        <v>1.0229346570040533E-4</v>
      </c>
    </row>
    <row r="646" spans="2:14" x14ac:dyDescent="0.55000000000000004">
      <c r="C646" s="2" t="s">
        <v>28</v>
      </c>
      <c r="D646" s="2">
        <v>2.2086570000000001</v>
      </c>
      <c r="E646" s="2">
        <v>2.580743</v>
      </c>
      <c r="F646" s="2">
        <v>3.1844299999999999</v>
      </c>
      <c r="G646" s="2">
        <v>3.432264</v>
      </c>
      <c r="H646" s="2">
        <v>1.7369490000000001</v>
      </c>
      <c r="I646" s="2">
        <v>3.0682230000000001</v>
      </c>
      <c r="J646" s="2">
        <v>3.2251120000000002</v>
      </c>
      <c r="K646" s="2">
        <v>2.636285</v>
      </c>
      <c r="L646" s="2">
        <f>AVERAGE(D646:K646)</f>
        <v>2.7590828749999998</v>
      </c>
      <c r="M646" s="2">
        <f xml:space="preserve"> _xlfn.STDEV.S(D646:K646) / SQRT(COUNT(D646:K646))</f>
        <v>0.20447906360898876</v>
      </c>
      <c r="N646" s="2">
        <f>M646*$N$2</f>
        <v>0.22884461059678377</v>
      </c>
    </row>
    <row r="647" spans="2:14" x14ac:dyDescent="0.55000000000000004">
      <c r="C647" s="2" t="s">
        <v>29</v>
      </c>
      <c r="D647" s="2">
        <v>2.379E-3</v>
      </c>
      <c r="E647" s="2">
        <v>2.343E-3</v>
      </c>
      <c r="F647" s="2">
        <v>1.209E-3</v>
      </c>
      <c r="G647" s="2">
        <v>4.7790000000000003E-3</v>
      </c>
      <c r="H647" s="2">
        <v>1.1689999999999999E-3</v>
      </c>
      <c r="I647" s="2">
        <v>3.0669999999999998E-3</v>
      </c>
      <c r="J647" s="2">
        <v>5.2399999999999999E-3</v>
      </c>
      <c r="K647" s="2">
        <v>8.7299999999999997E-4</v>
      </c>
      <c r="L647" s="2">
        <f>(1/COUNT(D647:K647))*SQRT(SUMSQ(D647:K647))</f>
        <v>1.0785014994773999E-3</v>
      </c>
    </row>
    <row r="648" spans="2:14" x14ac:dyDescent="0.55000000000000004">
      <c r="C648" s="2" t="s">
        <v>30</v>
      </c>
      <c r="D648" s="2">
        <v>15.564449</v>
      </c>
      <c r="E648" s="2">
        <v>19.879379</v>
      </c>
      <c r="F648" s="2">
        <v>21.655936000000001</v>
      </c>
      <c r="G648" s="2">
        <v>34.210901999999997</v>
      </c>
      <c r="H648" s="2">
        <v>12.43651</v>
      </c>
      <c r="I648" s="2">
        <v>18.190943999999998</v>
      </c>
      <c r="J648" s="2">
        <v>24.778112</v>
      </c>
      <c r="K648" s="2">
        <v>27.300948999999999</v>
      </c>
      <c r="L648" s="2">
        <f>AVERAGE(D648:K648)</f>
        <v>21.752147624999999</v>
      </c>
      <c r="M648" s="2">
        <f xml:space="preserve"> _xlfn.STDEV.S(D648:K648) / SQRT(COUNT(D648:K648))</f>
        <v>2.451069834083309</v>
      </c>
      <c r="N648" s="2">
        <f>M648*$N$2</f>
        <v>2.743137179065509</v>
      </c>
    </row>
    <row r="649" spans="2:14" x14ac:dyDescent="0.55000000000000004">
      <c r="C649" s="2" t="s">
        <v>31</v>
      </c>
      <c r="D649" s="2">
        <v>4.5960000000000003E-3</v>
      </c>
      <c r="E649" s="2">
        <v>8.9490000000000004E-3</v>
      </c>
      <c r="F649" s="2">
        <v>2.6879999999999999E-3</v>
      </c>
      <c r="G649" s="2">
        <v>3.4917999999999998E-2</v>
      </c>
      <c r="H649" s="2">
        <v>9.1339999999999998E-3</v>
      </c>
      <c r="I649" s="2">
        <v>9.2720000000000007E-3</v>
      </c>
      <c r="J649" s="2">
        <v>4.4521999999999999E-2</v>
      </c>
      <c r="K649" s="2">
        <v>6.0891000000000001E-2</v>
      </c>
      <c r="L649" s="2">
        <f>(1/COUNT(D649:K649))*SQRT(SUMSQ(D649:K649))</f>
        <v>1.0597038346573537E-2</v>
      </c>
    </row>
    <row r="650" spans="2:14" x14ac:dyDescent="0.55000000000000004">
      <c r="B650" s="2" t="s">
        <v>34</v>
      </c>
      <c r="C650" s="2" t="s">
        <v>22</v>
      </c>
      <c r="D650" s="2">
        <v>0.94866099999999998</v>
      </c>
      <c r="E650" s="2">
        <v>0.94411199999999995</v>
      </c>
      <c r="F650" s="2">
        <v>0.93307700000000005</v>
      </c>
      <c r="G650" s="2">
        <v>0.91928399999999999</v>
      </c>
      <c r="H650" s="2">
        <v>0.94799199999999995</v>
      </c>
      <c r="I650" s="2">
        <v>0.93772</v>
      </c>
      <c r="J650" s="2">
        <v>0.95070900000000003</v>
      </c>
      <c r="K650" s="2">
        <v>0.93218199999999996</v>
      </c>
      <c r="L650" s="2">
        <f>AVERAGE(D650:K650)</f>
        <v>0.93921712499999999</v>
      </c>
      <c r="M650" s="2">
        <f xml:space="preserve"> _xlfn.STDEV.S(D650:K650) / SQRT(COUNT(D650:K650))</f>
        <v>3.8007827503851077E-3</v>
      </c>
      <c r="N650" s="2">
        <f>M650*$N$2</f>
        <v>4.2536807100119053E-3</v>
      </c>
    </row>
    <row r="651" spans="2:14" x14ac:dyDescent="0.55000000000000004">
      <c r="C651" s="2" t="s">
        <v>23</v>
      </c>
      <c r="D651" s="2">
        <v>1.0280000000000001E-3</v>
      </c>
      <c r="E651" s="2">
        <v>3.6410000000000001E-3</v>
      </c>
      <c r="F651" s="2">
        <v>6.0700000000000001E-4</v>
      </c>
      <c r="G651" s="2">
        <v>1.4630000000000001E-3</v>
      </c>
      <c r="H651" s="2">
        <v>3.6099999999999999E-4</v>
      </c>
      <c r="I651" s="2">
        <v>7.4299999999999995E-4</v>
      </c>
      <c r="J651" s="2">
        <v>1.2329999999999999E-3</v>
      </c>
      <c r="K651" s="2">
        <v>1.07E-4</v>
      </c>
      <c r="L651" s="2">
        <f>(1/COUNT(D651:K651))*SQRT(SUMSQ(D651:K651))</f>
        <v>5.4538677502759454E-4</v>
      </c>
    </row>
    <row r="652" spans="2:14" x14ac:dyDescent="0.55000000000000004">
      <c r="C652" s="2" t="s">
        <v>24</v>
      </c>
      <c r="D652" s="2">
        <v>0.31379099999999999</v>
      </c>
      <c r="E652" s="2">
        <v>0.32493100000000003</v>
      </c>
      <c r="F652" s="2">
        <v>0.35865999999999998</v>
      </c>
      <c r="G652" s="2">
        <v>0.39344800000000002</v>
      </c>
      <c r="H652" s="2">
        <v>0.31622</v>
      </c>
      <c r="I652" s="2">
        <v>0.34702300000000003</v>
      </c>
      <c r="J652" s="2">
        <v>0.30533399999999999</v>
      </c>
      <c r="K652" s="2">
        <v>0.36043999999999998</v>
      </c>
      <c r="L652" s="2">
        <f>AVERAGE(D652:K652)</f>
        <v>0.33998087500000002</v>
      </c>
      <c r="M652" s="2">
        <f xml:space="preserve"> _xlfn.STDEV.S(D652:K652) / SQRT(COUNT(D652:K652))</f>
        <v>1.0651294274871515E-2</v>
      </c>
      <c r="N652" s="2">
        <f>M652*$N$2</f>
        <v>1.192049321658559E-2</v>
      </c>
    </row>
    <row r="653" spans="2:14" x14ac:dyDescent="0.55000000000000004">
      <c r="C653" s="2" t="s">
        <v>25</v>
      </c>
      <c r="D653" s="2">
        <v>2.7560000000000002E-3</v>
      </c>
      <c r="E653" s="2">
        <v>8.6870000000000003E-3</v>
      </c>
      <c r="F653" s="2">
        <v>1.4890000000000001E-3</v>
      </c>
      <c r="G653" s="2">
        <v>3.3170000000000001E-3</v>
      </c>
      <c r="H653" s="2">
        <v>1.026E-3</v>
      </c>
      <c r="I653" s="2">
        <v>1.9680000000000001E-3</v>
      </c>
      <c r="J653" s="2">
        <v>3.3300000000000001E-3</v>
      </c>
      <c r="K653" s="2">
        <v>2.8400000000000002E-4</v>
      </c>
      <c r="L653" s="2">
        <f>(1/COUNT(D653:K653))*SQRT(SUMSQ(D653:K653))</f>
        <v>1.325084731960564E-3</v>
      </c>
    </row>
    <row r="654" spans="2:14" x14ac:dyDescent="0.55000000000000004">
      <c r="C654" s="2" t="s">
        <v>26</v>
      </c>
      <c r="D654" s="2">
        <v>0.64080499999999996</v>
      </c>
      <c r="E654" s="2">
        <v>0.75753999999999999</v>
      </c>
      <c r="F654" s="2">
        <v>0.59311800000000003</v>
      </c>
      <c r="G654" s="2">
        <v>0.69433999999999996</v>
      </c>
      <c r="H654" s="2">
        <v>0.63268599999999997</v>
      </c>
      <c r="I654" s="2">
        <v>0.63962300000000005</v>
      </c>
      <c r="J654" s="2">
        <v>0.71367700000000001</v>
      </c>
      <c r="K654" s="2">
        <v>0.562666</v>
      </c>
      <c r="L654" s="2">
        <f>AVERAGE(D654:K654)</f>
        <v>0.65430687499999995</v>
      </c>
      <c r="M654" s="2">
        <f xml:space="preserve"> _xlfn.STDEV.S(D654:K654) / SQRT(COUNT(D654:K654))</f>
        <v>2.2674737508669277E-2</v>
      </c>
      <c r="N654" s="2">
        <f>M654*$N$2</f>
        <v>2.5376639466025034E-2</v>
      </c>
    </row>
    <row r="655" spans="2:14" x14ac:dyDescent="0.55000000000000004">
      <c r="C655" s="2" t="s">
        <v>27</v>
      </c>
      <c r="D655" s="2">
        <v>2.6519999999999998E-3</v>
      </c>
      <c r="E655" s="2">
        <v>6.3600000000000002E-3</v>
      </c>
      <c r="F655" s="2">
        <v>6.4400000000000004E-4</v>
      </c>
      <c r="G655" s="2">
        <v>4.0179999999999999E-3</v>
      </c>
      <c r="H655" s="2">
        <v>7.5900000000000002E-4</v>
      </c>
      <c r="I655" s="2">
        <v>1.5499999999999999E-3</v>
      </c>
      <c r="J655" s="2">
        <v>2.5560000000000001E-3</v>
      </c>
      <c r="K655" s="2">
        <v>1.83E-4</v>
      </c>
      <c r="L655" s="2">
        <f>(1/COUNT(D655:K655))*SQRT(SUMSQ(D655:K655))</f>
        <v>1.072285599199206E-3</v>
      </c>
    </row>
    <row r="656" spans="2:14" x14ac:dyDescent="0.55000000000000004">
      <c r="C656" s="2" t="s">
        <v>28</v>
      </c>
      <c r="D656" s="2">
        <v>2.4833090000000002</v>
      </c>
      <c r="E656" s="2">
        <v>2.7053050000000001</v>
      </c>
      <c r="F656" s="2">
        <v>3.1714470000000001</v>
      </c>
      <c r="G656" s="2">
        <v>3.53708</v>
      </c>
      <c r="H656" s="2">
        <v>1.8601399999999999</v>
      </c>
      <c r="I656" s="2">
        <v>2.9793569999999998</v>
      </c>
      <c r="J656" s="2">
        <v>3.1545329999999998</v>
      </c>
      <c r="K656" s="2">
        <v>2.656047</v>
      </c>
      <c r="L656" s="2">
        <f>AVERAGE(D656:K656)</f>
        <v>2.8184022500000001</v>
      </c>
      <c r="M656" s="2">
        <f xml:space="preserve"> _xlfn.STDEV.S(D656:K656) / SQRT(COUNT(D656:K656))</f>
        <v>0.181744171532674</v>
      </c>
      <c r="N656" s="2">
        <f>M656*$N$2</f>
        <v>0.20340064859726564</v>
      </c>
    </row>
    <row r="657" spans="2:14" x14ac:dyDescent="0.55000000000000004">
      <c r="C657" s="2" t="s">
        <v>29</v>
      </c>
      <c r="D657" s="2">
        <v>4.6441000000000003E-2</v>
      </c>
      <c r="E657" s="2">
        <v>7.6416999999999999E-2</v>
      </c>
      <c r="F657" s="2">
        <v>6.3420000000000004E-3</v>
      </c>
      <c r="G657" s="2">
        <v>4.5675E-2</v>
      </c>
      <c r="H657" s="2">
        <v>7.0410000000000004E-3</v>
      </c>
      <c r="I657" s="2">
        <v>3.0918999999999999E-2</v>
      </c>
      <c r="J657" s="2">
        <v>2.8875999999999999E-2</v>
      </c>
      <c r="K657" s="2">
        <v>2.313E-3</v>
      </c>
      <c r="L657" s="2">
        <f>(1/COUNT(D657:K657))*SQRT(SUMSQ(D657:K657))</f>
        <v>1.3674499845743902E-2</v>
      </c>
    </row>
    <row r="658" spans="2:14" x14ac:dyDescent="0.55000000000000004">
      <c r="C658" s="2" t="s">
        <v>30</v>
      </c>
      <c r="D658" s="2">
        <v>16.850099</v>
      </c>
      <c r="E658" s="2">
        <v>21.127590999999999</v>
      </c>
      <c r="F658" s="2">
        <v>21.681449000000001</v>
      </c>
      <c r="G658" s="2">
        <v>35.280048000000001</v>
      </c>
      <c r="H658" s="2">
        <v>13.485666</v>
      </c>
      <c r="I658" s="2">
        <v>17.88673</v>
      </c>
      <c r="J658" s="2">
        <v>25.113474</v>
      </c>
      <c r="K658" s="2">
        <v>28.451658999999999</v>
      </c>
      <c r="L658" s="2">
        <f>AVERAGE(D658:K658)</f>
        <v>22.484589500000002</v>
      </c>
      <c r="M658" s="2">
        <f xml:space="preserve"> _xlfn.STDEV.S(D658:K658) / SQRT(COUNT(D658:K658))</f>
        <v>2.4734143884961832</v>
      </c>
      <c r="N658" s="2">
        <f>M658*$N$2</f>
        <v>2.7681442911058447</v>
      </c>
    </row>
    <row r="659" spans="2:14" x14ac:dyDescent="0.55000000000000004">
      <c r="C659" s="2" t="s">
        <v>31</v>
      </c>
      <c r="D659" s="2">
        <v>6.8052000000000001E-2</v>
      </c>
      <c r="E659" s="2">
        <v>0.36249799999999999</v>
      </c>
      <c r="F659" s="2">
        <v>1.5774E-2</v>
      </c>
      <c r="G659" s="2">
        <v>0.185471</v>
      </c>
      <c r="H659" s="2">
        <v>5.6188000000000002E-2</v>
      </c>
      <c r="I659" s="2">
        <v>7.4454000000000006E-2</v>
      </c>
      <c r="J659" s="2">
        <v>0.24252899999999999</v>
      </c>
      <c r="K659" s="2">
        <v>0.23055800000000001</v>
      </c>
      <c r="L659" s="2">
        <f>(1/COUNT(D659:K659))*SQRT(SUMSQ(D659:K659))</f>
        <v>6.7472446030074004E-2</v>
      </c>
    </row>
    <row r="660" spans="2:14" x14ac:dyDescent="0.55000000000000004">
      <c r="B660" s="2" t="s">
        <v>35</v>
      </c>
      <c r="C660" s="2" t="s">
        <v>22</v>
      </c>
      <c r="D660" s="2">
        <v>0.947716</v>
      </c>
      <c r="E660" s="2">
        <v>0.93521200000000004</v>
      </c>
      <c r="F660" s="2">
        <v>0.92518999999999996</v>
      </c>
      <c r="G660" s="2">
        <v>0.91958700000000004</v>
      </c>
      <c r="H660" s="2">
        <v>0.94766099999999998</v>
      </c>
      <c r="I660" s="2">
        <v>0.92873499999999998</v>
      </c>
      <c r="J660" s="2">
        <v>0.93845100000000004</v>
      </c>
      <c r="K660" s="2">
        <v>0.92997700000000005</v>
      </c>
      <c r="L660" s="2">
        <f>AVERAGE(D660:K660)</f>
        <v>0.93406612499999997</v>
      </c>
      <c r="M660" s="2">
        <f xml:space="preserve"> _xlfn.STDEV.S(D660:K660) / SQRT(COUNT(D660:K660))</f>
        <v>3.5987407640803402E-3</v>
      </c>
      <c r="N660" s="2">
        <f>M660*$N$2</f>
        <v>4.0275635767266626E-3</v>
      </c>
    </row>
    <row r="661" spans="2:14" x14ac:dyDescent="0.55000000000000004">
      <c r="C661" s="2" t="s">
        <v>23</v>
      </c>
      <c r="D661" s="2">
        <v>2.12E-4</v>
      </c>
      <c r="E661" s="2">
        <v>3.9800000000000002E-4</v>
      </c>
      <c r="F661" s="2">
        <v>2.14E-4</v>
      </c>
      <c r="G661" s="2">
        <v>2.6600000000000001E-4</v>
      </c>
      <c r="H661" s="2">
        <v>2.03E-4</v>
      </c>
      <c r="I661" s="2">
        <v>2.1699999999999999E-4</v>
      </c>
      <c r="J661" s="2">
        <v>3.7199999999999999E-4</v>
      </c>
      <c r="K661" s="2">
        <v>4.6999999999999997E-5</v>
      </c>
      <c r="L661" s="2">
        <f>(1/COUNT(D661:K661))*SQRT(SUMSQ(D661:K661))</f>
        <v>9.2600536580518802E-5</v>
      </c>
    </row>
    <row r="662" spans="2:14" x14ac:dyDescent="0.55000000000000004">
      <c r="C662" s="2" t="s">
        <v>24</v>
      </c>
      <c r="D662" s="2">
        <v>0.314141</v>
      </c>
      <c r="E662" s="2">
        <v>0.34682800000000003</v>
      </c>
      <c r="F662" s="2">
        <v>0.37675199999999998</v>
      </c>
      <c r="G662" s="2">
        <v>0.39247700000000002</v>
      </c>
      <c r="H662" s="2">
        <v>0.31729299999999999</v>
      </c>
      <c r="I662" s="2">
        <v>0.371452</v>
      </c>
      <c r="J662" s="2">
        <v>0.33650200000000002</v>
      </c>
      <c r="K662" s="2">
        <v>0.36691299999999999</v>
      </c>
      <c r="L662" s="2">
        <f>AVERAGE(D662:K662)</f>
        <v>0.35279474999999993</v>
      </c>
      <c r="M662" s="2">
        <f xml:space="preserve"> _xlfn.STDEV.S(D662:K662) / SQRT(COUNT(D662:K662))</f>
        <v>1.0134445509093514E-2</v>
      </c>
      <c r="N662" s="2">
        <f>M662*$N$2</f>
        <v>1.1342057202382837E-2</v>
      </c>
    </row>
    <row r="663" spans="2:14" x14ac:dyDescent="0.55000000000000004">
      <c r="C663" s="2" t="s">
        <v>25</v>
      </c>
      <c r="D663" s="2">
        <v>5.7399999999999997E-4</v>
      </c>
      <c r="E663" s="2">
        <v>1.0939999999999999E-3</v>
      </c>
      <c r="F663" s="2">
        <v>4.9700000000000005E-4</v>
      </c>
      <c r="G663" s="2">
        <v>6.2399999999999999E-4</v>
      </c>
      <c r="H663" s="2">
        <v>5.5800000000000001E-4</v>
      </c>
      <c r="I663" s="2">
        <v>5.4600000000000004E-4</v>
      </c>
      <c r="J663" s="2">
        <v>9.990000000000001E-4</v>
      </c>
      <c r="K663" s="2">
        <v>1.1400000000000001E-4</v>
      </c>
      <c r="L663" s="2">
        <f>(1/COUNT(D663:K663))*SQRT(SUMSQ(D663:K663))</f>
        <v>2.4312978787059393E-4</v>
      </c>
    </row>
    <row r="664" spans="2:14" x14ac:dyDescent="0.55000000000000004">
      <c r="C664" s="2" t="s">
        <v>26</v>
      </c>
      <c r="D664" s="2">
        <v>0.63793500000000003</v>
      </c>
      <c r="E664" s="2">
        <v>0.74086799999999997</v>
      </c>
      <c r="F664" s="2">
        <v>0.58560400000000001</v>
      </c>
      <c r="G664" s="2">
        <v>0.68682699999999997</v>
      </c>
      <c r="H664" s="2">
        <v>0.63224400000000003</v>
      </c>
      <c r="I664" s="2">
        <v>0.62046999999999997</v>
      </c>
      <c r="J664" s="2">
        <v>0.68990399999999996</v>
      </c>
      <c r="K664" s="2">
        <v>0.55404699999999996</v>
      </c>
      <c r="L664" s="2">
        <f>AVERAGE(D664:K664)</f>
        <v>0.64348737499999997</v>
      </c>
      <c r="M664" s="2">
        <f xml:space="preserve"> _xlfn.STDEV.S(D664:K664) / SQRT(COUNT(D664:K664))</f>
        <v>2.1361229891974098E-2</v>
      </c>
      <c r="N664" s="2">
        <f>M664*$N$2</f>
        <v>2.3906615426628443E-2</v>
      </c>
    </row>
    <row r="665" spans="2:14" x14ac:dyDescent="0.55000000000000004">
      <c r="C665" s="2" t="s">
        <v>27</v>
      </c>
      <c r="D665" s="2">
        <v>5.04E-4</v>
      </c>
      <c r="E665" s="2">
        <v>8.3000000000000001E-4</v>
      </c>
      <c r="F665" s="2">
        <v>2.3000000000000001E-4</v>
      </c>
      <c r="G665" s="2">
        <v>8.0800000000000002E-4</v>
      </c>
      <c r="H665" s="2">
        <v>4.6500000000000003E-4</v>
      </c>
      <c r="I665" s="2">
        <v>3.9899999999999999E-4</v>
      </c>
      <c r="J665" s="2">
        <v>6.8599999999999998E-4</v>
      </c>
      <c r="K665" s="2">
        <v>9.0000000000000006E-5</v>
      </c>
      <c r="L665" s="2">
        <f>(1/COUNT(D665:K665))*SQRT(SUMSQ(D665:K665))</f>
        <v>1.9775308151834196E-4</v>
      </c>
    </row>
    <row r="666" spans="2:14" x14ac:dyDescent="0.55000000000000004">
      <c r="C666" s="2" t="s">
        <v>28</v>
      </c>
      <c r="D666" s="2">
        <v>2.5224839999999999</v>
      </c>
      <c r="E666" s="2">
        <v>2.8061310000000002</v>
      </c>
      <c r="F666" s="2">
        <v>3.255296</v>
      </c>
      <c r="G666" s="2">
        <v>3.5578850000000002</v>
      </c>
      <c r="H666" s="2">
        <v>1.8643149999999999</v>
      </c>
      <c r="I666" s="2">
        <v>3.3930259999999999</v>
      </c>
      <c r="J666" s="2">
        <v>3.3798219999999999</v>
      </c>
      <c r="K666" s="2">
        <v>2.9023119999999998</v>
      </c>
      <c r="L666" s="2">
        <f>AVERAGE(D666:K666)</f>
        <v>2.9601588749999999</v>
      </c>
      <c r="M666" s="2">
        <f xml:space="preserve"> _xlfn.STDEV.S(D666:K666) / SQRT(COUNT(D666:K666))</f>
        <v>0.19943569816112555</v>
      </c>
      <c r="N666" s="2">
        <f>M666*$N$2</f>
        <v>0.22320028211814535</v>
      </c>
    </row>
    <row r="667" spans="2:14" x14ac:dyDescent="0.55000000000000004">
      <c r="C667" s="2" t="s">
        <v>29</v>
      </c>
      <c r="D667" s="2">
        <v>1.0524E-2</v>
      </c>
      <c r="E667" s="2">
        <v>6.1710000000000003E-3</v>
      </c>
      <c r="F667" s="2">
        <v>2.5439999999999998E-3</v>
      </c>
      <c r="G667" s="2">
        <v>9.8239999999999994E-3</v>
      </c>
      <c r="H667" s="2">
        <v>4.2810000000000001E-3</v>
      </c>
      <c r="I667" s="2">
        <v>9.4719999999999995E-3</v>
      </c>
      <c r="J667" s="2">
        <v>9.6889999999999997E-3</v>
      </c>
      <c r="K667" s="2">
        <v>1.67E-3</v>
      </c>
      <c r="L667" s="2">
        <f>(1/COUNT(D667:K667))*SQRT(SUMSQ(D667:K667))</f>
        <v>2.6708206106691255E-3</v>
      </c>
    </row>
    <row r="668" spans="2:14" x14ac:dyDescent="0.55000000000000004">
      <c r="C668" s="2" t="s">
        <v>30</v>
      </c>
      <c r="D668" s="2">
        <v>16.182907</v>
      </c>
      <c r="E668" s="2">
        <v>20.607548000000001</v>
      </c>
      <c r="F668" s="2">
        <v>21.673627</v>
      </c>
      <c r="G668" s="2">
        <v>34.206415</v>
      </c>
      <c r="H668" s="2">
        <v>13.522487999999999</v>
      </c>
      <c r="I668" s="2">
        <v>19.054649000000001</v>
      </c>
      <c r="J668" s="2">
        <v>26.434124000000001</v>
      </c>
      <c r="K668" s="2">
        <v>49.087259000000003</v>
      </c>
      <c r="L668" s="2">
        <f>AVERAGE(D668:K668)</f>
        <v>25.096127125000002</v>
      </c>
      <c r="M668" s="2">
        <f xml:space="preserve"> _xlfn.STDEV.S(D668:K668) / SQRT(COUNT(D668:K668))</f>
        <v>4.1016479977147622</v>
      </c>
      <c r="N668" s="2">
        <f>M668*$N$2</f>
        <v>4.5903967979675873</v>
      </c>
    </row>
    <row r="669" spans="2:14" x14ac:dyDescent="0.55000000000000004">
      <c r="C669" s="2" t="s">
        <v>31</v>
      </c>
      <c r="D669" s="2">
        <v>3.3926999999999999E-2</v>
      </c>
      <c r="E669" s="2">
        <v>4.8064000000000003E-2</v>
      </c>
      <c r="F669" s="2">
        <v>1.1473000000000001E-2</v>
      </c>
      <c r="G669" s="2">
        <v>6.6005999999999995E-2</v>
      </c>
      <c r="H669" s="2">
        <v>4.0931000000000002E-2</v>
      </c>
      <c r="I669" s="2">
        <v>3.2231000000000003E-2</v>
      </c>
      <c r="J669" s="2">
        <v>0.11082699999999999</v>
      </c>
      <c r="K669" s="2">
        <v>4.5394999999999998E-2</v>
      </c>
      <c r="L669" s="2">
        <f>(1/COUNT(D669:K669))*SQRT(SUMSQ(D669:K669))</f>
        <v>1.9767051684084047E-2</v>
      </c>
    </row>
    <row r="670" spans="2:14" x14ac:dyDescent="0.55000000000000004">
      <c r="B670" s="2" t="s">
        <v>45</v>
      </c>
      <c r="C670" s="2" t="s">
        <v>22</v>
      </c>
      <c r="D670" s="2">
        <v>0.94403999999999999</v>
      </c>
      <c r="E670" s="2">
        <v>0.92289299999999996</v>
      </c>
      <c r="F670" s="2">
        <v>0.91827199999999998</v>
      </c>
      <c r="G670" s="2">
        <v>0.92952599999999996</v>
      </c>
      <c r="H670" s="2">
        <v>0.94997100000000001</v>
      </c>
      <c r="I670" s="2">
        <v>0.92440500000000003</v>
      </c>
      <c r="J670" s="2">
        <v>0.93883799999999995</v>
      </c>
      <c r="K670" s="2">
        <v>0.92884999999999995</v>
      </c>
      <c r="L670" s="2">
        <f>AVERAGE(D670:K670)</f>
        <v>0.93209937499999995</v>
      </c>
      <c r="M670" s="2">
        <f xml:space="preserve"> _xlfn.STDEV.S(D670:K670) / SQRT(COUNT(D670:K670))</f>
        <v>3.9181817846761354E-3</v>
      </c>
      <c r="N670" s="2">
        <f>M670*$N$2</f>
        <v>4.3850689108995171E-3</v>
      </c>
    </row>
    <row r="671" spans="2:14" x14ac:dyDescent="0.55000000000000004">
      <c r="C671" s="2" t="s">
        <v>23</v>
      </c>
      <c r="D671" s="2">
        <v>1.0219999999999999E-3</v>
      </c>
      <c r="E671" s="2">
        <v>2.4520000000000002E-3</v>
      </c>
      <c r="F671" s="2">
        <v>1.7669999999999999E-3</v>
      </c>
      <c r="G671" s="2">
        <v>2.6749999999999999E-3</v>
      </c>
      <c r="H671" s="2">
        <v>6.2699999999999995E-4</v>
      </c>
      <c r="I671" s="2">
        <v>7.1699999999999997E-4</v>
      </c>
      <c r="J671" s="2">
        <v>1.1980000000000001E-3</v>
      </c>
      <c r="K671" s="2">
        <v>9.9799999999999997E-4</v>
      </c>
      <c r="L671" s="2">
        <f>(1/COUNT(D671:K671))*SQRT(SUMSQ(D671:K671))</f>
        <v>5.6834639525556944E-4</v>
      </c>
    </row>
    <row r="672" spans="2:14" x14ac:dyDescent="0.55000000000000004">
      <c r="C672" s="2" t="s">
        <v>24</v>
      </c>
      <c r="D672" s="2">
        <v>0.32323200000000002</v>
      </c>
      <c r="E672" s="2">
        <v>0.37309700000000001</v>
      </c>
      <c r="F672" s="2">
        <v>0.393121</v>
      </c>
      <c r="G672" s="2">
        <v>0.36383799999999999</v>
      </c>
      <c r="H672" s="2">
        <v>0.310199</v>
      </c>
      <c r="I672" s="2">
        <v>0.37968600000000002</v>
      </c>
      <c r="J672" s="2">
        <v>0.33357500000000001</v>
      </c>
      <c r="K672" s="2">
        <v>0.36864599999999997</v>
      </c>
      <c r="L672" s="2">
        <f>AVERAGE(D672:K672)</f>
        <v>0.35567425000000003</v>
      </c>
      <c r="M672" s="2">
        <f xml:space="preserve"> _xlfn.STDEV.S(D672:K672) / SQRT(COUNT(D672:K672))</f>
        <v>1.0459243478088102E-2</v>
      </c>
      <c r="N672" s="2">
        <f>M672*$N$2</f>
        <v>1.1705557814256362E-2</v>
      </c>
    </row>
    <row r="673" spans="2:14" x14ac:dyDescent="0.55000000000000004">
      <c r="C673" s="2" t="s">
        <v>25</v>
      </c>
      <c r="D673" s="2">
        <v>2.836E-3</v>
      </c>
      <c r="E673" s="2">
        <v>5.7239999999999999E-3</v>
      </c>
      <c r="F673" s="2">
        <v>4.3600000000000002E-3</v>
      </c>
      <c r="G673" s="2">
        <v>6.0219999999999996E-3</v>
      </c>
      <c r="H673" s="2">
        <v>1.792E-3</v>
      </c>
      <c r="I673" s="2">
        <v>1.663E-3</v>
      </c>
      <c r="J673" s="2">
        <v>3.8010000000000001E-3</v>
      </c>
      <c r="K673" s="2">
        <v>2.398E-3</v>
      </c>
      <c r="L673" s="2">
        <f>(1/COUNT(D673:K673))*SQRT(SUMSQ(D673:K673))</f>
        <v>1.3821179060593926E-3</v>
      </c>
    </row>
    <row r="674" spans="2:14" x14ac:dyDescent="0.55000000000000004">
      <c r="C674" s="2" t="s">
        <v>26</v>
      </c>
      <c r="D674" s="2">
        <v>0.63019800000000004</v>
      </c>
      <c r="E674" s="2">
        <v>0.72180900000000003</v>
      </c>
      <c r="F674" s="2">
        <v>0.58049700000000004</v>
      </c>
      <c r="G674" s="2">
        <v>0.69720499999999996</v>
      </c>
      <c r="H674" s="2">
        <v>0.63871699999999998</v>
      </c>
      <c r="I674" s="2">
        <v>0.61651100000000003</v>
      </c>
      <c r="J674" s="2">
        <v>0.69359999999999999</v>
      </c>
      <c r="K674" s="2">
        <v>0.55471099999999995</v>
      </c>
      <c r="L674" s="2">
        <f>AVERAGE(D674:K674)</f>
        <v>0.641656</v>
      </c>
      <c r="M674" s="2">
        <f xml:space="preserve"> _xlfn.STDEV.S(D674:K674) / SQRT(COUNT(D674:K674))</f>
        <v>2.0822560207792482E-2</v>
      </c>
      <c r="N674" s="2">
        <f>M674*$N$2</f>
        <v>2.3303758332405056E-2</v>
      </c>
    </row>
    <row r="675" spans="2:14" x14ac:dyDescent="0.55000000000000004">
      <c r="C675" s="2" t="s">
        <v>27</v>
      </c>
      <c r="D675" s="2">
        <v>2.7469999999999999E-3</v>
      </c>
      <c r="E675" s="2">
        <v>4.1419999999999998E-3</v>
      </c>
      <c r="F675" s="2">
        <v>1.451E-3</v>
      </c>
      <c r="G675" s="2">
        <v>5.3610000000000003E-3</v>
      </c>
      <c r="H675" s="2">
        <v>1.441E-3</v>
      </c>
      <c r="I675" s="2">
        <v>1.124E-3</v>
      </c>
      <c r="J675" s="2">
        <v>2.6689999999999999E-3</v>
      </c>
      <c r="K675" s="2">
        <v>1.3439999999999999E-3</v>
      </c>
      <c r="L675" s="2">
        <f>(1/COUNT(D675:K675))*SQRT(SUMSQ(D675:K675))</f>
        <v>1.0293933969212159E-3</v>
      </c>
    </row>
    <row r="676" spans="2:14" x14ac:dyDescent="0.55000000000000004">
      <c r="C676" s="2" t="s">
        <v>28</v>
      </c>
      <c r="D676" s="2">
        <v>2.7650399999999999</v>
      </c>
      <c r="E676" s="2">
        <v>3.0278309999999999</v>
      </c>
      <c r="F676" s="2">
        <v>3.3183699999999998</v>
      </c>
      <c r="G676" s="2">
        <v>3.4986069999999998</v>
      </c>
      <c r="H676" s="2">
        <v>1.795051</v>
      </c>
      <c r="I676" s="2">
        <v>3.8124340000000001</v>
      </c>
      <c r="J676" s="2">
        <v>3.3372419999999998</v>
      </c>
      <c r="K676" s="2">
        <v>2.8270729999999999</v>
      </c>
      <c r="L676" s="2">
        <f>AVERAGE(D676:K676)</f>
        <v>3.0477059999999998</v>
      </c>
      <c r="M676" s="2">
        <f xml:space="preserve"> _xlfn.STDEV.S(D676:K676) / SQRT(COUNT(D676:K676))</f>
        <v>0.21726092257895152</v>
      </c>
      <c r="N676" s="2">
        <f>M676*$N$2</f>
        <v>0.24314954474044517</v>
      </c>
    </row>
    <row r="677" spans="2:14" x14ac:dyDescent="0.55000000000000004">
      <c r="C677" s="2" t="s">
        <v>29</v>
      </c>
      <c r="D677" s="2">
        <v>6.4117999999999994E-2</v>
      </c>
      <c r="E677" s="2">
        <v>6.5208000000000002E-2</v>
      </c>
      <c r="F677" s="2">
        <v>2.0598999999999999E-2</v>
      </c>
      <c r="G677" s="2">
        <v>0.13415299999999999</v>
      </c>
      <c r="H677" s="2">
        <v>1.3302E-2</v>
      </c>
      <c r="I677" s="2">
        <v>3.7178000000000003E-2</v>
      </c>
      <c r="J677" s="2">
        <v>2.7223000000000001E-2</v>
      </c>
      <c r="K677" s="2">
        <v>2.2380000000000001E-2</v>
      </c>
      <c r="L677" s="2">
        <f>(1/COUNT(D677:K677))*SQRT(SUMSQ(D677:K677))</f>
        <v>2.1500599706389005E-2</v>
      </c>
    </row>
    <row r="678" spans="2:14" x14ac:dyDescent="0.55000000000000004">
      <c r="C678" s="2" t="s">
        <v>30</v>
      </c>
      <c r="D678" s="2">
        <v>16.733913000000001</v>
      </c>
      <c r="E678" s="2">
        <v>20.236521</v>
      </c>
      <c r="F678" s="2">
        <v>21.882276000000001</v>
      </c>
      <c r="G678" s="2">
        <v>29.284804999999999</v>
      </c>
      <c r="H678" s="2">
        <v>13.195641</v>
      </c>
      <c r="I678" s="2">
        <v>20.592697999999999</v>
      </c>
      <c r="J678" s="2">
        <v>24.524909999999998</v>
      </c>
      <c r="K678" s="2">
        <v>41.548085</v>
      </c>
      <c r="L678" s="2">
        <f>AVERAGE(D678:K678)</f>
        <v>23.499856125000001</v>
      </c>
      <c r="M678" s="2">
        <f xml:space="preserve"> _xlfn.STDEV.S(D678:K678) / SQRT(COUNT(D678:K678))</f>
        <v>3.087784862894146</v>
      </c>
      <c r="N678" s="2">
        <f>M678*$N$2</f>
        <v>3.4557226157240262</v>
      </c>
    </row>
    <row r="679" spans="2:14" x14ac:dyDescent="0.55000000000000004">
      <c r="C679" s="2" t="s">
        <v>31</v>
      </c>
      <c r="D679" s="2">
        <v>0.26087399999999999</v>
      </c>
      <c r="E679" s="2">
        <v>8.1065999999999999E-2</v>
      </c>
      <c r="F679" s="2">
        <v>0.10913</v>
      </c>
      <c r="G679" s="2">
        <v>0.26197999999999999</v>
      </c>
      <c r="H679" s="2">
        <v>9.4541E-2</v>
      </c>
      <c r="I679" s="2">
        <v>0.16309000000000001</v>
      </c>
      <c r="J679" s="2">
        <v>0.128141</v>
      </c>
      <c r="K679" s="2">
        <v>0.73892500000000005</v>
      </c>
      <c r="L679" s="2">
        <f>(1/COUNT(D679:K679))*SQRT(SUMSQ(D679:K679))</f>
        <v>0.10847929222170412</v>
      </c>
    </row>
    <row r="680" spans="2:14" x14ac:dyDescent="0.55000000000000004">
      <c r="B680" s="2" t="s">
        <v>46</v>
      </c>
      <c r="C680" s="2" t="s">
        <v>22</v>
      </c>
      <c r="L680" s="2" t="e">
        <f>AVERAGE(D680:K680)</f>
        <v>#DIV/0!</v>
      </c>
      <c r="M680" s="2" t="e">
        <f xml:space="preserve"> _xlfn.STDEV.S(D680:K680) / SQRT(COUNT(D680:K680))</f>
        <v>#DIV/0!</v>
      </c>
      <c r="N680" s="2" t="e">
        <f>M680*$N$2</f>
        <v>#DIV/0!</v>
      </c>
    </row>
    <row r="681" spans="2:14" x14ac:dyDescent="0.55000000000000004">
      <c r="C681" s="2" t="s">
        <v>23</v>
      </c>
      <c r="L681" s="2" t="e">
        <f>(1/COUNT(D681:K681))*SQRT(SUMSQ(D681:K681))</f>
        <v>#DIV/0!</v>
      </c>
    </row>
    <row r="682" spans="2:14" x14ac:dyDescent="0.55000000000000004">
      <c r="C682" s="2" t="s">
        <v>24</v>
      </c>
      <c r="L682" s="2" t="e">
        <f>AVERAGE(D682:K682)</f>
        <v>#DIV/0!</v>
      </c>
      <c r="M682" s="2" t="e">
        <f xml:space="preserve"> _xlfn.STDEV.S(D682:K682) / SQRT(COUNT(D682:K682))</f>
        <v>#DIV/0!</v>
      </c>
      <c r="N682" s="2" t="e">
        <f>M682*$N$2</f>
        <v>#DIV/0!</v>
      </c>
    </row>
    <row r="683" spans="2:14" x14ac:dyDescent="0.55000000000000004">
      <c r="C683" s="2" t="s">
        <v>25</v>
      </c>
      <c r="L683" s="2" t="e">
        <f>(1/COUNT(D683:K683))*SQRT(SUMSQ(D683:K683))</f>
        <v>#DIV/0!</v>
      </c>
    </row>
    <row r="684" spans="2:14" x14ac:dyDescent="0.55000000000000004">
      <c r="C684" s="2" t="s">
        <v>26</v>
      </c>
      <c r="L684" s="2" t="e">
        <f>AVERAGE(D684:K684)</f>
        <v>#DIV/0!</v>
      </c>
      <c r="M684" s="2" t="e">
        <f xml:space="preserve"> _xlfn.STDEV.S(D684:K684) / SQRT(COUNT(D684:K684))</f>
        <v>#DIV/0!</v>
      </c>
      <c r="N684" s="2" t="e">
        <f>M684*$N$2</f>
        <v>#DIV/0!</v>
      </c>
    </row>
    <row r="685" spans="2:14" x14ac:dyDescent="0.55000000000000004">
      <c r="C685" s="2" t="s">
        <v>27</v>
      </c>
      <c r="L685" s="2" t="e">
        <f>(1/COUNT(D685:K685))*SQRT(SUMSQ(D685:K685))</f>
        <v>#DIV/0!</v>
      </c>
    </row>
    <row r="686" spans="2:14" x14ac:dyDescent="0.55000000000000004">
      <c r="C686" s="2" t="s">
        <v>28</v>
      </c>
      <c r="L686" s="2" t="e">
        <f>AVERAGE(D686:K686)</f>
        <v>#DIV/0!</v>
      </c>
      <c r="M686" s="2" t="e">
        <f xml:space="preserve"> _xlfn.STDEV.S(D686:K686) / SQRT(COUNT(D686:K686))</f>
        <v>#DIV/0!</v>
      </c>
      <c r="N686" s="2" t="e">
        <f>M686*$N$2</f>
        <v>#DIV/0!</v>
      </c>
    </row>
    <row r="687" spans="2:14" x14ac:dyDescent="0.55000000000000004">
      <c r="C687" s="2" t="s">
        <v>29</v>
      </c>
      <c r="L687" s="2" t="e">
        <f>(1/COUNT(D687:K687))*SQRT(SUMSQ(D687:K687))</f>
        <v>#DIV/0!</v>
      </c>
    </row>
    <row r="688" spans="2:14" x14ac:dyDescent="0.55000000000000004">
      <c r="C688" s="2" t="s">
        <v>30</v>
      </c>
      <c r="L688" s="2" t="e">
        <f>AVERAGE(D688:K688)</f>
        <v>#DIV/0!</v>
      </c>
      <c r="M688" s="2" t="e">
        <f xml:space="preserve"> _xlfn.STDEV.S(D688:K688) / SQRT(COUNT(D688:K688))</f>
        <v>#DIV/0!</v>
      </c>
      <c r="N688" s="2" t="e">
        <f>M688*$N$2</f>
        <v>#DIV/0!</v>
      </c>
    </row>
    <row r="689" spans="2:14" x14ac:dyDescent="0.55000000000000004">
      <c r="C689" s="2" t="s">
        <v>31</v>
      </c>
      <c r="L689" s="2" t="e">
        <f>(1/COUNT(D689:K689))*SQRT(SUMSQ(D689:K689))</f>
        <v>#DIV/0!</v>
      </c>
    </row>
    <row r="690" spans="2:14" x14ac:dyDescent="0.55000000000000004">
      <c r="B690" s="2" t="s">
        <v>36</v>
      </c>
      <c r="C690" s="2" t="s">
        <v>22</v>
      </c>
      <c r="D690" s="2">
        <v>0.93822499999999998</v>
      </c>
      <c r="E690" s="2">
        <v>0.92599200000000004</v>
      </c>
      <c r="F690" s="2">
        <v>0.921539</v>
      </c>
      <c r="G690" s="2">
        <v>0.94550299999999998</v>
      </c>
      <c r="H690" s="2">
        <v>0.94908800000000004</v>
      </c>
      <c r="I690" s="2">
        <v>0.92669800000000002</v>
      </c>
      <c r="J690" s="2">
        <v>0.93555699999999997</v>
      </c>
      <c r="K690" s="2">
        <v>0.93097600000000003</v>
      </c>
      <c r="L690" s="2">
        <f>AVERAGE(D690:K690)</f>
        <v>0.93419725000000009</v>
      </c>
      <c r="M690" s="2">
        <f xml:space="preserve"> _xlfn.STDEV.S(D690:K690) / SQRT(COUNT(D690:K690))</f>
        <v>3.4377077378787485E-3</v>
      </c>
      <c r="N690" s="2">
        <f>M690*$N$2</f>
        <v>3.8473419954854963E-3</v>
      </c>
    </row>
    <row r="691" spans="2:14" x14ac:dyDescent="0.55000000000000004">
      <c r="C691" s="2" t="s">
        <v>24</v>
      </c>
      <c r="D691" s="2">
        <v>0.341028</v>
      </c>
      <c r="E691" s="2">
        <v>0.37029899999999999</v>
      </c>
      <c r="F691" s="2">
        <v>0.38496900000000001</v>
      </c>
      <c r="G691" s="2">
        <v>0.32158900000000001</v>
      </c>
      <c r="H691" s="2">
        <v>0.31273800000000002</v>
      </c>
      <c r="I691" s="2">
        <v>0.37430000000000002</v>
      </c>
      <c r="J691" s="2">
        <v>0.34195599999999998</v>
      </c>
      <c r="K691" s="2">
        <v>0.36403200000000002</v>
      </c>
      <c r="L691" s="2">
        <f t="shared" ref="L691:L699" si="30">AVERAGE(D691:K691)</f>
        <v>0.35136387499999999</v>
      </c>
      <c r="M691" s="2">
        <f t="shared" ref="M691:M707" si="31" xml:space="preserve"> _xlfn.STDEV.S(D691:K691) / SQRT(COUNT(D691:K691))</f>
        <v>9.2081392866728441E-3</v>
      </c>
      <c r="N691" s="2">
        <f t="shared" ref="N691:N707" si="32">M691*$N$2</f>
        <v>1.0305373137902812E-2</v>
      </c>
    </row>
    <row r="692" spans="2:14" x14ac:dyDescent="0.55000000000000004">
      <c r="C692" s="2" t="s">
        <v>26</v>
      </c>
      <c r="D692" s="2">
        <v>0.61092900000000006</v>
      </c>
      <c r="E692" s="2">
        <v>0.72221599999999997</v>
      </c>
      <c r="F692" s="2">
        <v>0.58204</v>
      </c>
      <c r="G692" s="2">
        <v>0.72991700000000004</v>
      </c>
      <c r="H692" s="2">
        <v>0.63619199999999998</v>
      </c>
      <c r="I692" s="2">
        <v>0.62078</v>
      </c>
      <c r="J692" s="2">
        <v>0.68776700000000002</v>
      </c>
      <c r="K692" s="2">
        <v>0.55719600000000002</v>
      </c>
      <c r="L692" s="2">
        <f t="shared" si="30"/>
        <v>0.64337962500000001</v>
      </c>
      <c r="M692" s="2">
        <f t="shared" si="31"/>
        <v>2.2551427431015073E-2</v>
      </c>
      <c r="N692" s="2">
        <f t="shared" si="32"/>
        <v>2.5238635866999384E-2</v>
      </c>
    </row>
    <row r="693" spans="2:14" x14ac:dyDescent="0.55000000000000004">
      <c r="C693" s="2" t="s">
        <v>28</v>
      </c>
      <c r="D693" s="2">
        <v>3.0140250000000002</v>
      </c>
      <c r="E693" s="2">
        <v>2.9163039999999998</v>
      </c>
      <c r="F693" s="2">
        <v>3.2623880000000001</v>
      </c>
      <c r="G693" s="2">
        <v>2.9212530000000001</v>
      </c>
      <c r="H693" s="2">
        <v>1.808624</v>
      </c>
      <c r="I693" s="2">
        <v>3.4979360000000002</v>
      </c>
      <c r="J693" s="2">
        <v>3.4274089999999999</v>
      </c>
      <c r="K693" s="2">
        <v>2.726791</v>
      </c>
      <c r="L693" s="2">
        <f t="shared" si="30"/>
        <v>2.9468412499999999</v>
      </c>
      <c r="M693" s="2">
        <f t="shared" si="31"/>
        <v>0.18823817058333964</v>
      </c>
      <c r="N693" s="2">
        <f t="shared" si="32"/>
        <v>0.21066846691438815</v>
      </c>
    </row>
    <row r="694" spans="2:14" x14ac:dyDescent="0.55000000000000004">
      <c r="C694" s="2" t="s">
        <v>30</v>
      </c>
      <c r="D694" s="2">
        <v>17.008153</v>
      </c>
      <c r="E694" s="2">
        <v>19.982809</v>
      </c>
      <c r="F694" s="2">
        <v>21.426933999999999</v>
      </c>
      <c r="G694" s="2">
        <v>26.546505</v>
      </c>
      <c r="H694" s="2">
        <v>13.060533</v>
      </c>
      <c r="I694" s="2">
        <v>18.735741000000001</v>
      </c>
      <c r="J694" s="2">
        <v>25.733453000000001</v>
      </c>
      <c r="K694" s="2">
        <v>41.643998000000003</v>
      </c>
      <c r="L694" s="2">
        <f t="shared" si="30"/>
        <v>23.017265750000004</v>
      </c>
      <c r="M694" s="2">
        <f t="shared" si="31"/>
        <v>3.0825049452476487</v>
      </c>
      <c r="N694" s="2">
        <f t="shared" si="32"/>
        <v>3.4498135476929526</v>
      </c>
    </row>
    <row r="695" spans="2:14" x14ac:dyDescent="0.55000000000000004">
      <c r="B695" s="2" t="s">
        <v>37</v>
      </c>
      <c r="C695" s="2" t="s">
        <v>22</v>
      </c>
      <c r="D695" s="2">
        <v>0.92193499999999995</v>
      </c>
      <c r="E695" s="2">
        <v>0.88700500000000004</v>
      </c>
      <c r="F695" s="2">
        <v>0.89379500000000001</v>
      </c>
      <c r="G695" s="2">
        <v>0.90509700000000004</v>
      </c>
      <c r="H695" s="2">
        <v>0.91716799999999998</v>
      </c>
      <c r="I695" s="2">
        <v>0.89445799999999998</v>
      </c>
      <c r="J695" s="2">
        <v>0.91617400000000004</v>
      </c>
      <c r="K695" s="2">
        <v>0.90996900000000003</v>
      </c>
      <c r="L695" s="2">
        <f t="shared" si="30"/>
        <v>0.90570012500000008</v>
      </c>
      <c r="M695" s="2">
        <f t="shared" si="31"/>
        <v>4.5138625937909274E-3</v>
      </c>
      <c r="N695" s="2">
        <f t="shared" si="32"/>
        <v>5.0517305260100202E-3</v>
      </c>
    </row>
    <row r="696" spans="2:14" x14ac:dyDescent="0.55000000000000004">
      <c r="C696" s="2" t="s">
        <v>24</v>
      </c>
      <c r="D696" s="2">
        <v>0.385071</v>
      </c>
      <c r="E696" s="2">
        <v>0.45252799999999999</v>
      </c>
      <c r="F696" s="2">
        <v>0.446633</v>
      </c>
      <c r="G696" s="2">
        <v>0.42466700000000002</v>
      </c>
      <c r="H696" s="2">
        <v>0.39514700000000003</v>
      </c>
      <c r="I696" s="2">
        <v>0.44871699999999998</v>
      </c>
      <c r="J696" s="2">
        <v>0.39302500000000001</v>
      </c>
      <c r="K696" s="2">
        <v>0.41502</v>
      </c>
      <c r="L696" s="2">
        <f t="shared" si="30"/>
        <v>0.42010100000000006</v>
      </c>
      <c r="M696" s="2">
        <f t="shared" si="31"/>
        <v>9.6398637716367235E-3</v>
      </c>
      <c r="N696" s="2">
        <f t="shared" si="32"/>
        <v>1.0788541536187246E-2</v>
      </c>
    </row>
    <row r="697" spans="2:14" x14ac:dyDescent="0.55000000000000004">
      <c r="C697" s="2" t="s">
        <v>26</v>
      </c>
      <c r="D697" s="2">
        <v>0.57554899999999998</v>
      </c>
      <c r="E697" s="2">
        <v>0.66655200000000003</v>
      </c>
      <c r="F697" s="2">
        <v>0.55324499999999999</v>
      </c>
      <c r="G697" s="2">
        <v>0.66335299999999997</v>
      </c>
      <c r="H697" s="2">
        <v>0.56131799999999998</v>
      </c>
      <c r="I697" s="2">
        <v>0.57357100000000005</v>
      </c>
      <c r="J697" s="2">
        <v>0.64722599999999997</v>
      </c>
      <c r="K697" s="2">
        <v>0.52505400000000002</v>
      </c>
      <c r="L697" s="2">
        <f t="shared" si="30"/>
        <v>0.59573349999999992</v>
      </c>
      <c r="M697" s="2">
        <f t="shared" si="31"/>
        <v>1.9421552699256564E-2</v>
      </c>
      <c r="N697" s="2">
        <f t="shared" si="32"/>
        <v>2.1735807990324273E-2</v>
      </c>
    </row>
    <row r="698" spans="2:14" x14ac:dyDescent="0.55000000000000004">
      <c r="C698" s="2" t="s">
        <v>28</v>
      </c>
      <c r="D698" s="2">
        <v>3.7279040000000001</v>
      </c>
      <c r="E698" s="2">
        <v>3.9949469999999998</v>
      </c>
      <c r="F698" s="2">
        <v>3.7732860000000001</v>
      </c>
      <c r="G698" s="2">
        <v>3.94516</v>
      </c>
      <c r="H698" s="2">
        <v>2.7085759999999999</v>
      </c>
      <c r="I698" s="2">
        <v>5.5135480000000001</v>
      </c>
      <c r="J698" s="2">
        <v>4.139081</v>
      </c>
      <c r="K698" s="2">
        <v>3.4140009999999998</v>
      </c>
      <c r="L698" s="2">
        <f t="shared" si="30"/>
        <v>3.9020628749999999</v>
      </c>
      <c r="M698" s="2">
        <f t="shared" si="31"/>
        <v>0.2794470571643255</v>
      </c>
      <c r="N698" s="2">
        <f t="shared" si="32"/>
        <v>0.31274572491917479</v>
      </c>
    </row>
    <row r="699" spans="2:14" x14ac:dyDescent="0.55000000000000004">
      <c r="C699" s="2" t="s">
        <v>30</v>
      </c>
      <c r="D699" s="2">
        <v>19.815342999999999</v>
      </c>
      <c r="E699" s="2">
        <v>25.743102</v>
      </c>
      <c r="F699" s="2">
        <v>23.040783999999999</v>
      </c>
      <c r="G699" s="2">
        <v>36.246834</v>
      </c>
      <c r="H699" s="2">
        <v>19.294298999999999</v>
      </c>
      <c r="I699" s="2">
        <v>25.009468999999999</v>
      </c>
      <c r="J699" s="2">
        <v>31.224936</v>
      </c>
      <c r="K699" s="2">
        <v>63.756735999999997</v>
      </c>
      <c r="L699" s="2">
        <f t="shared" si="30"/>
        <v>30.516437874999994</v>
      </c>
      <c r="M699" s="2">
        <f t="shared" si="31"/>
        <v>5.1542345691596596</v>
      </c>
      <c r="N699" s="2">
        <f t="shared" si="32"/>
        <v>5.7684086677907356</v>
      </c>
    </row>
    <row r="700" spans="2:14" x14ac:dyDescent="0.55000000000000004">
      <c r="B700" s="2" t="s">
        <v>39</v>
      </c>
      <c r="C700" s="2" t="s">
        <v>22</v>
      </c>
      <c r="D700" s="2">
        <v>0.94689699999999999</v>
      </c>
      <c r="E700" s="2">
        <v>0.95041399999999998</v>
      </c>
      <c r="F700" s="2">
        <v>0.93205899999999997</v>
      </c>
      <c r="G700" s="2">
        <v>0.91532899999999995</v>
      </c>
      <c r="H700" s="2">
        <v>0.952542</v>
      </c>
      <c r="I700" s="2">
        <v>0.93826900000000002</v>
      </c>
      <c r="J700" s="2">
        <v>0.94817200000000001</v>
      </c>
      <c r="K700" s="2">
        <v>0.92639800000000005</v>
      </c>
      <c r="L700" s="2">
        <f t="shared" ref="L700:L708" si="33">AVERAGE(D700:K700)</f>
        <v>0.93875999999999993</v>
      </c>
      <c r="M700" s="2">
        <f t="shared" si="31"/>
        <v>4.6819010180542218E-3</v>
      </c>
      <c r="N700" s="2">
        <f t="shared" si="32"/>
        <v>5.2397922624397453E-3</v>
      </c>
    </row>
    <row r="701" spans="2:14" x14ac:dyDescent="0.55000000000000004">
      <c r="C701" s="2" t="s">
        <v>24</v>
      </c>
      <c r="D701" s="2">
        <v>0.31717400000000001</v>
      </c>
      <c r="E701" s="2">
        <v>0.30765700000000001</v>
      </c>
      <c r="F701" s="2">
        <v>0.36116999999999999</v>
      </c>
      <c r="G701" s="2">
        <v>0.40217999999999998</v>
      </c>
      <c r="H701" s="2">
        <v>0.30338199999999999</v>
      </c>
      <c r="I701" s="2">
        <v>0.346051</v>
      </c>
      <c r="J701" s="2">
        <v>0.31307600000000002</v>
      </c>
      <c r="K701" s="2">
        <v>0.37257899999999999</v>
      </c>
      <c r="L701" s="2">
        <f t="shared" si="33"/>
        <v>0.34040862500000002</v>
      </c>
      <c r="M701" s="2">
        <f t="shared" si="31"/>
        <v>1.2708312080144208E-2</v>
      </c>
      <c r="N701" s="2">
        <f t="shared" si="32"/>
        <v>1.4222623470558384E-2</v>
      </c>
    </row>
    <row r="702" spans="2:14" x14ac:dyDescent="0.55000000000000004">
      <c r="C702" s="2" t="s">
        <v>26</v>
      </c>
      <c r="D702" s="2">
        <v>0.63408900000000001</v>
      </c>
      <c r="E702" s="2">
        <v>0.76949800000000002</v>
      </c>
      <c r="F702" s="2">
        <v>0.59177599999999997</v>
      </c>
      <c r="G702" s="2">
        <v>0.68283099999999997</v>
      </c>
      <c r="H702" s="2">
        <v>0.64381600000000005</v>
      </c>
      <c r="I702" s="2">
        <v>0.64174299999999995</v>
      </c>
      <c r="J702" s="2">
        <v>0.70822099999999999</v>
      </c>
      <c r="K702" s="2">
        <v>0.55536399999999997</v>
      </c>
      <c r="L702" s="2">
        <f t="shared" si="33"/>
        <v>0.65341724999999995</v>
      </c>
      <c r="M702" s="2">
        <f t="shared" si="31"/>
        <v>2.3664129395828196E-2</v>
      </c>
      <c r="N702" s="2">
        <f t="shared" si="32"/>
        <v>2.6483926428065616E-2</v>
      </c>
    </row>
    <row r="703" spans="2:14" x14ac:dyDescent="0.55000000000000004">
      <c r="C703" s="2" t="s">
        <v>28</v>
      </c>
      <c r="D703" s="2">
        <v>2.5453320000000001</v>
      </c>
      <c r="E703" s="2">
        <v>2.608949</v>
      </c>
      <c r="F703" s="2">
        <v>3.177705</v>
      </c>
      <c r="G703" s="2">
        <v>3.6686139999999998</v>
      </c>
      <c r="H703" s="2">
        <v>1.75926</v>
      </c>
      <c r="I703" s="2">
        <v>3.1532079999999998</v>
      </c>
      <c r="J703" s="2">
        <v>3.2046060000000001</v>
      </c>
      <c r="K703" s="2">
        <v>2.9066939999999999</v>
      </c>
      <c r="L703" s="2">
        <f t="shared" si="33"/>
        <v>2.8780460000000003</v>
      </c>
      <c r="M703" s="2">
        <f t="shared" si="31"/>
        <v>0.20409921701632822</v>
      </c>
      <c r="N703" s="2">
        <f t="shared" si="32"/>
        <v>0.22841950181523077</v>
      </c>
    </row>
    <row r="704" spans="2:14" x14ac:dyDescent="0.55000000000000004">
      <c r="C704" s="2" t="s">
        <v>30</v>
      </c>
      <c r="D704" s="2">
        <v>16.216245000000001</v>
      </c>
      <c r="E704" s="2">
        <v>20.999535999999999</v>
      </c>
      <c r="F704" s="2">
        <v>21.65185</v>
      </c>
      <c r="G704" s="2">
        <v>34.471426000000001</v>
      </c>
      <c r="H704" s="2">
        <v>12.700203</v>
      </c>
      <c r="I704" s="2">
        <v>19.997496999999999</v>
      </c>
      <c r="J704" s="2">
        <v>24.886156</v>
      </c>
      <c r="K704" s="2">
        <v>43.650576000000001</v>
      </c>
      <c r="L704" s="2">
        <f t="shared" si="33"/>
        <v>24.321686124999999</v>
      </c>
      <c r="M704" s="2">
        <f t="shared" si="31"/>
        <v>3.572119702345331</v>
      </c>
      <c r="N704" s="2">
        <f t="shared" si="32"/>
        <v>3.9977703724792555</v>
      </c>
    </row>
    <row r="705" spans="1:14" x14ac:dyDescent="0.55000000000000004">
      <c r="B705" s="2" t="s">
        <v>61</v>
      </c>
      <c r="C705" s="2" t="s">
        <v>22</v>
      </c>
      <c r="D705" s="2">
        <v>0.91688899999999995</v>
      </c>
      <c r="E705" s="2">
        <v>0.87524999999999997</v>
      </c>
      <c r="F705" s="2">
        <v>0.87459900000000002</v>
      </c>
      <c r="G705" s="2">
        <v>0.91436099999999998</v>
      </c>
      <c r="H705" s="2">
        <v>0.89579500000000001</v>
      </c>
      <c r="I705" s="2">
        <v>0.881575</v>
      </c>
      <c r="J705" s="2">
        <v>0.90899399999999997</v>
      </c>
      <c r="K705" s="2">
        <v>0.88805999999999996</v>
      </c>
      <c r="L705" s="2">
        <f t="shared" si="33"/>
        <v>0.89444037499999995</v>
      </c>
      <c r="M705" s="2">
        <f t="shared" si="31"/>
        <v>6.0982913120266099E-3</v>
      </c>
      <c r="N705" s="2">
        <f t="shared" si="32"/>
        <v>6.82495838926138E-3</v>
      </c>
    </row>
    <row r="706" spans="1:14" x14ac:dyDescent="0.55000000000000004">
      <c r="C706" s="2" t="s">
        <v>24</v>
      </c>
      <c r="D706" s="2">
        <v>0.39944200000000002</v>
      </c>
      <c r="E706" s="2">
        <v>0.47963</v>
      </c>
      <c r="F706" s="2">
        <v>0.49404199999999998</v>
      </c>
      <c r="G706" s="2">
        <v>0.39563500000000001</v>
      </c>
      <c r="H706" s="2">
        <v>0.449822</v>
      </c>
      <c r="I706" s="2">
        <v>0.48210900000000001</v>
      </c>
      <c r="J706" s="2">
        <v>0.41371799999999997</v>
      </c>
      <c r="K706" s="2">
        <v>0.46806599999999998</v>
      </c>
      <c r="L706" s="2">
        <f t="shared" si="33"/>
        <v>0.44780799999999998</v>
      </c>
      <c r="M706" s="2">
        <f t="shared" si="31"/>
        <v>1.399275564227024E-2</v>
      </c>
      <c r="N706" s="2">
        <f t="shared" si="32"/>
        <v>1.5660120207976719E-2</v>
      </c>
    </row>
    <row r="707" spans="1:14" x14ac:dyDescent="0.55000000000000004">
      <c r="C707" s="2" t="s">
        <v>26</v>
      </c>
      <c r="D707" s="2">
        <v>0.563585</v>
      </c>
      <c r="E707" s="2">
        <v>0.65914300000000003</v>
      </c>
      <c r="F707" s="2">
        <v>0.53088599999999997</v>
      </c>
      <c r="G707" s="2">
        <v>0.67981800000000003</v>
      </c>
      <c r="H707" s="2">
        <v>0.52088000000000001</v>
      </c>
      <c r="I707" s="2">
        <v>0.56636399999999998</v>
      </c>
      <c r="J707" s="2">
        <v>0.63600400000000001</v>
      </c>
      <c r="K707" s="2">
        <v>0.48047400000000001</v>
      </c>
      <c r="L707" s="2">
        <f t="shared" si="33"/>
        <v>0.57964424999999997</v>
      </c>
      <c r="M707" s="2">
        <f t="shared" si="31"/>
        <v>2.5224300895558101E-2</v>
      </c>
      <c r="N707" s="2">
        <f t="shared" si="32"/>
        <v>2.823000660379758E-2</v>
      </c>
    </row>
    <row r="708" spans="1:14" x14ac:dyDescent="0.55000000000000004">
      <c r="A708" s="2" t="s">
        <v>20</v>
      </c>
      <c r="B708" s="2" t="s">
        <v>21</v>
      </c>
      <c r="C708" s="2" t="s">
        <v>22</v>
      </c>
      <c r="D708" s="2">
        <v>0.95456399999999997</v>
      </c>
      <c r="E708" s="2">
        <v>0.94950900000000005</v>
      </c>
      <c r="F708" s="2">
        <v>0.93015300000000001</v>
      </c>
      <c r="G708" s="2">
        <v>0.93129399999999996</v>
      </c>
      <c r="H708" s="2">
        <v>0.953237</v>
      </c>
      <c r="I708" s="2">
        <v>0.93754400000000004</v>
      </c>
      <c r="J708" s="2">
        <v>0.94375100000000001</v>
      </c>
      <c r="K708" s="2">
        <v>0.93062800000000001</v>
      </c>
      <c r="L708" s="2">
        <f t="shared" si="33"/>
        <v>0.94133500000000003</v>
      </c>
      <c r="M708" s="2">
        <f xml:space="preserve"> _xlfn.STDEV.S(D708:K708) / SQRT(COUNT(D708:K708))</f>
        <v>3.6454122635757634E-3</v>
      </c>
      <c r="N708" s="2">
        <f>M708*$N$2</f>
        <v>4.0797964114212782E-3</v>
      </c>
    </row>
    <row r="709" spans="1:14" x14ac:dyDescent="0.55000000000000004">
      <c r="A709" s="2">
        <v>1.5</v>
      </c>
      <c r="C709" s="2" t="s">
        <v>23</v>
      </c>
      <c r="D709" s="2">
        <v>1.15E-4</v>
      </c>
      <c r="E709" s="2">
        <v>4.0299999999999998E-4</v>
      </c>
      <c r="F709" s="2">
        <v>2.9320000000000001E-3</v>
      </c>
      <c r="G709" s="2">
        <v>4.9799999999999996E-4</v>
      </c>
      <c r="H709" s="2">
        <v>2.5700000000000001E-4</v>
      </c>
      <c r="I709" s="2">
        <v>2.7700000000000001E-4</v>
      </c>
      <c r="J709" s="2">
        <v>5.7399999999999997E-4</v>
      </c>
      <c r="K709" s="2">
        <v>7.2999999999999999E-5</v>
      </c>
      <c r="L709" s="2">
        <f>(1/COUNT(D709:K709))*SQRT(SUMSQ(D709:K709))</f>
        <v>3.8523217431180382E-4</v>
      </c>
    </row>
    <row r="710" spans="1:14" x14ac:dyDescent="0.55000000000000004">
      <c r="C710" s="2" t="s">
        <v>24</v>
      </c>
      <c r="D710" s="2">
        <v>0.295709</v>
      </c>
      <c r="E710" s="2">
        <v>0.31059799999999999</v>
      </c>
      <c r="F710" s="2">
        <v>0.36566500000000002</v>
      </c>
      <c r="G710" s="2">
        <v>0.36471999999999999</v>
      </c>
      <c r="H710" s="2">
        <v>0.301091</v>
      </c>
      <c r="I710" s="2">
        <v>0.34853000000000001</v>
      </c>
      <c r="J710" s="2">
        <v>0.32504699999999997</v>
      </c>
      <c r="K710" s="2">
        <v>0.36549999999999999</v>
      </c>
      <c r="L710" s="2">
        <f>AVERAGE(D710:K710)</f>
        <v>0.3346075</v>
      </c>
      <c r="M710" s="2">
        <f xml:space="preserve"> _xlfn.STDEV.S(D710:K710) / SQRT(COUNT(D710:K710))</f>
        <v>1.0626635882468705E-2</v>
      </c>
      <c r="N710" s="2">
        <f>M710*$N$2</f>
        <v>1.1892896551637269E-2</v>
      </c>
    </row>
    <row r="711" spans="1:14" x14ac:dyDescent="0.55000000000000004">
      <c r="C711" s="2" t="s">
        <v>25</v>
      </c>
      <c r="D711" s="2">
        <v>3.3500000000000001E-4</v>
      </c>
      <c r="E711" s="2">
        <v>1.2459999999999999E-3</v>
      </c>
      <c r="F711" s="2">
        <v>7.051E-3</v>
      </c>
      <c r="G711" s="2">
        <v>1.2570000000000001E-3</v>
      </c>
      <c r="H711" s="2">
        <v>7.7999999999999999E-4</v>
      </c>
      <c r="I711" s="2">
        <v>7.7499999999999997E-4</v>
      </c>
      <c r="J711" s="2">
        <v>1.482E-3</v>
      </c>
      <c r="K711" s="2">
        <v>1.8699999999999999E-4</v>
      </c>
      <c r="L711" s="2">
        <f>(1/COUNT(D711:K711))*SQRT(SUMSQ(D711:K711))</f>
        <v>9.3876339038386012E-4</v>
      </c>
    </row>
    <row r="712" spans="1:14" x14ac:dyDescent="0.55000000000000004">
      <c r="C712" s="2" t="s">
        <v>26</v>
      </c>
      <c r="D712" s="2">
        <v>0.65437299999999998</v>
      </c>
      <c r="E712" s="2">
        <v>0.76746499999999995</v>
      </c>
      <c r="F712" s="2">
        <v>0.58993399999999996</v>
      </c>
      <c r="G712" s="2">
        <v>0.71788300000000005</v>
      </c>
      <c r="H712" s="2">
        <v>0.64636300000000002</v>
      </c>
      <c r="I712" s="2">
        <v>0.63875300000000002</v>
      </c>
      <c r="J712" s="2">
        <v>0.69893300000000003</v>
      </c>
      <c r="K712" s="2">
        <v>0.55535500000000004</v>
      </c>
      <c r="L712" s="2">
        <f>AVERAGE(D712:K712)</f>
        <v>0.65863237500000005</v>
      </c>
      <c r="M712" s="2">
        <f xml:space="preserve"> _xlfn.STDEV.S(D712:K712) / SQRT(COUNT(D712:K712))</f>
        <v>2.4249031462939396E-2</v>
      </c>
      <c r="N712" s="2">
        <f>M712*$N$2</f>
        <v>2.7138524915670547E-2</v>
      </c>
    </row>
    <row r="713" spans="1:14" x14ac:dyDescent="0.55000000000000004">
      <c r="C713" s="2" t="s">
        <v>27</v>
      </c>
      <c r="D713" s="2">
        <v>3.4400000000000001E-4</v>
      </c>
      <c r="E713" s="2">
        <v>8.9700000000000001E-4</v>
      </c>
      <c r="F713" s="2">
        <v>2.9459999999999998E-3</v>
      </c>
      <c r="G713" s="2">
        <v>1.4090000000000001E-3</v>
      </c>
      <c r="H713" s="2">
        <v>6.2399999999999999E-4</v>
      </c>
      <c r="I713" s="2">
        <v>7.0600000000000003E-4</v>
      </c>
      <c r="J713" s="2">
        <v>1.0970000000000001E-3</v>
      </c>
      <c r="K713" s="2">
        <v>1.4899999999999999E-4</v>
      </c>
      <c r="L713" s="2">
        <f>(1/COUNT(D713:K713))*SQRT(SUMSQ(D713:K713))</f>
        <v>4.6267841153440476E-4</v>
      </c>
    </row>
    <row r="714" spans="1:14" x14ac:dyDescent="0.55000000000000004">
      <c r="C714" s="2" t="s">
        <v>28</v>
      </c>
      <c r="D714" s="2">
        <v>2.2144270000000001</v>
      </c>
      <c r="E714" s="2">
        <v>2.5689510000000002</v>
      </c>
      <c r="F714" s="2">
        <v>3.2143890000000002</v>
      </c>
      <c r="G714" s="2">
        <v>3.2207479999999999</v>
      </c>
      <c r="H714" s="2">
        <v>1.7431380000000001</v>
      </c>
      <c r="I714" s="2">
        <v>3.0255070000000002</v>
      </c>
      <c r="J714" s="2">
        <v>3.2083309999999998</v>
      </c>
      <c r="K714" s="2">
        <v>2.858104</v>
      </c>
      <c r="L714" s="2">
        <f>AVERAGE(D714:K714)</f>
        <v>2.7566993750000006</v>
      </c>
      <c r="M714" s="2">
        <f xml:space="preserve"> _xlfn.STDEV.S(D714:K714) / SQRT(COUNT(D714:K714))</f>
        <v>0.19216566155932518</v>
      </c>
      <c r="N714" s="2">
        <f>M714*$N$2</f>
        <v>0.21506395429171923</v>
      </c>
    </row>
    <row r="715" spans="1:14" x14ac:dyDescent="0.55000000000000004">
      <c r="C715" s="2" t="s">
        <v>29</v>
      </c>
      <c r="D715" s="2">
        <v>3.4979999999999998E-3</v>
      </c>
      <c r="E715" s="2">
        <v>5.6839999999999998E-3</v>
      </c>
      <c r="F715" s="2">
        <v>3.1808000000000003E-2</v>
      </c>
      <c r="G715" s="2">
        <v>2.0745E-2</v>
      </c>
      <c r="H715" s="2">
        <v>7.0590000000000002E-3</v>
      </c>
      <c r="I715" s="2">
        <v>1.0056000000000001E-2</v>
      </c>
      <c r="J715" s="2">
        <v>1.2586999999999999E-2</v>
      </c>
      <c r="K715" s="2">
        <v>1.9419999999999999E-3</v>
      </c>
      <c r="L715" s="2">
        <f>(1/COUNT(D715:K715))*SQRT(SUMSQ(D715:K715))</f>
        <v>5.3030125562622422E-3</v>
      </c>
    </row>
    <row r="716" spans="1:14" x14ac:dyDescent="0.55000000000000004">
      <c r="C716" s="2" t="s">
        <v>30</v>
      </c>
      <c r="D716" s="2">
        <v>15.578877</v>
      </c>
      <c r="E716" s="2">
        <v>19.898302000000001</v>
      </c>
      <c r="F716" s="2">
        <v>21.889399000000001</v>
      </c>
      <c r="G716" s="2">
        <v>35.512768999999999</v>
      </c>
      <c r="H716" s="2">
        <v>12.543002</v>
      </c>
      <c r="I716" s="2">
        <v>18.006471000000001</v>
      </c>
      <c r="J716" s="2">
        <v>24.367346999999999</v>
      </c>
      <c r="K716" s="2">
        <v>46.713653999999998</v>
      </c>
      <c r="L716" s="2">
        <f>AVERAGE(D716:K716)</f>
        <v>24.313727624999999</v>
      </c>
      <c r="M716" s="2">
        <f xml:space="preserve"> _xlfn.STDEV.S(D716:K716) / SQRT(COUNT(D716:K716))</f>
        <v>4.0248791916372211</v>
      </c>
      <c r="N716" s="2">
        <f>M716*$N$2</f>
        <v>4.5044802878725037</v>
      </c>
    </row>
    <row r="717" spans="1:14" x14ac:dyDescent="0.55000000000000004">
      <c r="C717" s="2" t="s">
        <v>31</v>
      </c>
      <c r="D717" s="2">
        <v>1.2638E-2</v>
      </c>
      <c r="E717" s="2">
        <v>1.2260999999999999E-2</v>
      </c>
      <c r="F717" s="2">
        <v>8.574E-3</v>
      </c>
      <c r="G717" s="2">
        <v>0.29388700000000001</v>
      </c>
      <c r="H717" s="2">
        <v>4.8425999999999997E-2</v>
      </c>
      <c r="I717" s="2">
        <v>1.7354999999999999E-2</v>
      </c>
      <c r="J717" s="2">
        <v>8.2373000000000002E-2</v>
      </c>
      <c r="K717" s="2">
        <v>3.8532999999999998E-2</v>
      </c>
      <c r="L717" s="2">
        <f>(1/COUNT(D717:K717))*SQRT(SUMSQ(D717:K717))</f>
        <v>3.9065151935780633E-2</v>
      </c>
    </row>
    <row r="718" spans="1:14" x14ac:dyDescent="0.55000000000000004">
      <c r="B718" s="2" t="s">
        <v>32</v>
      </c>
      <c r="C718" s="2" t="s">
        <v>22</v>
      </c>
      <c r="D718" s="2">
        <v>0.95221900000000004</v>
      </c>
      <c r="E718" s="2">
        <v>0.93988799999999995</v>
      </c>
      <c r="F718" s="2">
        <v>0.930423</v>
      </c>
      <c r="G718" s="2">
        <v>0.92219700000000004</v>
      </c>
      <c r="H718" s="2">
        <v>0.94998800000000005</v>
      </c>
      <c r="I718" s="2">
        <v>0.93528999999999995</v>
      </c>
      <c r="J718" s="2">
        <v>0.95105399999999995</v>
      </c>
      <c r="K718" s="2">
        <v>0.93216600000000005</v>
      </c>
      <c r="L718" s="2">
        <f>AVERAGE(D718:K718)</f>
        <v>0.93915312500000003</v>
      </c>
      <c r="M718" s="2">
        <f xml:space="preserve"> _xlfn.STDEV.S(D718:K718) / SQRT(COUNT(D718:K718))</f>
        <v>3.9136924948437639E-3</v>
      </c>
      <c r="N718" s="2">
        <f>M718*$N$2</f>
        <v>4.3800446812037588E-3</v>
      </c>
    </row>
    <row r="719" spans="1:14" x14ac:dyDescent="0.55000000000000004">
      <c r="C719" s="2" t="s">
        <v>23</v>
      </c>
      <c r="D719" s="2">
        <v>3.28E-4</v>
      </c>
      <c r="E719" s="2">
        <v>1.2979999999999999E-3</v>
      </c>
      <c r="F719" s="2">
        <v>6.6600000000000003E-4</v>
      </c>
      <c r="G719" s="2">
        <v>2.134E-3</v>
      </c>
      <c r="H719" s="2">
        <v>1.35E-4</v>
      </c>
      <c r="I719" s="2">
        <v>5.8399999999999999E-4</v>
      </c>
      <c r="J719" s="2">
        <v>7.5900000000000002E-4</v>
      </c>
      <c r="K719" s="2">
        <v>1.2999999999999999E-4</v>
      </c>
      <c r="L719" s="2">
        <f>(1/COUNT(D719:K719))*SQRT(SUMSQ(D719:K719))</f>
        <v>3.4780925986810645E-4</v>
      </c>
    </row>
    <row r="720" spans="1:14" x14ac:dyDescent="0.55000000000000004">
      <c r="C720" s="2" t="s">
        <v>24</v>
      </c>
      <c r="D720" s="2">
        <v>0.30394900000000002</v>
      </c>
      <c r="E720" s="2">
        <v>0.33732699999999999</v>
      </c>
      <c r="F720" s="2">
        <v>0.36492400000000003</v>
      </c>
      <c r="G720" s="2">
        <v>0.38658300000000001</v>
      </c>
      <c r="H720" s="2">
        <v>0.31052999999999997</v>
      </c>
      <c r="I720" s="2">
        <v>0.35362700000000002</v>
      </c>
      <c r="J720" s="2">
        <v>0.30452899999999999</v>
      </c>
      <c r="K720" s="2">
        <v>0.36158200000000001</v>
      </c>
      <c r="L720" s="2">
        <f>AVERAGE(D720:K720)</f>
        <v>0.34038137499999999</v>
      </c>
      <c r="M720" s="2">
        <f xml:space="preserve"> _xlfn.STDEV.S(D720:K720) / SQRT(COUNT(D720:K720))</f>
        <v>1.1080056257814729E-2</v>
      </c>
      <c r="N720" s="2">
        <f>M720*$N$2</f>
        <v>1.2400346103690809E-2</v>
      </c>
    </row>
    <row r="721" spans="2:14" x14ac:dyDescent="0.55000000000000004">
      <c r="C721" s="2" t="s">
        <v>25</v>
      </c>
      <c r="D721" s="2">
        <v>8.8099999999999995E-4</v>
      </c>
      <c r="E721" s="2">
        <v>3.5590000000000001E-3</v>
      </c>
      <c r="F721" s="2">
        <v>1.5809999999999999E-3</v>
      </c>
      <c r="G721" s="2">
        <v>4.6709999999999998E-3</v>
      </c>
      <c r="H721" s="2">
        <v>4.08E-4</v>
      </c>
      <c r="I721" s="2">
        <v>1.482E-3</v>
      </c>
      <c r="J721" s="2">
        <v>2.222E-3</v>
      </c>
      <c r="K721" s="2">
        <v>3.57E-4</v>
      </c>
      <c r="L721" s="2">
        <f>(1/COUNT(D721:K721))*SQRT(SUMSQ(D721:K721))</f>
        <v>8.4027492710719398E-4</v>
      </c>
    </row>
    <row r="722" spans="2:14" x14ac:dyDescent="0.55000000000000004">
      <c r="C722" s="2" t="s">
        <v>26</v>
      </c>
      <c r="D722" s="2">
        <v>0.65045299999999995</v>
      </c>
      <c r="E722" s="2">
        <v>0.74760800000000005</v>
      </c>
      <c r="F722" s="2">
        <v>0.59091800000000005</v>
      </c>
      <c r="G722" s="2">
        <v>0.70310300000000003</v>
      </c>
      <c r="H722" s="2">
        <v>0.63767499999999999</v>
      </c>
      <c r="I722" s="2">
        <v>0.63578500000000004</v>
      </c>
      <c r="J722" s="2">
        <v>0.714113</v>
      </c>
      <c r="K722" s="2">
        <v>0.558114</v>
      </c>
      <c r="L722" s="2">
        <f>AVERAGE(D722:K722)</f>
        <v>0.65472112500000001</v>
      </c>
      <c r="M722" s="2">
        <f xml:space="preserve"> _xlfn.STDEV.S(D722:K722) / SQRT(COUNT(D722:K722))</f>
        <v>2.2586070158267826E-2</v>
      </c>
      <c r="N722" s="2">
        <f>M722*$N$2</f>
        <v>2.5277406591435635E-2</v>
      </c>
    </row>
    <row r="723" spans="2:14" x14ac:dyDescent="0.55000000000000004">
      <c r="C723" s="2" t="s">
        <v>27</v>
      </c>
      <c r="D723" s="2">
        <v>8.6600000000000002E-4</v>
      </c>
      <c r="E723" s="2">
        <v>2.6749999999999999E-3</v>
      </c>
      <c r="F723" s="2">
        <v>6.1899999999999998E-4</v>
      </c>
      <c r="G723" s="2">
        <v>5.3160000000000004E-3</v>
      </c>
      <c r="H723" s="2">
        <v>3.28E-4</v>
      </c>
      <c r="I723" s="2">
        <v>1.165E-3</v>
      </c>
      <c r="J723" s="2">
        <v>1.7470000000000001E-3</v>
      </c>
      <c r="K723" s="2">
        <v>2.5500000000000002E-4</v>
      </c>
      <c r="L723" s="2">
        <f>(1/COUNT(D723:K723))*SQRT(SUMSQ(D723:K723))</f>
        <v>8.0166273496090623E-4</v>
      </c>
    </row>
    <row r="724" spans="2:14" x14ac:dyDescent="0.55000000000000004">
      <c r="C724" s="2" t="s">
        <v>28</v>
      </c>
      <c r="D724" s="2">
        <v>2.3321130000000001</v>
      </c>
      <c r="E724" s="2">
        <v>2.7477580000000001</v>
      </c>
      <c r="F724" s="2">
        <v>3.2101730000000002</v>
      </c>
      <c r="G724" s="2">
        <v>3.4660169999999999</v>
      </c>
      <c r="H724" s="2">
        <v>1.8147979999999999</v>
      </c>
      <c r="I724" s="2">
        <v>3.110544</v>
      </c>
      <c r="J724" s="2">
        <v>3.1464490000000001</v>
      </c>
      <c r="K724" s="2">
        <v>2.8284699999999998</v>
      </c>
      <c r="L724" s="2">
        <f>AVERAGE(D724:K724)</f>
        <v>2.8320402500000004</v>
      </c>
      <c r="M724" s="2">
        <f xml:space="preserve"> _xlfn.STDEV.S(D724:K724) / SQRT(COUNT(D724:K724))</f>
        <v>0.18960265744782276</v>
      </c>
      <c r="N724" s="2">
        <f>M724*$N$2</f>
        <v>0.21219554484430359</v>
      </c>
    </row>
    <row r="725" spans="2:14" x14ac:dyDescent="0.55000000000000004">
      <c r="C725" s="2" t="s">
        <v>29</v>
      </c>
      <c r="D725" s="2">
        <v>1.5892E-2</v>
      </c>
      <c r="E725" s="2">
        <v>1.9061999999999999E-2</v>
      </c>
      <c r="F725" s="2">
        <v>7.8050000000000003E-3</v>
      </c>
      <c r="G725" s="2">
        <v>8.5291000000000006E-2</v>
      </c>
      <c r="H725" s="2">
        <v>3.4919999999999999E-3</v>
      </c>
      <c r="I725" s="2">
        <v>2.4885999999999998E-2</v>
      </c>
      <c r="J725" s="2">
        <v>1.7198999999999999E-2</v>
      </c>
      <c r="K725" s="2">
        <v>2.9859999999999999E-3</v>
      </c>
      <c r="L725" s="2">
        <f>(1/COUNT(D725:K725))*SQRT(SUMSQ(D725:K725))</f>
        <v>1.1784269885503091E-2</v>
      </c>
    </row>
    <row r="726" spans="2:14" x14ac:dyDescent="0.55000000000000004">
      <c r="C726" s="2" t="s">
        <v>30</v>
      </c>
      <c r="D726" s="2">
        <v>16.666363</v>
      </c>
      <c r="E726" s="2">
        <v>20.417123</v>
      </c>
      <c r="F726" s="2">
        <v>21.850705000000001</v>
      </c>
      <c r="G726" s="2">
        <v>35.612327000000001</v>
      </c>
      <c r="H726" s="2">
        <v>13.122336000000001</v>
      </c>
      <c r="I726" s="2">
        <v>18.359597000000001</v>
      </c>
      <c r="J726" s="2">
        <v>25.281486000000001</v>
      </c>
      <c r="K726" s="2">
        <v>46.063963999999999</v>
      </c>
      <c r="L726" s="2">
        <f>AVERAGE(D726:K726)</f>
        <v>24.671737624999999</v>
      </c>
      <c r="M726" s="2">
        <f xml:space="preserve"> _xlfn.STDEV.S(D726:K726) / SQRT(COUNT(D726:K726))</f>
        <v>3.8754571826221893</v>
      </c>
      <c r="N726" s="2">
        <f>M726*$N$2</f>
        <v>4.3372532825052366</v>
      </c>
    </row>
    <row r="727" spans="2:14" x14ac:dyDescent="0.55000000000000004">
      <c r="C727" s="2" t="s">
        <v>31</v>
      </c>
      <c r="D727" s="2">
        <v>2.4389000000000001E-2</v>
      </c>
      <c r="E727" s="2">
        <v>6.6362000000000004E-2</v>
      </c>
      <c r="F727" s="2">
        <v>2.0729999999999998E-2</v>
      </c>
      <c r="G727" s="2">
        <v>0.24408199999999999</v>
      </c>
      <c r="H727" s="2">
        <v>3.3293999999999997E-2</v>
      </c>
      <c r="I727" s="2">
        <v>7.6378000000000001E-2</v>
      </c>
      <c r="J727" s="2">
        <v>0.143455</v>
      </c>
      <c r="K727" s="2">
        <v>6.0533999999999998E-2</v>
      </c>
      <c r="L727" s="2">
        <f>(1/COUNT(D727:K727))*SQRT(SUMSQ(D727:K727))</f>
        <v>3.8768198446423194E-2</v>
      </c>
    </row>
    <row r="728" spans="2:14" x14ac:dyDescent="0.55000000000000004">
      <c r="B728" s="2" t="s">
        <v>33</v>
      </c>
      <c r="C728" s="2" t="s">
        <v>22</v>
      </c>
      <c r="D728" s="2">
        <v>0.95467900000000006</v>
      </c>
      <c r="E728" s="2">
        <v>0.948492</v>
      </c>
      <c r="F728" s="2">
        <v>0.93167199999999994</v>
      </c>
      <c r="G728" s="2">
        <v>0.92420000000000002</v>
      </c>
      <c r="H728" s="2">
        <v>0.95326900000000003</v>
      </c>
      <c r="I728" s="2">
        <v>0.93895399999999996</v>
      </c>
      <c r="J728" s="2">
        <v>0.94290499999999999</v>
      </c>
      <c r="K728" s="2">
        <v>0.93271599999999999</v>
      </c>
      <c r="L728" s="2">
        <f>AVERAGE(D728:K728)</f>
        <v>0.94086087499999993</v>
      </c>
      <c r="M728" s="2">
        <f xml:space="preserve"> _xlfn.STDEV.S(D728:K728) / SQRT(COUNT(D728:K728))</f>
        <v>3.871392331843109E-3</v>
      </c>
      <c r="N728" s="2">
        <f>M728*$N$2</f>
        <v>4.3327040676504024E-3</v>
      </c>
    </row>
    <row r="729" spans="2:14" x14ac:dyDescent="0.55000000000000004">
      <c r="C729" s="2" t="s">
        <v>23</v>
      </c>
      <c r="D729" s="2">
        <v>5.0000000000000002E-5</v>
      </c>
      <c r="E729" s="2">
        <v>1.7200000000000001E-4</v>
      </c>
      <c r="F729" s="2">
        <v>9.7E-5</v>
      </c>
      <c r="G729" s="2">
        <v>1.08E-4</v>
      </c>
      <c r="H729" s="2">
        <v>5.1E-5</v>
      </c>
      <c r="I729" s="2">
        <v>9.7999999999999997E-5</v>
      </c>
      <c r="J729" s="2">
        <v>1.74E-4</v>
      </c>
      <c r="K729" s="2">
        <v>4.0000000000000003E-5</v>
      </c>
      <c r="L729" s="2">
        <f>(1/COUNT(D729:K729))*SQRT(SUMSQ(D729:K729))</f>
        <v>3.8978760241957412E-5</v>
      </c>
    </row>
    <row r="730" spans="2:14" x14ac:dyDescent="0.55000000000000004">
      <c r="C730" s="2" t="s">
        <v>24</v>
      </c>
      <c r="D730" s="2">
        <v>0.29534300000000002</v>
      </c>
      <c r="E730" s="2">
        <v>0.31359999999999999</v>
      </c>
      <c r="F730" s="2">
        <v>0.36205700000000002</v>
      </c>
      <c r="G730" s="2">
        <v>0.38188100000000003</v>
      </c>
      <c r="H730" s="2">
        <v>0.30108299999999999</v>
      </c>
      <c r="I730" s="2">
        <v>0.34461799999999998</v>
      </c>
      <c r="J730" s="2">
        <v>0.32709899999999997</v>
      </c>
      <c r="K730" s="2">
        <v>0.35891600000000001</v>
      </c>
      <c r="L730" s="2">
        <f>AVERAGE(D730:K730)</f>
        <v>0.33557462500000002</v>
      </c>
      <c r="M730" s="2">
        <f xml:space="preserve"> _xlfn.STDEV.S(D730:K730) / SQRT(COUNT(D730:K730))</f>
        <v>1.1047927389556412E-2</v>
      </c>
      <c r="N730" s="2">
        <f>M730*$N$2</f>
        <v>1.2364388787495594E-2</v>
      </c>
    </row>
    <row r="731" spans="2:14" x14ac:dyDescent="0.55000000000000004">
      <c r="C731" s="2" t="s">
        <v>25</v>
      </c>
      <c r="D731" s="2">
        <v>1.37E-4</v>
      </c>
      <c r="E731" s="2">
        <v>5.2099999999999998E-4</v>
      </c>
      <c r="F731" s="2">
        <v>2.4499999999999999E-4</v>
      </c>
      <c r="G731" s="2">
        <v>2.63E-4</v>
      </c>
      <c r="H731" s="2">
        <v>1.55E-4</v>
      </c>
      <c r="I731" s="2">
        <v>2.7799999999999998E-4</v>
      </c>
      <c r="J731" s="2">
        <v>4.7399999999999997E-4</v>
      </c>
      <c r="K731" s="2">
        <v>1.0399999999999999E-4</v>
      </c>
      <c r="L731" s="2">
        <f>(1/COUNT(D731:K731))*SQRT(SUMSQ(D731:K731))</f>
        <v>1.0870006037256833E-4</v>
      </c>
    </row>
    <row r="732" spans="2:14" x14ac:dyDescent="0.55000000000000004">
      <c r="C732" s="2" t="s">
        <v>26</v>
      </c>
      <c r="D732" s="2">
        <v>0.65476800000000002</v>
      </c>
      <c r="E732" s="2">
        <v>0.7651</v>
      </c>
      <c r="F732" s="2">
        <v>0.59150800000000003</v>
      </c>
      <c r="G732" s="2">
        <v>0.70096899999999995</v>
      </c>
      <c r="H732" s="2">
        <v>0.64639599999999997</v>
      </c>
      <c r="I732" s="2">
        <v>0.64177099999999998</v>
      </c>
      <c r="J732" s="2">
        <v>0.69709100000000002</v>
      </c>
      <c r="K732" s="2">
        <v>0.56414200000000003</v>
      </c>
      <c r="L732" s="2">
        <f>AVERAGE(D732:K732)</f>
        <v>0.65771812500000015</v>
      </c>
      <c r="M732" s="2">
        <f xml:space="preserve"> _xlfn.STDEV.S(D732:K732) / SQRT(COUNT(D732:K732))</f>
        <v>2.2552797151064286E-2</v>
      </c>
      <c r="N732" s="2">
        <f>M732*$N$2</f>
        <v>2.5240168801695759E-2</v>
      </c>
    </row>
    <row r="733" spans="2:14" x14ac:dyDescent="0.55000000000000004">
      <c r="C733" s="2" t="s">
        <v>27</v>
      </c>
      <c r="D733" s="2">
        <v>1.1900000000000001E-4</v>
      </c>
      <c r="E733" s="2">
        <v>3.68E-4</v>
      </c>
      <c r="F733" s="2">
        <v>9.2E-5</v>
      </c>
      <c r="G733" s="2">
        <v>3.5100000000000002E-4</v>
      </c>
      <c r="H733" s="2">
        <v>1.3999999999999999E-4</v>
      </c>
      <c r="I733" s="2">
        <v>2.3800000000000001E-4</v>
      </c>
      <c r="J733" s="2">
        <v>3.59E-4</v>
      </c>
      <c r="K733" s="2">
        <v>8.0000000000000007E-5</v>
      </c>
      <c r="L733" s="2">
        <f>(1/COUNT(D733:K733))*SQRT(SUMSQ(D733:K733))</f>
        <v>8.7747418053182633E-5</v>
      </c>
    </row>
    <row r="734" spans="2:14" x14ac:dyDescent="0.55000000000000004">
      <c r="C734" s="2" t="s">
        <v>28</v>
      </c>
      <c r="D734" s="2">
        <v>2.2103809999999999</v>
      </c>
      <c r="E734" s="2">
        <v>2.581817</v>
      </c>
      <c r="F734" s="2">
        <v>3.1777440000000001</v>
      </c>
      <c r="G734" s="2">
        <v>3.4392830000000001</v>
      </c>
      <c r="H734" s="2">
        <v>1.7370220000000001</v>
      </c>
      <c r="I734" s="2">
        <v>2.977252</v>
      </c>
      <c r="J734" s="2">
        <v>3.2311580000000002</v>
      </c>
      <c r="K734" s="2">
        <v>2.6386129999999999</v>
      </c>
      <c r="L734" s="2">
        <f>AVERAGE(D734:K734)</f>
        <v>2.7491587499999999</v>
      </c>
      <c r="M734" s="2">
        <f xml:space="preserve"> _xlfn.STDEV.S(D734:K734) / SQRT(COUNT(D734:K734))</f>
        <v>0.20262705420583443</v>
      </c>
      <c r="N734" s="2">
        <f>M734*$N$2</f>
        <v>0.22677191736743252</v>
      </c>
    </row>
    <row r="735" spans="2:14" x14ac:dyDescent="0.55000000000000004">
      <c r="C735" s="2" t="s">
        <v>29</v>
      </c>
      <c r="D735" s="2">
        <v>1.72E-3</v>
      </c>
      <c r="E735" s="2">
        <v>2.2409999999999999E-3</v>
      </c>
      <c r="F735" s="2">
        <v>1.07E-3</v>
      </c>
      <c r="G735" s="2">
        <v>3.8909999999999999E-3</v>
      </c>
      <c r="H735" s="2">
        <v>1.224E-3</v>
      </c>
      <c r="I735" s="2">
        <v>3.4090000000000001E-3</v>
      </c>
      <c r="J735" s="2">
        <v>3.7590000000000002E-3</v>
      </c>
      <c r="K735" s="2">
        <v>1.297E-3</v>
      </c>
      <c r="L735" s="2">
        <f>(1/COUNT(D735:K735))*SQRT(SUMSQ(D735:K735))</f>
        <v>9.117034965519218E-4</v>
      </c>
    </row>
    <row r="736" spans="2:14" x14ac:dyDescent="0.55000000000000004">
      <c r="C736" s="2" t="s">
        <v>30</v>
      </c>
      <c r="D736" s="2">
        <v>15.585514</v>
      </c>
      <c r="E736" s="2">
        <v>19.895734999999998</v>
      </c>
      <c r="F736" s="2">
        <v>21.839627</v>
      </c>
      <c r="G736" s="2">
        <v>34.294206000000003</v>
      </c>
      <c r="H736" s="2">
        <v>12.441167999999999</v>
      </c>
      <c r="I736" s="2">
        <v>17.949175</v>
      </c>
      <c r="J736" s="2">
        <v>24.810883</v>
      </c>
      <c r="K736" s="2">
        <v>27.338850000000001</v>
      </c>
      <c r="L736" s="2">
        <f>AVERAGE(D736:K736)</f>
        <v>21.76939475</v>
      </c>
      <c r="M736" s="2">
        <f xml:space="preserve"> _xlfn.STDEV.S(D736:K736) / SQRT(COUNT(D736:K736))</f>
        <v>2.4658604235801023</v>
      </c>
      <c r="N736" s="2">
        <f>M736*$N$2</f>
        <v>2.7596902023146912</v>
      </c>
    </row>
    <row r="737" spans="2:14" x14ac:dyDescent="0.55000000000000004">
      <c r="C737" s="2" t="s">
        <v>31</v>
      </c>
      <c r="D737" s="2">
        <v>5.5510000000000004E-3</v>
      </c>
      <c r="E737" s="2">
        <v>1.2699999999999999E-2</v>
      </c>
      <c r="F737" s="2">
        <v>6.9290000000000003E-3</v>
      </c>
      <c r="G737" s="2">
        <v>2.8580000000000001E-2</v>
      </c>
      <c r="H737" s="2">
        <v>1.2795000000000001E-2</v>
      </c>
      <c r="I737" s="2">
        <v>1.1520000000000001E-2</v>
      </c>
      <c r="J737" s="2">
        <v>4.1068E-2</v>
      </c>
      <c r="K737" s="2">
        <v>9.5929E-2</v>
      </c>
      <c r="L737" s="2">
        <f>(1/COUNT(D737:K737))*SQRT(SUMSQ(D737:K737))</f>
        <v>1.3830619976613485E-2</v>
      </c>
    </row>
    <row r="738" spans="2:14" x14ac:dyDescent="0.55000000000000004">
      <c r="B738" s="2" t="s">
        <v>34</v>
      </c>
      <c r="C738" s="2" t="s">
        <v>22</v>
      </c>
      <c r="D738" s="2">
        <v>0.94633699999999998</v>
      </c>
      <c r="E738" s="2">
        <v>0.93761399999999995</v>
      </c>
      <c r="F738" s="2">
        <v>0.93268399999999996</v>
      </c>
      <c r="G738" s="2">
        <v>0.92061000000000004</v>
      </c>
      <c r="H738" s="2">
        <v>0.94825400000000004</v>
      </c>
      <c r="I738" s="2">
        <v>0.93641799999999997</v>
      </c>
      <c r="J738" s="2">
        <v>0.95020700000000002</v>
      </c>
      <c r="K738" s="2">
        <v>0.93208400000000002</v>
      </c>
      <c r="L738" s="2">
        <f>AVERAGE(D738:K738)</f>
        <v>0.93802599999999992</v>
      </c>
      <c r="M738" s="2">
        <f xml:space="preserve"> _xlfn.STDEV.S(D738:K738) / SQRT(COUNT(D738:K738))</f>
        <v>3.5152175760744678E-3</v>
      </c>
      <c r="N738" s="2">
        <f>M738*$N$2</f>
        <v>3.9340878384400485E-3</v>
      </c>
    </row>
    <row r="739" spans="2:14" x14ac:dyDescent="0.55000000000000004">
      <c r="C739" s="2" t="s">
        <v>23</v>
      </c>
      <c r="D739" s="2">
        <v>2.3140000000000001E-3</v>
      </c>
      <c r="E739" s="2">
        <v>1.505E-3</v>
      </c>
      <c r="F739" s="2">
        <v>8.6899999999999998E-4</v>
      </c>
      <c r="G739" s="2">
        <v>1.2130000000000001E-3</v>
      </c>
      <c r="H739" s="2">
        <v>3.1799999999999998E-4</v>
      </c>
      <c r="I739" s="2">
        <v>5.8100000000000003E-4</v>
      </c>
      <c r="J739" s="2">
        <v>1.243E-3</v>
      </c>
      <c r="K739" s="2">
        <v>9.8999999999999994E-5</v>
      </c>
      <c r="L739" s="2">
        <f>(1/COUNT(D739:K739))*SQRT(SUMSQ(D739:K739))</f>
        <v>4.3011055991454104E-4</v>
      </c>
    </row>
    <row r="740" spans="2:14" x14ac:dyDescent="0.55000000000000004">
      <c r="C740" s="2" t="s">
        <v>24</v>
      </c>
      <c r="D740" s="2">
        <v>0.31994</v>
      </c>
      <c r="E740" s="2">
        <v>0.34295900000000001</v>
      </c>
      <c r="F740" s="2">
        <v>0.35957299999999998</v>
      </c>
      <c r="G740" s="2">
        <v>0.39021</v>
      </c>
      <c r="H740" s="2">
        <v>0.315189</v>
      </c>
      <c r="I740" s="2">
        <v>0.35048699999999999</v>
      </c>
      <c r="J740" s="2">
        <v>0.30687399999999998</v>
      </c>
      <c r="K740" s="2">
        <v>0.36066799999999999</v>
      </c>
      <c r="L740" s="2">
        <f>AVERAGE(D740:K740)</f>
        <v>0.34323749999999997</v>
      </c>
      <c r="M740" s="2">
        <f xml:space="preserve"> _xlfn.STDEV.S(D740:K740) / SQRT(COUNT(D740:K740))</f>
        <v>9.8936446501926532E-3</v>
      </c>
      <c r="N740" s="2">
        <f>M740*$N$2</f>
        <v>1.1072562723026681E-2</v>
      </c>
    </row>
    <row r="741" spans="2:14" x14ac:dyDescent="0.55000000000000004">
      <c r="C741" s="2" t="s">
        <v>25</v>
      </c>
      <c r="D741" s="2">
        <v>6.1989999999999996E-3</v>
      </c>
      <c r="E741" s="2">
        <v>3.797E-3</v>
      </c>
      <c r="F741" s="2">
        <v>2.1120000000000002E-3</v>
      </c>
      <c r="G741" s="2">
        <v>2.8059999999999999E-3</v>
      </c>
      <c r="H741" s="2">
        <v>8.5599999999999999E-4</v>
      </c>
      <c r="I741" s="2">
        <v>1.5200000000000001E-3</v>
      </c>
      <c r="J741" s="2">
        <v>3.398E-3</v>
      </c>
      <c r="K741" s="2">
        <v>2.5799999999999998E-4</v>
      </c>
      <c r="L741" s="2">
        <f>(1/COUNT(D741:K741))*SQRT(SUMSQ(D741:K741))</f>
        <v>1.1168810786068497E-3</v>
      </c>
    </row>
    <row r="742" spans="2:14" x14ac:dyDescent="0.55000000000000004">
      <c r="C742" s="2" t="s">
        <v>26</v>
      </c>
      <c r="D742" s="2">
        <v>0.63490800000000003</v>
      </c>
      <c r="E742" s="2">
        <v>0.74531700000000001</v>
      </c>
      <c r="F742" s="2">
        <v>0.59282500000000005</v>
      </c>
      <c r="G742" s="2">
        <v>0.68973799999999996</v>
      </c>
      <c r="H742" s="2">
        <v>0.63407599999999997</v>
      </c>
      <c r="I742" s="2">
        <v>0.63674900000000001</v>
      </c>
      <c r="J742" s="2">
        <v>0.71235000000000004</v>
      </c>
      <c r="K742" s="2">
        <v>0.562523</v>
      </c>
      <c r="L742" s="2">
        <f>AVERAGE(D742:K742)</f>
        <v>0.65106074999999997</v>
      </c>
      <c r="M742" s="2">
        <f xml:space="preserve"> _xlfn.STDEV.S(D742:K742) / SQRT(COUNT(D742:K742))</f>
        <v>2.1597411180633595E-2</v>
      </c>
      <c r="N742" s="2">
        <f>M742*$N$2</f>
        <v>2.4170939871779873E-2</v>
      </c>
    </row>
    <row r="743" spans="2:14" x14ac:dyDescent="0.55000000000000004">
      <c r="C743" s="2" t="s">
        <v>27</v>
      </c>
      <c r="D743" s="2">
        <v>6.012E-3</v>
      </c>
      <c r="E743" s="2">
        <v>2.9589999999999998E-3</v>
      </c>
      <c r="F743" s="2">
        <v>9.4399999999999996E-4</v>
      </c>
      <c r="G743" s="2">
        <v>3.0890000000000002E-3</v>
      </c>
      <c r="H743" s="2">
        <v>7.0500000000000001E-4</v>
      </c>
      <c r="I743" s="2">
        <v>1.2769999999999999E-3</v>
      </c>
      <c r="J743" s="2">
        <v>2.5560000000000001E-3</v>
      </c>
      <c r="K743" s="2">
        <v>1.83E-4</v>
      </c>
      <c r="L743" s="2">
        <f>(1/COUNT(D743:K743))*SQRT(SUMSQ(D743:K743))</f>
        <v>1.0002129538878208E-3</v>
      </c>
    </row>
    <row r="744" spans="2:14" x14ac:dyDescent="0.55000000000000004">
      <c r="C744" s="2" t="s">
        <v>28</v>
      </c>
      <c r="D744" s="2">
        <v>2.6005539999999998</v>
      </c>
      <c r="E744" s="2">
        <v>2.8111199999999998</v>
      </c>
      <c r="F744" s="2">
        <v>3.1752050000000001</v>
      </c>
      <c r="G744" s="2">
        <v>3.5925530000000001</v>
      </c>
      <c r="H744" s="2">
        <v>1.8515459999999999</v>
      </c>
      <c r="I744" s="2">
        <v>3.0384570000000002</v>
      </c>
      <c r="J744" s="2">
        <v>3.168831</v>
      </c>
      <c r="K744" s="2">
        <v>2.6594120000000001</v>
      </c>
      <c r="L744" s="2">
        <f>AVERAGE(D744:K744)</f>
        <v>2.8622097500000003</v>
      </c>
      <c r="M744" s="2">
        <f xml:space="preserve"> _xlfn.STDEV.S(D744:K744) / SQRT(COUNT(D744:K744))</f>
        <v>0.18371605665398613</v>
      </c>
      <c r="N744" s="2">
        <f>M744*$N$2</f>
        <v>0.20560750183086207</v>
      </c>
    </row>
    <row r="745" spans="2:14" x14ac:dyDescent="0.55000000000000004">
      <c r="C745" s="2" t="s">
        <v>29</v>
      </c>
      <c r="D745" s="2">
        <v>0.11705500000000001</v>
      </c>
      <c r="E745" s="2">
        <v>2.4688999999999999E-2</v>
      </c>
      <c r="F745" s="2">
        <v>9.7009999999999996E-3</v>
      </c>
      <c r="G745" s="2">
        <v>4.3534000000000003E-2</v>
      </c>
      <c r="H745" s="2">
        <v>7.254E-3</v>
      </c>
      <c r="I745" s="2">
        <v>2.8631E-2</v>
      </c>
      <c r="J745" s="2">
        <v>2.9269E-2</v>
      </c>
      <c r="K745" s="2">
        <v>2.081E-3</v>
      </c>
      <c r="L745" s="2">
        <f>(1/COUNT(D745:K745))*SQRT(SUMSQ(D745:K745))</f>
        <v>1.6786386738031209E-2</v>
      </c>
    </row>
    <row r="746" spans="2:14" x14ac:dyDescent="0.55000000000000004">
      <c r="C746" s="2" t="s">
        <v>30</v>
      </c>
      <c r="D746" s="2">
        <v>17.011337000000001</v>
      </c>
      <c r="E746" s="2">
        <v>20.551337</v>
      </c>
      <c r="F746" s="2">
        <v>21.686</v>
      </c>
      <c r="G746" s="2">
        <v>35.913649999999997</v>
      </c>
      <c r="H746" s="2">
        <v>13.400202</v>
      </c>
      <c r="I746" s="2">
        <v>18.040832000000002</v>
      </c>
      <c r="J746" s="2">
        <v>25.252268999999998</v>
      </c>
      <c r="K746" s="2">
        <v>28.728670000000001</v>
      </c>
      <c r="L746" s="2">
        <f>AVERAGE(D746:K746)</f>
        <v>22.573037124999995</v>
      </c>
      <c r="M746" s="2">
        <f xml:space="preserve"> _xlfn.STDEV.S(D746:K746) / SQRT(COUNT(D746:K746))</f>
        <v>2.5478648395515919</v>
      </c>
      <c r="N746" s="2">
        <f>M746*$N$2</f>
        <v>2.8514661930151259</v>
      </c>
    </row>
    <row r="747" spans="2:14" x14ac:dyDescent="0.55000000000000004">
      <c r="C747" s="2" t="s">
        <v>31</v>
      </c>
      <c r="D747" s="2">
        <v>0.18160899999999999</v>
      </c>
      <c r="E747" s="2">
        <v>0.111706</v>
      </c>
      <c r="F747" s="2">
        <v>1.6743999999999998E-2</v>
      </c>
      <c r="G747" s="2">
        <v>0.125418</v>
      </c>
      <c r="H747" s="2">
        <v>5.6633000000000003E-2</v>
      </c>
      <c r="I747" s="2">
        <v>8.8333999999999996E-2</v>
      </c>
      <c r="J747" s="2">
        <v>0.23249600000000001</v>
      </c>
      <c r="K747" s="2">
        <v>0.19747300000000001</v>
      </c>
      <c r="L747" s="2">
        <f>(1/COUNT(D747:K747))*SQRT(SUMSQ(D747:K747))</f>
        <v>5.0856763249683662E-2</v>
      </c>
    </row>
    <row r="748" spans="2:14" x14ac:dyDescent="0.55000000000000004">
      <c r="B748" s="2" t="s">
        <v>35</v>
      </c>
      <c r="C748" s="2" t="s">
        <v>22</v>
      </c>
      <c r="D748" s="2">
        <v>0.94783499999999998</v>
      </c>
      <c r="E748" s="2">
        <v>0.93504500000000002</v>
      </c>
      <c r="F748" s="2">
        <v>0.92442800000000003</v>
      </c>
      <c r="G748" s="2">
        <v>0.91916200000000003</v>
      </c>
      <c r="H748" s="2">
        <v>0.94798300000000002</v>
      </c>
      <c r="I748" s="2">
        <v>0.92820000000000003</v>
      </c>
      <c r="J748" s="2">
        <v>0.93881000000000003</v>
      </c>
      <c r="K748" s="2">
        <v>0.93000799999999995</v>
      </c>
      <c r="L748" s="2">
        <f>AVERAGE(D748:K748)</f>
        <v>0.93393387500000002</v>
      </c>
      <c r="M748" s="2">
        <f xml:space="preserve"> _xlfn.STDEV.S(D748:K748) / SQRT(COUNT(D748:K748))</f>
        <v>3.7140903300688175E-3</v>
      </c>
      <c r="N748" s="2">
        <f>M748*$N$2</f>
        <v>4.1566580964551882E-3</v>
      </c>
    </row>
    <row r="749" spans="2:14" x14ac:dyDescent="0.55000000000000004">
      <c r="C749" s="2" t="s">
        <v>23</v>
      </c>
      <c r="D749" s="2">
        <v>1.9799999999999999E-4</v>
      </c>
      <c r="E749" s="2">
        <v>3.9800000000000002E-4</v>
      </c>
      <c r="F749" s="2">
        <v>1.56E-4</v>
      </c>
      <c r="G749" s="2">
        <v>2.8699999999999998E-4</v>
      </c>
      <c r="H749" s="2">
        <v>1.9699999999999999E-4</v>
      </c>
      <c r="I749" s="2">
        <v>2.61E-4</v>
      </c>
      <c r="J749" s="2">
        <v>3.1399999999999999E-4</v>
      </c>
      <c r="K749" s="2">
        <v>3.6000000000000001E-5</v>
      </c>
      <c r="L749" s="2">
        <f>(1/COUNT(D749:K749))*SQRT(SUMSQ(D749:K749))</f>
        <v>8.9367132520854669E-5</v>
      </c>
    </row>
    <row r="750" spans="2:14" x14ac:dyDescent="0.55000000000000004">
      <c r="C750" s="2" t="s">
        <v>24</v>
      </c>
      <c r="D750" s="2">
        <v>0.31378800000000001</v>
      </c>
      <c r="E750" s="2">
        <v>0.34732099999999999</v>
      </c>
      <c r="F750" s="2">
        <v>0.37858900000000001</v>
      </c>
      <c r="G750" s="2">
        <v>0.39357500000000001</v>
      </c>
      <c r="H750" s="2">
        <v>0.31608000000000003</v>
      </c>
      <c r="I750" s="2">
        <v>0.37279899999999999</v>
      </c>
      <c r="J750" s="2">
        <v>0.33579900000000001</v>
      </c>
      <c r="K750" s="2">
        <v>0.36687199999999998</v>
      </c>
      <c r="L750" s="2">
        <f>AVERAGE(D750:K750)</f>
        <v>0.35310287500000004</v>
      </c>
      <c r="M750" s="2">
        <f xml:space="preserve"> _xlfn.STDEV.S(D750:K750) / SQRT(COUNT(D750:K750))</f>
        <v>1.0449084418942951E-2</v>
      </c>
      <c r="N750" s="2">
        <f>M750*$N$2</f>
        <v>1.1694188210478502E-2</v>
      </c>
    </row>
    <row r="751" spans="2:14" x14ac:dyDescent="0.55000000000000004">
      <c r="C751" s="2" t="s">
        <v>25</v>
      </c>
      <c r="D751" s="2">
        <v>5.6999999999999998E-4</v>
      </c>
      <c r="E751" s="2">
        <v>1.1659999999999999E-3</v>
      </c>
      <c r="F751" s="2">
        <v>3.1399999999999999E-4</v>
      </c>
      <c r="G751" s="2">
        <v>6.8300000000000001E-4</v>
      </c>
      <c r="H751" s="2">
        <v>5.5599999999999996E-4</v>
      </c>
      <c r="I751" s="2">
        <v>6.6100000000000002E-4</v>
      </c>
      <c r="J751" s="2">
        <v>8.5499999999999997E-4</v>
      </c>
      <c r="K751" s="2">
        <v>9.2E-5</v>
      </c>
      <c r="L751" s="2">
        <f>(1/COUNT(D751:K751))*SQRT(SUMSQ(D751:K751))</f>
        <v>2.4157966465536787E-4</v>
      </c>
    </row>
    <row r="752" spans="2:14" x14ac:dyDescent="0.55000000000000004">
      <c r="C752" s="2" t="s">
        <v>26</v>
      </c>
      <c r="D752" s="2">
        <v>0.638324</v>
      </c>
      <c r="E752" s="2">
        <v>0.73985000000000001</v>
      </c>
      <c r="F752" s="2">
        <v>0.58486800000000005</v>
      </c>
      <c r="G752" s="2">
        <v>0.68583700000000003</v>
      </c>
      <c r="H752" s="2">
        <v>0.63310599999999995</v>
      </c>
      <c r="I752" s="2">
        <v>0.61949799999999999</v>
      </c>
      <c r="J752" s="2">
        <v>0.690442</v>
      </c>
      <c r="K752" s="2">
        <v>0.55408800000000002</v>
      </c>
      <c r="L752" s="2">
        <f>AVERAGE(D752:K752)</f>
        <v>0.64325162499999999</v>
      </c>
      <c r="M752" s="2">
        <f xml:space="preserve"> _xlfn.STDEV.S(D752:K752) / SQRT(COUNT(D752:K752))</f>
        <v>2.1306413058662387E-2</v>
      </c>
      <c r="N752" s="2">
        <f>M752*$N$2</f>
        <v>2.3845266667239781E-2</v>
      </c>
    </row>
    <row r="753" spans="2:14" x14ac:dyDescent="0.55000000000000004">
      <c r="C753" s="2" t="s">
        <v>27</v>
      </c>
      <c r="D753" s="2">
        <v>5.1599999999999997E-4</v>
      </c>
      <c r="E753" s="2">
        <v>8.3699999999999996E-4</v>
      </c>
      <c r="F753" s="2">
        <v>1.4300000000000001E-4</v>
      </c>
      <c r="G753" s="2">
        <v>7.8299999999999995E-4</v>
      </c>
      <c r="H753" s="2">
        <v>4.5800000000000002E-4</v>
      </c>
      <c r="I753" s="2">
        <v>4.8999999999999998E-4</v>
      </c>
      <c r="J753" s="2">
        <v>6.6399999999999999E-4</v>
      </c>
      <c r="K753" s="2">
        <v>8.0000000000000007E-5</v>
      </c>
      <c r="L753" s="2">
        <f>(1/COUNT(D753:K753))*SQRT(SUMSQ(D753:K753))</f>
        <v>1.9754441747364058E-4</v>
      </c>
    </row>
    <row r="754" spans="2:14" x14ac:dyDescent="0.55000000000000004">
      <c r="C754" s="2" t="s">
        <v>28</v>
      </c>
      <c r="D754" s="2">
        <v>2.5204759999999999</v>
      </c>
      <c r="E754" s="2">
        <v>2.8047080000000002</v>
      </c>
      <c r="F754" s="2">
        <v>3.2645749999999998</v>
      </c>
      <c r="G754" s="2">
        <v>3.5610179999999998</v>
      </c>
      <c r="H754" s="2">
        <v>1.857599</v>
      </c>
      <c r="I754" s="2">
        <v>3.4190360000000002</v>
      </c>
      <c r="J754" s="2">
        <v>3.3716889999999999</v>
      </c>
      <c r="K754" s="2">
        <v>2.9000140000000001</v>
      </c>
      <c r="L754" s="2">
        <f>AVERAGE(D754:K754)</f>
        <v>2.9623893750000003</v>
      </c>
      <c r="M754" s="2">
        <f xml:space="preserve"> _xlfn.STDEV.S(D754:K754) / SQRT(COUNT(D754:K754))</f>
        <v>0.2013493771009143</v>
      </c>
      <c r="N754" s="2">
        <f>M754*$N$2</f>
        <v>0.22534199337236283</v>
      </c>
    </row>
    <row r="755" spans="2:14" x14ac:dyDescent="0.55000000000000004">
      <c r="C755" s="2" t="s">
        <v>29</v>
      </c>
      <c r="D755" s="2">
        <v>9.1999999999999998E-3</v>
      </c>
      <c r="E755" s="2">
        <v>5.4140000000000004E-3</v>
      </c>
      <c r="F755" s="2">
        <v>2.1589999999999999E-3</v>
      </c>
      <c r="G755" s="2">
        <v>9.299E-3</v>
      </c>
      <c r="H755" s="2">
        <v>4.235E-3</v>
      </c>
      <c r="I755" s="2">
        <v>1.0299000000000001E-2</v>
      </c>
      <c r="J755" s="2">
        <v>8.2830000000000004E-3</v>
      </c>
      <c r="K755" s="2">
        <v>1.3110000000000001E-3</v>
      </c>
      <c r="L755" s="2">
        <f>(1/COUNT(D755:K755))*SQRT(SUMSQ(D755:K755))</f>
        <v>2.4981728135279194E-3</v>
      </c>
    </row>
    <row r="756" spans="2:14" x14ac:dyDescent="0.55000000000000004">
      <c r="C756" s="2" t="s">
        <v>30</v>
      </c>
      <c r="D756" s="2">
        <v>16.194178000000001</v>
      </c>
      <c r="E756" s="2">
        <v>20.509298000000001</v>
      </c>
      <c r="F756" s="2">
        <v>21.725431</v>
      </c>
      <c r="G756" s="2">
        <v>33.166842000000003</v>
      </c>
      <c r="H756" s="2">
        <v>13.460276</v>
      </c>
      <c r="I756" s="2">
        <v>19.136337999999999</v>
      </c>
      <c r="J756" s="2">
        <v>26.521082</v>
      </c>
      <c r="K756" s="2">
        <v>49.001877</v>
      </c>
      <c r="L756" s="2">
        <f>AVERAGE(D756:K756)</f>
        <v>24.964415250000002</v>
      </c>
      <c r="M756" s="2">
        <f xml:space="preserve"> _xlfn.STDEV.S(D756:K756) / SQRT(COUNT(D756:K756))</f>
        <v>4.0555747297525651</v>
      </c>
      <c r="N756" s="2">
        <f>M756*$N$2</f>
        <v>4.5388334795542553</v>
      </c>
    </row>
    <row r="757" spans="2:14" x14ac:dyDescent="0.55000000000000004">
      <c r="C757" s="2" t="s">
        <v>31</v>
      </c>
      <c r="D757" s="2">
        <v>2.2369E-2</v>
      </c>
      <c r="E757" s="2">
        <v>5.0125999999999997E-2</v>
      </c>
      <c r="F757" s="2">
        <v>6.3940000000000004E-3</v>
      </c>
      <c r="G757" s="2">
        <v>9.7674999999999998E-2</v>
      </c>
      <c r="H757" s="2">
        <v>2.5786E-2</v>
      </c>
      <c r="I757" s="2">
        <v>3.7232000000000001E-2</v>
      </c>
      <c r="J757" s="2">
        <v>8.0803E-2</v>
      </c>
      <c r="K757" s="2">
        <v>4.793E-2</v>
      </c>
      <c r="L757" s="2">
        <f>(1/COUNT(D757:K757))*SQRT(SUMSQ(D757:K757))</f>
        <v>1.9150647111700298E-2</v>
      </c>
    </row>
    <row r="758" spans="2:14" x14ac:dyDescent="0.55000000000000004">
      <c r="B758" s="2" t="s">
        <v>45</v>
      </c>
      <c r="C758" s="2" t="s">
        <v>22</v>
      </c>
      <c r="D758" s="2">
        <v>0.94374100000000005</v>
      </c>
      <c r="E758" s="2">
        <v>0.92269699999999999</v>
      </c>
      <c r="F758" s="2">
        <v>0.919346</v>
      </c>
      <c r="G758" s="2">
        <v>0.92714399999999997</v>
      </c>
      <c r="H758" s="2">
        <v>0.95004299999999997</v>
      </c>
      <c r="I758" s="2">
        <v>0.92637400000000003</v>
      </c>
      <c r="J758" s="2">
        <v>0.93784900000000004</v>
      </c>
      <c r="K758" s="2">
        <v>0.92874599999999996</v>
      </c>
      <c r="L758" s="2">
        <f>AVERAGE(D758:K758)</f>
        <v>0.9319925</v>
      </c>
      <c r="M758" s="2">
        <f xml:space="preserve"> _xlfn.STDEV.S(D758:K758) / SQRT(COUNT(D758:K758))</f>
        <v>3.8034334441772125E-3</v>
      </c>
      <c r="N758" s="2">
        <f>M758*$N$2</f>
        <v>4.2566472581658295E-3</v>
      </c>
    </row>
    <row r="759" spans="2:14" x14ac:dyDescent="0.55000000000000004">
      <c r="C759" s="2" t="s">
        <v>23</v>
      </c>
      <c r="D759" s="2">
        <v>6.9800000000000005E-4</v>
      </c>
      <c r="E759" s="2">
        <v>1.4920000000000001E-3</v>
      </c>
      <c r="F759" s="2">
        <v>1.9780000000000002E-3</v>
      </c>
      <c r="G759" s="2">
        <v>2.0929999999999998E-3</v>
      </c>
      <c r="H759" s="2">
        <v>7.9900000000000001E-4</v>
      </c>
      <c r="I759" s="2">
        <v>1.1100000000000001E-3</v>
      </c>
      <c r="J759" s="2">
        <v>1.856E-3</v>
      </c>
      <c r="K759" s="2">
        <v>6.0700000000000001E-4</v>
      </c>
      <c r="L759" s="2">
        <f>(1/COUNT(D759:K759))*SQRT(SUMSQ(D759:K759))</f>
        <v>5.106687863723413E-4</v>
      </c>
    </row>
    <row r="760" spans="2:14" x14ac:dyDescent="0.55000000000000004">
      <c r="C760" s="2" t="s">
        <v>24</v>
      </c>
      <c r="D760" s="2">
        <v>0.32445499999999999</v>
      </c>
      <c r="E760" s="2">
        <v>0.37411100000000003</v>
      </c>
      <c r="F760" s="2">
        <v>0.39057199999999997</v>
      </c>
      <c r="G760" s="2">
        <v>0.36976500000000001</v>
      </c>
      <c r="H760" s="2">
        <v>0.30970999999999999</v>
      </c>
      <c r="I760" s="2">
        <v>0.37429499999999999</v>
      </c>
      <c r="J760" s="2">
        <v>0.33569599999999999</v>
      </c>
      <c r="K760" s="2">
        <v>0.36871300000000001</v>
      </c>
      <c r="L760" s="2">
        <f>AVERAGE(D760:K760)</f>
        <v>0.35591462499999998</v>
      </c>
      <c r="M760" s="2">
        <f xml:space="preserve"> _xlfn.STDEV.S(D760:K760) / SQRT(COUNT(D760:K760))</f>
        <v>1.0141040516030288E-2</v>
      </c>
      <c r="N760" s="2">
        <f>M760*$N$2</f>
        <v>1.1349438064597735E-2</v>
      </c>
    </row>
    <row r="761" spans="2:14" x14ac:dyDescent="0.55000000000000004">
      <c r="C761" s="2" t="s">
        <v>25</v>
      </c>
      <c r="D761" s="2">
        <v>2.0820000000000001E-3</v>
      </c>
      <c r="E761" s="2">
        <v>2.9719999999999998E-3</v>
      </c>
      <c r="F761" s="2">
        <v>4.5919999999999997E-3</v>
      </c>
      <c r="G761" s="2">
        <v>5.3210000000000002E-3</v>
      </c>
      <c r="H761" s="2">
        <v>2.2260000000000001E-3</v>
      </c>
      <c r="I761" s="2">
        <v>2.565E-3</v>
      </c>
      <c r="J761" s="2">
        <v>5.1060000000000003E-3</v>
      </c>
      <c r="K761" s="2">
        <v>1.6620000000000001E-3</v>
      </c>
      <c r="L761" s="2">
        <f>(1/COUNT(D761:K761))*SQRT(SUMSQ(D761:K761))</f>
        <v>1.2682098234322269E-3</v>
      </c>
    </row>
    <row r="762" spans="2:14" x14ac:dyDescent="0.55000000000000004">
      <c r="C762" s="2" t="s">
        <v>26</v>
      </c>
      <c r="D762" s="2">
        <v>0.62832100000000002</v>
      </c>
      <c r="E762" s="2">
        <v>0.72100699999999995</v>
      </c>
      <c r="F762" s="2">
        <v>0.57957899999999996</v>
      </c>
      <c r="G762" s="2">
        <v>0.69152000000000002</v>
      </c>
      <c r="H762" s="2">
        <v>0.63885499999999995</v>
      </c>
      <c r="I762" s="2">
        <v>0.62058500000000005</v>
      </c>
      <c r="J762" s="2">
        <v>0.69278700000000004</v>
      </c>
      <c r="K762" s="2">
        <v>0.55531699999999995</v>
      </c>
      <c r="L762" s="2">
        <f>AVERAGE(D762:K762)</f>
        <v>0.64099637499999995</v>
      </c>
      <c r="M762" s="2">
        <f xml:space="preserve"> _xlfn.STDEV.S(D762:K762) / SQRT(COUNT(D762:K762))</f>
        <v>2.0411625597523637E-2</v>
      </c>
      <c r="N762" s="2">
        <f>M762*$N$2</f>
        <v>2.2843857112163059E-2</v>
      </c>
    </row>
    <row r="763" spans="2:14" x14ac:dyDescent="0.55000000000000004">
      <c r="C763" s="2" t="s">
        <v>27</v>
      </c>
      <c r="D763" s="2">
        <v>2.2550000000000001E-3</v>
      </c>
      <c r="E763" s="2">
        <v>2.0699999999999998E-3</v>
      </c>
      <c r="F763" s="2">
        <v>1.3979999999999999E-3</v>
      </c>
      <c r="G763" s="2">
        <v>5.3080000000000002E-3</v>
      </c>
      <c r="H763" s="2">
        <v>1.6119999999999999E-3</v>
      </c>
      <c r="I763" s="2">
        <v>1.5950000000000001E-3</v>
      </c>
      <c r="J763" s="2">
        <v>3.4039999999999999E-3</v>
      </c>
      <c r="K763" s="2">
        <v>1.4840000000000001E-3</v>
      </c>
      <c r="L763" s="2">
        <f>(1/COUNT(D763:K763))*SQRT(SUMSQ(D763:K763))</f>
        <v>9.5550407181236024E-4</v>
      </c>
    </row>
    <row r="764" spans="2:14" x14ac:dyDescent="0.55000000000000004">
      <c r="C764" s="2" t="s">
        <v>28</v>
      </c>
      <c r="D764" s="2">
        <v>2.7955420000000002</v>
      </c>
      <c r="E764" s="2">
        <v>3.0557690000000002</v>
      </c>
      <c r="F764" s="2">
        <v>3.3071350000000002</v>
      </c>
      <c r="G764" s="2">
        <v>3.5758559999999999</v>
      </c>
      <c r="H764" s="2">
        <v>1.7968500000000001</v>
      </c>
      <c r="I764" s="2">
        <v>3.5923389999999999</v>
      </c>
      <c r="J764" s="2">
        <v>3.3781219999999998</v>
      </c>
      <c r="K764" s="2">
        <v>2.8197930000000002</v>
      </c>
      <c r="L764" s="2">
        <f>AVERAGE(D764:K764)</f>
        <v>3.0401757500000004</v>
      </c>
      <c r="M764" s="2">
        <f xml:space="preserve"> _xlfn.STDEV.S(D764:K764) / SQRT(COUNT(D764:K764))</f>
        <v>0.20838789347098927</v>
      </c>
      <c r="N764" s="2">
        <f>M764*$N$2</f>
        <v>0.23321921321805311</v>
      </c>
    </row>
    <row r="765" spans="2:14" x14ac:dyDescent="0.55000000000000004">
      <c r="C765" s="2" t="s">
        <v>29</v>
      </c>
      <c r="D765" s="2">
        <v>3.3048000000000001E-2</v>
      </c>
      <c r="E765" s="2">
        <v>4.5401999999999998E-2</v>
      </c>
      <c r="F765" s="2">
        <v>2.3758000000000001E-2</v>
      </c>
      <c r="G765" s="2">
        <v>9.3812000000000006E-2</v>
      </c>
      <c r="H765" s="2">
        <v>1.4829999999999999E-2</v>
      </c>
      <c r="I765" s="2">
        <v>5.7714000000000001E-2</v>
      </c>
      <c r="J765" s="2">
        <v>5.1948000000000001E-2</v>
      </c>
      <c r="K765" s="2">
        <v>3.0096999999999999E-2</v>
      </c>
      <c r="L765" s="2">
        <f>(1/COUNT(D765:K765))*SQRT(SUMSQ(D765:K765))</f>
        <v>1.7532962093315122E-2</v>
      </c>
    </row>
    <row r="766" spans="2:14" x14ac:dyDescent="0.55000000000000004">
      <c r="C766" s="2" t="s">
        <v>30</v>
      </c>
      <c r="D766" s="2">
        <v>16.986115000000002</v>
      </c>
      <c r="E766" s="2">
        <v>20.580085</v>
      </c>
      <c r="F766" s="2">
        <v>21.750313999999999</v>
      </c>
      <c r="G766" s="2">
        <v>29.190359999999998</v>
      </c>
      <c r="H766" s="2">
        <v>13.132194999999999</v>
      </c>
      <c r="I766" s="2">
        <v>19.605485000000002</v>
      </c>
      <c r="J766" s="2">
        <v>25.407928999999999</v>
      </c>
      <c r="K766" s="2">
        <v>42.094799000000002</v>
      </c>
      <c r="L766" s="2">
        <f>AVERAGE(D766:K766)</f>
        <v>23.593410249999998</v>
      </c>
      <c r="M766" s="2">
        <f xml:space="preserve"> _xlfn.STDEV.S(D766:K766) / SQRT(COUNT(D766:K766))</f>
        <v>3.1577392629427656</v>
      </c>
      <c r="N766" s="2">
        <f>M766*$N$2</f>
        <v>3.5340127211074814</v>
      </c>
    </row>
    <row r="767" spans="2:14" x14ac:dyDescent="0.55000000000000004">
      <c r="C767" s="2" t="s">
        <v>31</v>
      </c>
      <c r="D767" s="2">
        <v>9.1028999999999999E-2</v>
      </c>
      <c r="E767" s="2">
        <v>0.23494399999999999</v>
      </c>
      <c r="F767" s="2">
        <v>2.9985999999999999E-2</v>
      </c>
      <c r="G767" s="2">
        <v>0.29090500000000002</v>
      </c>
      <c r="H767" s="2">
        <v>0.117353</v>
      </c>
      <c r="I767" s="2">
        <v>9.3587000000000004E-2</v>
      </c>
      <c r="J767" s="2">
        <v>0.300674</v>
      </c>
      <c r="K767" s="2">
        <v>1.0135240000000001</v>
      </c>
      <c r="L767" s="2">
        <f>(1/COUNT(D767:K767))*SQRT(SUMSQ(D767:K767))</f>
        <v>0.14192734977071017</v>
      </c>
    </row>
    <row r="768" spans="2:14" x14ac:dyDescent="0.55000000000000004">
      <c r="B768" s="2" t="s">
        <v>46</v>
      </c>
      <c r="C768" s="2" t="s">
        <v>22</v>
      </c>
      <c r="L768" s="2" t="e">
        <f>AVERAGE(D768:K768)</f>
        <v>#DIV/0!</v>
      </c>
      <c r="M768" s="2" t="e">
        <f xml:space="preserve"> _xlfn.STDEV.S(D768:K768) / SQRT(COUNT(D768:K768))</f>
        <v>#DIV/0!</v>
      </c>
      <c r="N768" s="2" t="e">
        <f>M768*$N$2</f>
        <v>#DIV/0!</v>
      </c>
    </row>
    <row r="769" spans="2:14" x14ac:dyDescent="0.55000000000000004">
      <c r="C769" s="2" t="s">
        <v>23</v>
      </c>
      <c r="L769" s="2" t="e">
        <f>(1/COUNT(D769:K769))*SQRT(SUMSQ(D769:K769))</f>
        <v>#DIV/0!</v>
      </c>
    </row>
    <row r="770" spans="2:14" x14ac:dyDescent="0.55000000000000004">
      <c r="C770" s="2" t="s">
        <v>24</v>
      </c>
      <c r="L770" s="2" t="e">
        <f>AVERAGE(D770:K770)</f>
        <v>#DIV/0!</v>
      </c>
      <c r="M770" s="2" t="e">
        <f xml:space="preserve"> _xlfn.STDEV.S(D770:K770) / SQRT(COUNT(D770:K770))</f>
        <v>#DIV/0!</v>
      </c>
      <c r="N770" s="2" t="e">
        <f>M770*$N$2</f>
        <v>#DIV/0!</v>
      </c>
    </row>
    <row r="771" spans="2:14" x14ac:dyDescent="0.55000000000000004">
      <c r="C771" s="2" t="s">
        <v>25</v>
      </c>
      <c r="L771" s="2" t="e">
        <f>(1/COUNT(D771:K771))*SQRT(SUMSQ(D771:K771))</f>
        <v>#DIV/0!</v>
      </c>
    </row>
    <row r="772" spans="2:14" x14ac:dyDescent="0.55000000000000004">
      <c r="C772" s="2" t="s">
        <v>26</v>
      </c>
      <c r="L772" s="2" t="e">
        <f>AVERAGE(D772:K772)</f>
        <v>#DIV/0!</v>
      </c>
      <c r="M772" s="2" t="e">
        <f xml:space="preserve"> _xlfn.STDEV.S(D772:K772) / SQRT(COUNT(D772:K772))</f>
        <v>#DIV/0!</v>
      </c>
      <c r="N772" s="2" t="e">
        <f>M772*$N$2</f>
        <v>#DIV/0!</v>
      </c>
    </row>
    <row r="773" spans="2:14" x14ac:dyDescent="0.55000000000000004">
      <c r="C773" s="2" t="s">
        <v>27</v>
      </c>
      <c r="L773" s="2" t="e">
        <f>(1/COUNT(D773:K773))*SQRT(SUMSQ(D773:K773))</f>
        <v>#DIV/0!</v>
      </c>
    </row>
    <row r="774" spans="2:14" x14ac:dyDescent="0.55000000000000004">
      <c r="C774" s="2" t="s">
        <v>28</v>
      </c>
      <c r="L774" s="2" t="e">
        <f>AVERAGE(D774:K774)</f>
        <v>#DIV/0!</v>
      </c>
      <c r="M774" s="2" t="e">
        <f xml:space="preserve"> _xlfn.STDEV.S(D774:K774) / SQRT(COUNT(D774:K774))</f>
        <v>#DIV/0!</v>
      </c>
      <c r="N774" s="2" t="e">
        <f>M774*$N$2</f>
        <v>#DIV/0!</v>
      </c>
    </row>
    <row r="775" spans="2:14" x14ac:dyDescent="0.55000000000000004">
      <c r="C775" s="2" t="s">
        <v>29</v>
      </c>
      <c r="L775" s="2" t="e">
        <f>(1/COUNT(D775:K775))*SQRT(SUMSQ(D775:K775))</f>
        <v>#DIV/0!</v>
      </c>
    </row>
    <row r="776" spans="2:14" x14ac:dyDescent="0.55000000000000004">
      <c r="C776" s="2" t="s">
        <v>30</v>
      </c>
      <c r="L776" s="2" t="e">
        <f>AVERAGE(D776:K776)</f>
        <v>#DIV/0!</v>
      </c>
      <c r="M776" s="2" t="e">
        <f xml:space="preserve"> _xlfn.STDEV.S(D776:K776) / SQRT(COUNT(D776:K776))</f>
        <v>#DIV/0!</v>
      </c>
      <c r="N776" s="2" t="e">
        <f>M776*$N$2</f>
        <v>#DIV/0!</v>
      </c>
    </row>
    <row r="777" spans="2:14" x14ac:dyDescent="0.55000000000000004">
      <c r="C777" s="2" t="s">
        <v>31</v>
      </c>
      <c r="L777" s="2" t="e">
        <f>(1/COUNT(D777:K777))*SQRT(SUMSQ(D777:K777))</f>
        <v>#DIV/0!</v>
      </c>
    </row>
    <row r="778" spans="2:14" x14ac:dyDescent="0.55000000000000004">
      <c r="B778" s="2" t="s">
        <v>36</v>
      </c>
      <c r="C778" s="2" t="s">
        <v>22</v>
      </c>
      <c r="D778" s="2">
        <v>0.93717799999999996</v>
      </c>
      <c r="E778" s="2">
        <v>0.92433200000000004</v>
      </c>
      <c r="F778" s="2">
        <v>0.920983</v>
      </c>
      <c r="G778" s="2">
        <v>0.94503199999999998</v>
      </c>
      <c r="H778" s="2">
        <v>0.94901500000000005</v>
      </c>
      <c r="I778" s="2">
        <v>0.92475399999999996</v>
      </c>
      <c r="J778" s="2">
        <v>0.93429200000000001</v>
      </c>
      <c r="K778" s="2">
        <v>0.93152800000000002</v>
      </c>
      <c r="L778" s="2">
        <f>AVERAGE(D778:K778)</f>
        <v>0.93338925000000006</v>
      </c>
      <c r="M778" s="2">
        <f xml:space="preserve"> _xlfn.STDEV.S(D778:K778) / SQRT(COUNT(D778:K778))</f>
        <v>3.5578582178347547E-3</v>
      </c>
      <c r="N778" s="2">
        <f>M778*$N$2</f>
        <v>3.9818095019052598E-3</v>
      </c>
    </row>
    <row r="779" spans="2:14" x14ac:dyDescent="0.55000000000000004">
      <c r="C779" s="2" t="s">
        <v>24</v>
      </c>
      <c r="D779" s="2">
        <v>0.34373399999999998</v>
      </c>
      <c r="E779" s="2">
        <v>0.37407899999999999</v>
      </c>
      <c r="F779" s="2">
        <v>0.38612600000000002</v>
      </c>
      <c r="G779" s="2">
        <v>0.32320599999999999</v>
      </c>
      <c r="H779" s="2">
        <v>0.31282399999999999</v>
      </c>
      <c r="I779" s="2">
        <v>0.37885799999999997</v>
      </c>
      <c r="J779" s="2">
        <v>0.345113</v>
      </c>
      <c r="K779" s="2">
        <v>0.36241400000000001</v>
      </c>
      <c r="L779" s="2">
        <f t="shared" ref="L779:L787" si="34">AVERAGE(D779:K779)</f>
        <v>0.35329425000000003</v>
      </c>
      <c r="M779" s="2">
        <f t="shared" ref="M779:M795" si="35" xml:space="preserve"> _xlfn.STDEV.S(D779:K779) / SQRT(COUNT(D779:K779))</f>
        <v>9.3999239638832034E-3</v>
      </c>
      <c r="N779" s="2">
        <f t="shared" ref="N779:N795" si="36">M779*$N$2</f>
        <v>1.0520010710082623E-2</v>
      </c>
    </row>
    <row r="780" spans="2:14" x14ac:dyDescent="0.55000000000000004">
      <c r="C780" s="2" t="s">
        <v>26</v>
      </c>
      <c r="D780" s="2">
        <v>0.60886200000000001</v>
      </c>
      <c r="E780" s="2">
        <v>0.71897299999999997</v>
      </c>
      <c r="F780" s="2">
        <v>0.580766</v>
      </c>
      <c r="G780" s="2">
        <v>0.72829699999999997</v>
      </c>
      <c r="H780" s="2">
        <v>0.63619899999999996</v>
      </c>
      <c r="I780" s="2">
        <v>0.61762499999999998</v>
      </c>
      <c r="J780" s="2">
        <v>0.68605300000000002</v>
      </c>
      <c r="K780" s="2">
        <v>0.55879000000000001</v>
      </c>
      <c r="L780" s="2">
        <f t="shared" si="34"/>
        <v>0.64194562499999996</v>
      </c>
      <c r="M780" s="2">
        <f t="shared" si="35"/>
        <v>2.2245418557165473E-2</v>
      </c>
      <c r="N780" s="2">
        <f t="shared" si="36"/>
        <v>2.4896163242471021E-2</v>
      </c>
    </row>
    <row r="781" spans="2:14" x14ac:dyDescent="0.55000000000000004">
      <c r="C781" s="2" t="s">
        <v>28</v>
      </c>
      <c r="D781" s="2">
        <v>3.0949900000000001</v>
      </c>
      <c r="E781" s="2">
        <v>2.9467989999999999</v>
      </c>
      <c r="F781" s="2">
        <v>3.3000569999999998</v>
      </c>
      <c r="G781" s="2">
        <v>2.9340670000000002</v>
      </c>
      <c r="H781" s="2">
        <v>1.809091</v>
      </c>
      <c r="I781" s="2">
        <v>3.6098210000000002</v>
      </c>
      <c r="J781" s="2">
        <v>3.4676629999999999</v>
      </c>
      <c r="K781" s="2">
        <v>2.709927</v>
      </c>
      <c r="L781" s="2">
        <f t="shared" si="34"/>
        <v>2.9840518750000005</v>
      </c>
      <c r="M781" s="2">
        <f t="shared" si="35"/>
        <v>0.19807993488970102</v>
      </c>
      <c r="N781" s="2">
        <f t="shared" si="36"/>
        <v>0.22168296727703352</v>
      </c>
    </row>
    <row r="782" spans="2:14" x14ac:dyDescent="0.55000000000000004">
      <c r="C782" s="2" t="s">
        <v>30</v>
      </c>
      <c r="D782" s="2">
        <v>17.301606</v>
      </c>
      <c r="E782" s="2">
        <v>19.929815000000001</v>
      </c>
      <c r="F782" s="2">
        <v>21.711129</v>
      </c>
      <c r="G782" s="2">
        <v>26.30799</v>
      </c>
      <c r="H782" s="2">
        <v>13.162971000000001</v>
      </c>
      <c r="I782" s="2">
        <v>19.248685999999999</v>
      </c>
      <c r="J782" s="2">
        <v>26.212876000000001</v>
      </c>
      <c r="K782" s="2">
        <v>39.615220999999998</v>
      </c>
      <c r="L782" s="2">
        <f t="shared" si="34"/>
        <v>22.936286749999997</v>
      </c>
      <c r="M782" s="2">
        <f t="shared" si="35"/>
        <v>2.8400731841867493</v>
      </c>
      <c r="N782" s="2">
        <f t="shared" si="36"/>
        <v>3.1784938292969258</v>
      </c>
    </row>
    <row r="783" spans="2:14" x14ac:dyDescent="0.55000000000000004">
      <c r="B783" s="2" t="s">
        <v>37</v>
      </c>
      <c r="C783" s="2" t="s">
        <v>22</v>
      </c>
      <c r="D783" s="2">
        <v>0.92270099999999999</v>
      </c>
      <c r="E783" s="2">
        <v>0.88172300000000003</v>
      </c>
      <c r="F783" s="2">
        <v>0.89128700000000005</v>
      </c>
      <c r="G783" s="2">
        <v>0.90485899999999997</v>
      </c>
      <c r="H783" s="2">
        <v>0.91578199999999998</v>
      </c>
      <c r="I783" s="2">
        <v>0.89192099999999996</v>
      </c>
      <c r="J783" s="2">
        <v>0.91195899999999996</v>
      </c>
      <c r="K783" s="2">
        <v>0.90773800000000004</v>
      </c>
      <c r="L783" s="2">
        <f t="shared" si="34"/>
        <v>0.90349625000000011</v>
      </c>
      <c r="M783" s="2">
        <f t="shared" si="35"/>
        <v>4.9431705367463394E-3</v>
      </c>
      <c r="N783" s="2">
        <f t="shared" si="36"/>
        <v>5.5321944292466094E-3</v>
      </c>
    </row>
    <row r="784" spans="2:14" x14ac:dyDescent="0.55000000000000004">
      <c r="C784" s="2" t="s">
        <v>24</v>
      </c>
      <c r="D784" s="2">
        <v>0.38319500000000001</v>
      </c>
      <c r="E784" s="2">
        <v>0.463532</v>
      </c>
      <c r="F784" s="2">
        <v>0.45169999999999999</v>
      </c>
      <c r="G784" s="2">
        <v>0.42498799999999998</v>
      </c>
      <c r="H784" s="2">
        <v>0.39837400000000001</v>
      </c>
      <c r="I784" s="2">
        <v>0.45423200000000002</v>
      </c>
      <c r="J784" s="2">
        <v>0.40312100000000001</v>
      </c>
      <c r="K784" s="2">
        <v>0.41991899999999999</v>
      </c>
      <c r="L784" s="2">
        <f t="shared" si="34"/>
        <v>0.42488262500000001</v>
      </c>
      <c r="M784" s="2">
        <f t="shared" si="35"/>
        <v>1.036228901204731E-2</v>
      </c>
      <c r="N784" s="2">
        <f t="shared" si="36"/>
        <v>1.1597050338551407E-2</v>
      </c>
    </row>
    <row r="785" spans="1:14" x14ac:dyDescent="0.55000000000000004">
      <c r="C785" s="2" t="s">
        <v>26</v>
      </c>
      <c r="D785" s="2">
        <v>0.57494199999999995</v>
      </c>
      <c r="E785" s="2">
        <v>0.65885899999999997</v>
      </c>
      <c r="F785" s="2">
        <v>0.55079800000000001</v>
      </c>
      <c r="G785" s="2">
        <v>0.66275300000000004</v>
      </c>
      <c r="H785" s="2">
        <v>0.55816100000000002</v>
      </c>
      <c r="I785" s="2">
        <v>0.57104100000000002</v>
      </c>
      <c r="J785" s="2">
        <v>0.63974299999999995</v>
      </c>
      <c r="K785" s="2">
        <v>0.52262600000000003</v>
      </c>
      <c r="L785" s="2">
        <f t="shared" si="34"/>
        <v>0.59236537499999997</v>
      </c>
      <c r="M785" s="2">
        <f t="shared" si="35"/>
        <v>1.8964312628251344E-2</v>
      </c>
      <c r="N785" s="2">
        <f t="shared" si="36"/>
        <v>2.1224083591006183E-2</v>
      </c>
    </row>
    <row r="786" spans="1:14" x14ac:dyDescent="0.55000000000000004">
      <c r="C786" s="2" t="s">
        <v>28</v>
      </c>
      <c r="D786" s="2">
        <v>3.6850260000000001</v>
      </c>
      <c r="E786" s="2">
        <v>4.1604929999999998</v>
      </c>
      <c r="F786" s="2">
        <v>3.8285309999999999</v>
      </c>
      <c r="G786" s="2">
        <v>3.9555929999999999</v>
      </c>
      <c r="H786" s="2">
        <v>2.7511139999999998</v>
      </c>
      <c r="I786" s="2">
        <v>5.7191219999999996</v>
      </c>
      <c r="J786" s="2">
        <v>4.2889920000000004</v>
      </c>
      <c r="K786" s="2">
        <v>3.452159</v>
      </c>
      <c r="L786" s="2">
        <f t="shared" si="34"/>
        <v>3.9801287499999995</v>
      </c>
      <c r="M786" s="2">
        <f t="shared" si="35"/>
        <v>0.30035467486514705</v>
      </c>
      <c r="N786" s="2">
        <f t="shared" si="36"/>
        <v>0.33614467612133886</v>
      </c>
    </row>
    <row r="787" spans="1:14" x14ac:dyDescent="0.55000000000000004">
      <c r="C787" s="2" t="s">
        <v>30</v>
      </c>
      <c r="D787" s="2">
        <v>18.360147000000001</v>
      </c>
      <c r="E787" s="2">
        <v>27.113028</v>
      </c>
      <c r="F787" s="2">
        <v>23.116685</v>
      </c>
      <c r="G787" s="2">
        <v>36.138509999999997</v>
      </c>
      <c r="H787" s="2">
        <v>19.787364</v>
      </c>
      <c r="I787" s="2">
        <v>25.942540999999999</v>
      </c>
      <c r="J787" s="2">
        <v>33.124332000000003</v>
      </c>
      <c r="K787" s="2">
        <v>64.770640999999998</v>
      </c>
      <c r="L787" s="2">
        <f t="shared" si="34"/>
        <v>31.044156000000001</v>
      </c>
      <c r="M787" s="2">
        <f t="shared" si="35"/>
        <v>5.2774450243859752</v>
      </c>
      <c r="N787" s="2">
        <f t="shared" si="36"/>
        <v>5.9063007734668256</v>
      </c>
    </row>
    <row r="788" spans="1:14" x14ac:dyDescent="0.55000000000000004">
      <c r="B788" s="2" t="s">
        <v>39</v>
      </c>
      <c r="C788" s="2" t="s">
        <v>22</v>
      </c>
      <c r="D788" s="2">
        <v>0.94684400000000002</v>
      </c>
      <c r="E788" s="2">
        <v>0.950654</v>
      </c>
      <c r="F788" s="2">
        <v>0.92741499999999999</v>
      </c>
      <c r="G788" s="2">
        <v>0.915493</v>
      </c>
      <c r="H788" s="2">
        <v>0.95253399999999999</v>
      </c>
      <c r="I788" s="2">
        <v>0.93838500000000002</v>
      </c>
      <c r="J788" s="2">
        <v>0.94680299999999995</v>
      </c>
      <c r="K788" s="2">
        <v>0.93140400000000001</v>
      </c>
      <c r="L788" s="2">
        <f t="shared" ref="L788:L796" si="37">AVERAGE(D788:K788)</f>
        <v>0.93869150000000001</v>
      </c>
      <c r="M788" s="2">
        <f t="shared" si="35"/>
        <v>4.6010622880560325E-3</v>
      </c>
      <c r="N788" s="2">
        <f t="shared" si="36"/>
        <v>5.1493208598371327E-3</v>
      </c>
    </row>
    <row r="789" spans="1:14" x14ac:dyDescent="0.55000000000000004">
      <c r="C789" s="2" t="s">
        <v>24</v>
      </c>
      <c r="D789" s="2">
        <v>0.317436</v>
      </c>
      <c r="E789" s="2">
        <v>0.30670999999999998</v>
      </c>
      <c r="F789" s="2">
        <v>0.37256699999999998</v>
      </c>
      <c r="G789" s="2">
        <v>0.40176400000000001</v>
      </c>
      <c r="H789" s="2">
        <v>0.30332999999999999</v>
      </c>
      <c r="I789" s="2">
        <v>0.34574199999999999</v>
      </c>
      <c r="J789" s="2">
        <v>0.31674200000000002</v>
      </c>
      <c r="K789" s="2">
        <v>0.36222399999999999</v>
      </c>
      <c r="L789" s="2">
        <f t="shared" si="37"/>
        <v>0.340814375</v>
      </c>
      <c r="M789" s="2">
        <f t="shared" si="35"/>
        <v>1.2606654940287773E-2</v>
      </c>
      <c r="N789" s="2">
        <f t="shared" si="36"/>
        <v>1.4108852954524947E-2</v>
      </c>
    </row>
    <row r="790" spans="1:14" x14ac:dyDescent="0.55000000000000004">
      <c r="C790" s="2" t="s">
        <v>26</v>
      </c>
      <c r="D790" s="2">
        <v>0.63389799999999996</v>
      </c>
      <c r="E790" s="2">
        <v>0.77008399999999999</v>
      </c>
      <c r="F790" s="2">
        <v>0.58611100000000005</v>
      </c>
      <c r="G790" s="2">
        <v>0.68293099999999995</v>
      </c>
      <c r="H790" s="2">
        <v>0.64366199999999996</v>
      </c>
      <c r="I790" s="2">
        <v>0.64195100000000005</v>
      </c>
      <c r="J790" s="2">
        <v>0.70518599999999998</v>
      </c>
      <c r="K790" s="2">
        <v>0.56187799999999999</v>
      </c>
      <c r="L790" s="2">
        <f t="shared" si="37"/>
        <v>0.65321262499999999</v>
      </c>
      <c r="M790" s="2">
        <f t="shared" si="35"/>
        <v>2.3405992437787543E-2</v>
      </c>
      <c r="N790" s="2">
        <f t="shared" si="36"/>
        <v>2.6195030095106982E-2</v>
      </c>
    </row>
    <row r="791" spans="1:14" x14ac:dyDescent="0.55000000000000004">
      <c r="C791" s="2" t="s">
        <v>28</v>
      </c>
      <c r="D791" s="2">
        <v>2.5504319999999998</v>
      </c>
      <c r="E791" s="2">
        <v>2.607081</v>
      </c>
      <c r="F791" s="2">
        <v>3.2459229999999999</v>
      </c>
      <c r="G791" s="2">
        <v>3.670264</v>
      </c>
      <c r="H791" s="2">
        <v>1.759363</v>
      </c>
      <c r="I791" s="2">
        <v>3.1478100000000002</v>
      </c>
      <c r="J791" s="2">
        <v>3.2377919999999998</v>
      </c>
      <c r="K791" s="2">
        <v>2.7452320000000001</v>
      </c>
      <c r="L791" s="2">
        <f t="shared" si="37"/>
        <v>2.8704871249999999</v>
      </c>
      <c r="M791" s="2">
        <f t="shared" si="35"/>
        <v>0.20764494642473225</v>
      </c>
      <c r="N791" s="2">
        <f t="shared" si="36"/>
        <v>0.23238773724934547</v>
      </c>
    </row>
    <row r="792" spans="1:14" x14ac:dyDescent="0.55000000000000004">
      <c r="C792" s="2" t="s">
        <v>30</v>
      </c>
      <c r="D792" s="2">
        <v>16.191787999999999</v>
      </c>
      <c r="E792" s="2">
        <v>21.059262</v>
      </c>
      <c r="F792" s="2">
        <v>21.937456999999998</v>
      </c>
      <c r="G792" s="2">
        <v>34.374288</v>
      </c>
      <c r="H792" s="2">
        <v>12.754633</v>
      </c>
      <c r="I792" s="2">
        <v>19.968692000000001</v>
      </c>
      <c r="J792" s="2">
        <v>25.160852999999999</v>
      </c>
      <c r="K792" s="2">
        <v>31.392723</v>
      </c>
      <c r="L792" s="2">
        <f t="shared" si="37"/>
        <v>22.854961999999997</v>
      </c>
      <c r="M792" s="2">
        <f t="shared" si="35"/>
        <v>2.5694524492504831</v>
      </c>
      <c r="N792" s="2">
        <f t="shared" si="36"/>
        <v>2.8756261634691427</v>
      </c>
    </row>
    <row r="793" spans="1:14" x14ac:dyDescent="0.55000000000000004">
      <c r="B793" s="2" t="s">
        <v>61</v>
      </c>
      <c r="C793" s="2" t="s">
        <v>22</v>
      </c>
      <c r="D793" s="2">
        <v>0.91420900000000005</v>
      </c>
      <c r="E793" s="2">
        <v>0.86679700000000004</v>
      </c>
      <c r="F793" s="2">
        <v>0.87150899999999998</v>
      </c>
      <c r="G793" s="2">
        <v>0.91687700000000005</v>
      </c>
      <c r="H793" s="2">
        <v>0.89385700000000001</v>
      </c>
      <c r="I793" s="2">
        <v>0.87905100000000003</v>
      </c>
      <c r="J793" s="2">
        <v>0.90364999999999995</v>
      </c>
      <c r="K793" s="2">
        <v>0.88392199999999999</v>
      </c>
      <c r="L793" s="2">
        <f t="shared" si="37"/>
        <v>0.89123399999999997</v>
      </c>
      <c r="M793" s="2">
        <f t="shared" si="35"/>
        <v>6.7275880389206814E-3</v>
      </c>
      <c r="N793" s="2">
        <f t="shared" si="36"/>
        <v>7.5292415656128082E-3</v>
      </c>
    </row>
    <row r="794" spans="1:14" x14ac:dyDescent="0.55000000000000004">
      <c r="C794" s="2" t="s">
        <v>24</v>
      </c>
      <c r="D794" s="2">
        <v>0.40723199999999998</v>
      </c>
      <c r="E794" s="2">
        <v>0.50047799999999998</v>
      </c>
      <c r="F794" s="2">
        <v>0.50001399999999996</v>
      </c>
      <c r="G794" s="2">
        <v>0.385629</v>
      </c>
      <c r="H794" s="2">
        <v>0.454266</v>
      </c>
      <c r="I794" s="2">
        <v>0.48697800000000002</v>
      </c>
      <c r="J794" s="2">
        <v>0.426703</v>
      </c>
      <c r="K794" s="2">
        <v>0.47686499999999998</v>
      </c>
      <c r="L794" s="2">
        <f t="shared" si="37"/>
        <v>0.45477062499999998</v>
      </c>
      <c r="M794" s="2">
        <f t="shared" si="35"/>
        <v>1.5520801086120221E-2</v>
      </c>
      <c r="N794" s="2">
        <f t="shared" si="36"/>
        <v>1.7370246215012417E-2</v>
      </c>
    </row>
    <row r="795" spans="1:14" x14ac:dyDescent="0.55000000000000004">
      <c r="C795" s="2" t="s">
        <v>26</v>
      </c>
      <c r="D795" s="2">
        <v>0.55907600000000002</v>
      </c>
      <c r="E795" s="2">
        <v>0.64700899999999995</v>
      </c>
      <c r="F795" s="2">
        <v>0.52777099999999999</v>
      </c>
      <c r="G795" s="2">
        <v>0.68228699999999998</v>
      </c>
      <c r="H795" s="2">
        <v>0.51710199999999995</v>
      </c>
      <c r="I795" s="2">
        <v>0.563612</v>
      </c>
      <c r="J795" s="2">
        <v>0.62680499999999995</v>
      </c>
      <c r="K795" s="2">
        <v>0.47615000000000002</v>
      </c>
      <c r="L795" s="2">
        <f t="shared" si="37"/>
        <v>0.57497649999999989</v>
      </c>
      <c r="M795" s="2">
        <f t="shared" si="35"/>
        <v>2.5041711532247421E-2</v>
      </c>
      <c r="N795" s="2">
        <f t="shared" si="36"/>
        <v>2.8025660051106741E-2</v>
      </c>
    </row>
    <row r="796" spans="1:14" ht="13.5" customHeight="1" x14ac:dyDescent="0.55000000000000004">
      <c r="A796" s="2" t="s">
        <v>20</v>
      </c>
      <c r="B796" s="2" t="s">
        <v>21</v>
      </c>
      <c r="C796" s="2" t="s">
        <v>22</v>
      </c>
      <c r="D796" s="2">
        <v>0.95467199999999997</v>
      </c>
      <c r="E796" s="2">
        <v>0.94957499999999995</v>
      </c>
      <c r="F796" s="2">
        <v>0.92932700000000001</v>
      </c>
      <c r="G796" s="2">
        <v>0.92326200000000003</v>
      </c>
      <c r="H796" s="2">
        <v>0.95343500000000003</v>
      </c>
      <c r="I796" s="2">
        <v>0.93780600000000003</v>
      </c>
      <c r="J796" s="2">
        <v>0.94548100000000002</v>
      </c>
      <c r="K796" s="2">
        <v>0.93001900000000004</v>
      </c>
      <c r="L796" s="2">
        <f t="shared" si="37"/>
        <v>0.94044712499999994</v>
      </c>
      <c r="M796" s="2">
        <f xml:space="preserve"> _xlfn.STDEV.S(D796:K796) / SQRT(COUNT(D796:K796))</f>
        <v>4.2560817805544805E-3</v>
      </c>
      <c r="N796" s="2">
        <f>M796*$N$2</f>
        <v>4.7632327757600344E-3</v>
      </c>
    </row>
    <row r="797" spans="1:14" x14ac:dyDescent="0.55000000000000004">
      <c r="A797" s="2">
        <v>1.667</v>
      </c>
      <c r="C797" s="2" t="s">
        <v>23</v>
      </c>
      <c r="D797" s="2">
        <v>1.11E-4</v>
      </c>
      <c r="E797" s="2">
        <v>9.4899999999999997E-4</v>
      </c>
      <c r="F797" s="2">
        <v>7.9100000000000004E-4</v>
      </c>
      <c r="G797" s="2">
        <v>7.7700000000000002E-4</v>
      </c>
      <c r="H797" s="2">
        <v>1.6200000000000001E-4</v>
      </c>
      <c r="I797" s="2">
        <v>6.2699999999999995E-4</v>
      </c>
      <c r="J797" s="2">
        <v>6.5200000000000002E-4</v>
      </c>
      <c r="K797" s="2">
        <v>4.8000000000000001E-5</v>
      </c>
      <c r="L797" s="2">
        <f>(1/COUNT(D797:K797))*SQRT(SUMSQ(D797:K797))</f>
        <v>2.161131431102699E-4</v>
      </c>
    </row>
    <row r="798" spans="1:14" x14ac:dyDescent="0.55000000000000004">
      <c r="C798" s="2" t="s">
        <v>24</v>
      </c>
      <c r="D798" s="2">
        <v>0.29541299999999998</v>
      </c>
      <c r="E798" s="2">
        <v>0.31025399999999997</v>
      </c>
      <c r="F798" s="2">
        <v>0.367842</v>
      </c>
      <c r="G798" s="2">
        <v>0.38386900000000002</v>
      </c>
      <c r="H798" s="2">
        <v>0.30044300000000002</v>
      </c>
      <c r="I798" s="2">
        <v>0.34780800000000001</v>
      </c>
      <c r="J798" s="2">
        <v>0.31923200000000002</v>
      </c>
      <c r="K798" s="2">
        <v>0.36706100000000003</v>
      </c>
      <c r="L798" s="2">
        <f>AVERAGE(D798:K798)</f>
        <v>0.33649024999999999</v>
      </c>
      <c r="M798" s="2">
        <f xml:space="preserve"> _xlfn.STDEV.S(D798:K798) / SQRT(COUNT(D798:K798))</f>
        <v>1.214736384357587E-2</v>
      </c>
      <c r="N798" s="2">
        <f>M798*$N$2</f>
        <v>1.3594833131064719E-2</v>
      </c>
    </row>
    <row r="799" spans="1:14" x14ac:dyDescent="0.55000000000000004">
      <c r="C799" s="2" t="s">
        <v>25</v>
      </c>
      <c r="D799" s="2">
        <v>3.21E-4</v>
      </c>
      <c r="E799" s="2">
        <v>3.0010000000000002E-3</v>
      </c>
      <c r="F799" s="2">
        <v>1.946E-3</v>
      </c>
      <c r="G799" s="2">
        <v>1.707E-3</v>
      </c>
      <c r="H799" s="2">
        <v>4.9899999999999999E-4</v>
      </c>
      <c r="I799" s="2">
        <v>1.7539999999999999E-3</v>
      </c>
      <c r="J799" s="2">
        <v>1.897E-3</v>
      </c>
      <c r="K799" s="2">
        <v>1.27E-4</v>
      </c>
      <c r="L799" s="2">
        <f>(1/COUNT(D799:K799))*SQRT(SUMSQ(D799:K799))</f>
        <v>5.9621281330578594E-4</v>
      </c>
    </row>
    <row r="800" spans="1:14" x14ac:dyDescent="0.55000000000000004">
      <c r="C800" s="2" t="s">
        <v>26</v>
      </c>
      <c r="D800" s="2">
        <v>0.65465899999999999</v>
      </c>
      <c r="E800" s="2">
        <v>0.76752299999999996</v>
      </c>
      <c r="F800" s="2">
        <v>0.589453</v>
      </c>
      <c r="G800" s="2">
        <v>0.69985699999999995</v>
      </c>
      <c r="H800" s="2">
        <v>0.64724099999999996</v>
      </c>
      <c r="I800" s="2">
        <v>0.63940200000000003</v>
      </c>
      <c r="J800" s="2">
        <v>0.70347599999999999</v>
      </c>
      <c r="K800" s="2">
        <v>0.55430000000000001</v>
      </c>
      <c r="L800" s="2">
        <f>AVERAGE(D800:K800)</f>
        <v>0.65698887499999992</v>
      </c>
      <c r="M800" s="2">
        <f xml:space="preserve"> _xlfn.STDEV.S(D800:K800) / SQRT(COUNT(D800:K800))</f>
        <v>2.3804399630438587E-2</v>
      </c>
      <c r="N800" s="2">
        <f>M800*$N$2</f>
        <v>2.6640911141567223E-2</v>
      </c>
    </row>
    <row r="801" spans="2:14" x14ac:dyDescent="0.55000000000000004">
      <c r="C801" s="2" t="s">
        <v>27</v>
      </c>
      <c r="D801" s="2">
        <v>2.8600000000000001E-4</v>
      </c>
      <c r="E801" s="2">
        <v>2.1519999999999998E-3</v>
      </c>
      <c r="F801" s="2">
        <v>6.1300000000000005E-4</v>
      </c>
      <c r="G801" s="2">
        <v>1.688E-3</v>
      </c>
      <c r="H801" s="2">
        <v>4.3399999999999998E-4</v>
      </c>
      <c r="I801" s="2">
        <v>1.6050000000000001E-3</v>
      </c>
      <c r="J801" s="2">
        <v>1.469E-3</v>
      </c>
      <c r="K801" s="2">
        <v>1.1E-4</v>
      </c>
      <c r="L801" s="2">
        <f>(1/COUNT(D801:K801))*SQRT(SUMSQ(D801:K801))</f>
        <v>4.484775461213192E-4</v>
      </c>
    </row>
    <row r="802" spans="2:14" x14ac:dyDescent="0.55000000000000004">
      <c r="C802" s="2" t="s">
        <v>28</v>
      </c>
      <c r="D802" s="2">
        <v>2.2101440000000001</v>
      </c>
      <c r="E802" s="2">
        <v>2.5685359999999999</v>
      </c>
      <c r="F802" s="2">
        <v>3.22058</v>
      </c>
      <c r="G802" s="2">
        <v>3.4634909999999999</v>
      </c>
      <c r="H802" s="2">
        <v>1.7316499999999999</v>
      </c>
      <c r="I802" s="2">
        <v>3.0113479999999999</v>
      </c>
      <c r="J802" s="2">
        <v>3.1838630000000001</v>
      </c>
      <c r="K802" s="2">
        <v>2.8702570000000001</v>
      </c>
      <c r="L802" s="2">
        <f>AVERAGE(D802:K802)</f>
        <v>2.7824836249999993</v>
      </c>
      <c r="M802" s="2">
        <f xml:space="preserve"> _xlfn.STDEV.S(D802:K802) / SQRT(COUNT(D802:K802))</f>
        <v>0.20504727193598835</v>
      </c>
      <c r="N802" s="2">
        <f>M802*$N$2</f>
        <v>0.2294805261327563</v>
      </c>
    </row>
    <row r="803" spans="2:14" x14ac:dyDescent="0.55000000000000004">
      <c r="C803" s="2" t="s">
        <v>29</v>
      </c>
      <c r="D803" s="2">
        <v>2.787E-3</v>
      </c>
      <c r="E803" s="2">
        <v>1.2017999999999999E-2</v>
      </c>
      <c r="F803" s="2">
        <v>7.8569999999999994E-3</v>
      </c>
      <c r="G803" s="2">
        <v>2.8485E-2</v>
      </c>
      <c r="H803" s="2">
        <v>3.6970000000000002E-3</v>
      </c>
      <c r="I803" s="2">
        <v>2.5645999999999999E-2</v>
      </c>
      <c r="J803" s="2">
        <v>1.379E-2</v>
      </c>
      <c r="K803" s="2">
        <v>1.165E-3</v>
      </c>
      <c r="L803" s="2">
        <f>(1/COUNT(D803:K803))*SQRT(SUMSQ(D803:K803))</f>
        <v>5.4317265570557769E-3</v>
      </c>
    </row>
    <row r="804" spans="2:14" x14ac:dyDescent="0.55000000000000004">
      <c r="C804" s="2" t="s">
        <v>30</v>
      </c>
      <c r="D804" s="2">
        <v>15.568091000000001</v>
      </c>
      <c r="E804" s="2">
        <v>19.842421999999999</v>
      </c>
      <c r="F804" s="2">
        <v>21.867170000000002</v>
      </c>
      <c r="G804" s="2">
        <v>34.870871000000001</v>
      </c>
      <c r="H804" s="2">
        <v>12.413792000000001</v>
      </c>
      <c r="I804" s="2">
        <v>17.962734000000001</v>
      </c>
      <c r="J804" s="2">
        <v>24.291194000000001</v>
      </c>
      <c r="K804" s="2">
        <v>46.828249999999997</v>
      </c>
      <c r="L804" s="2">
        <f>AVERAGE(D804:K804)</f>
        <v>24.205565499999999</v>
      </c>
      <c r="M804" s="2">
        <f xml:space="preserve"> _xlfn.STDEV.S(D804:K804) / SQRT(COUNT(D804:K804))</f>
        <v>4.0148649583715317</v>
      </c>
      <c r="N804" s="2">
        <f>M804*$N$2</f>
        <v>4.4932727672996675</v>
      </c>
    </row>
    <row r="805" spans="2:14" x14ac:dyDescent="0.55000000000000004">
      <c r="C805" s="2" t="s">
        <v>31</v>
      </c>
      <c r="D805" s="2">
        <v>1.2918000000000001E-2</v>
      </c>
      <c r="E805" s="2">
        <v>8.1990999999999994E-2</v>
      </c>
      <c r="F805" s="2">
        <v>1.0717000000000001E-2</v>
      </c>
      <c r="G805" s="2">
        <v>0.165103</v>
      </c>
      <c r="H805" s="2">
        <v>3.1718999999999997E-2</v>
      </c>
      <c r="I805" s="2">
        <v>6.1120000000000001E-2</v>
      </c>
      <c r="J805" s="2">
        <v>0.13411100000000001</v>
      </c>
      <c r="K805" s="2">
        <v>4.4058E-2</v>
      </c>
      <c r="L805" s="2">
        <f>(1/COUNT(D805:K805))*SQRT(SUMSQ(D805:K805))</f>
        <v>3.0344859158152722E-2</v>
      </c>
    </row>
    <row r="806" spans="2:14" x14ac:dyDescent="0.55000000000000004">
      <c r="B806" s="2" t="s">
        <v>32</v>
      </c>
      <c r="C806" s="2" t="s">
        <v>22</v>
      </c>
      <c r="D806" s="2">
        <v>0.950075</v>
      </c>
      <c r="E806" s="2">
        <v>0.93913999999999997</v>
      </c>
      <c r="F806" s="2">
        <v>0.93148699999999995</v>
      </c>
      <c r="G806" s="2">
        <v>0.92318999999999996</v>
      </c>
      <c r="H806" s="2">
        <v>0.94966099999999998</v>
      </c>
      <c r="I806" s="2">
        <v>0.93440500000000004</v>
      </c>
      <c r="J806" s="2">
        <v>0.94990200000000002</v>
      </c>
      <c r="K806" s="2">
        <v>0.93172999999999995</v>
      </c>
      <c r="L806" s="2">
        <f>AVERAGE(D806:K806)</f>
        <v>0.93869874999999992</v>
      </c>
      <c r="M806" s="2">
        <f xml:space="preserve"> _xlfn.STDEV.S(D806:K806) / SQRT(COUNT(D806:K806))</f>
        <v>3.6224200954906279E-3</v>
      </c>
      <c r="N806" s="2">
        <f>M806*$N$2</f>
        <v>4.0540645166279804E-3</v>
      </c>
    </row>
    <row r="807" spans="2:14" x14ac:dyDescent="0.55000000000000004">
      <c r="C807" s="2" t="s">
        <v>23</v>
      </c>
      <c r="D807" s="2">
        <v>6.96E-4</v>
      </c>
      <c r="E807" s="2">
        <v>1.3990000000000001E-3</v>
      </c>
      <c r="F807" s="2">
        <v>7.4299999999999995E-4</v>
      </c>
      <c r="G807" s="2">
        <v>1.122E-3</v>
      </c>
      <c r="H807" s="2">
        <v>1.54E-4</v>
      </c>
      <c r="I807" s="2">
        <v>7.7099999999999998E-4</v>
      </c>
      <c r="J807" s="2">
        <v>1.1659999999999999E-3</v>
      </c>
      <c r="K807" s="2">
        <v>1.73E-4</v>
      </c>
      <c r="L807" s="2">
        <f>(1/COUNT(D807:K807))*SQRT(SUMSQ(D807:K807))</f>
        <v>3.1275469620774683E-4</v>
      </c>
    </row>
    <row r="808" spans="2:14" x14ac:dyDescent="0.55000000000000004">
      <c r="C808" s="2" t="s">
        <v>24</v>
      </c>
      <c r="D808" s="2">
        <v>0.309475</v>
      </c>
      <c r="E808" s="2">
        <v>0.33932699999999999</v>
      </c>
      <c r="F808" s="2">
        <v>0.36247299999999999</v>
      </c>
      <c r="G808" s="2">
        <v>0.38448399999999999</v>
      </c>
      <c r="H808" s="2">
        <v>0.31147599999999998</v>
      </c>
      <c r="I808" s="2">
        <v>0.35565400000000003</v>
      </c>
      <c r="J808" s="2">
        <v>0.307697</v>
      </c>
      <c r="K808" s="2">
        <v>0.36240600000000001</v>
      </c>
      <c r="L808" s="2">
        <f>AVERAGE(D808:K808)</f>
        <v>0.34162399999999998</v>
      </c>
      <c r="M808" s="2">
        <f xml:space="preserve"> _xlfn.STDEV.S(D808:K808) / SQRT(COUNT(D808:K808))</f>
        <v>1.0350267826072354E-2</v>
      </c>
      <c r="N808" s="2">
        <f>M808*$N$2</f>
        <v>1.1583596718533805E-2</v>
      </c>
    </row>
    <row r="809" spans="2:14" x14ac:dyDescent="0.55000000000000004">
      <c r="C809" s="2" t="s">
        <v>25</v>
      </c>
      <c r="D809" s="2">
        <v>1.797E-3</v>
      </c>
      <c r="E809" s="2">
        <v>3.8080000000000002E-3</v>
      </c>
      <c r="F809" s="2">
        <v>1.7799999999999999E-3</v>
      </c>
      <c r="G809" s="2">
        <v>2.5699999999999998E-3</v>
      </c>
      <c r="H809" s="2">
        <v>4.6000000000000001E-4</v>
      </c>
      <c r="I809" s="2">
        <v>2.006E-3</v>
      </c>
      <c r="J809" s="2">
        <v>3.2590000000000002E-3</v>
      </c>
      <c r="K809" s="2">
        <v>4.4999999999999999E-4</v>
      </c>
      <c r="L809" s="2">
        <f>(1/COUNT(D809:K809))*SQRT(SUMSQ(D809:K809))</f>
        <v>8.1550013412016065E-4</v>
      </c>
    </row>
    <row r="810" spans="2:14" x14ac:dyDescent="0.55000000000000004">
      <c r="C810" s="2" t="s">
        <v>26</v>
      </c>
      <c r="D810" s="2">
        <v>0.64544299999999999</v>
      </c>
      <c r="E810" s="2">
        <v>0.74600900000000003</v>
      </c>
      <c r="F810" s="2">
        <v>0.59236100000000003</v>
      </c>
      <c r="G810" s="2">
        <v>0.70564499999999997</v>
      </c>
      <c r="H810" s="2">
        <v>0.63715100000000002</v>
      </c>
      <c r="I810" s="2">
        <v>0.63311200000000001</v>
      </c>
      <c r="J810" s="2">
        <v>0.71187199999999995</v>
      </c>
      <c r="K810" s="2">
        <v>0.55763399999999996</v>
      </c>
      <c r="L810" s="2">
        <f>AVERAGE(D810:K810)</f>
        <v>0.65365337500000009</v>
      </c>
      <c r="M810" s="2">
        <f xml:space="preserve"> _xlfn.STDEV.S(D810:K810) / SQRT(COUNT(D810:K810))</f>
        <v>2.2504071524422842E-2</v>
      </c>
      <c r="N810" s="2">
        <f>M810*$N$2</f>
        <v>2.5185637071854859E-2</v>
      </c>
    </row>
    <row r="811" spans="2:14" x14ac:dyDescent="0.55000000000000004">
      <c r="C811" s="2" t="s">
        <v>27</v>
      </c>
      <c r="D811" s="2">
        <v>1.663E-3</v>
      </c>
      <c r="E811" s="2">
        <v>2.8960000000000001E-3</v>
      </c>
      <c r="F811" s="2">
        <v>7.2900000000000005E-4</v>
      </c>
      <c r="G811" s="2">
        <v>3.0720000000000001E-3</v>
      </c>
      <c r="H811" s="2">
        <v>3.7199999999999999E-4</v>
      </c>
      <c r="I811" s="2">
        <v>1.622E-3</v>
      </c>
      <c r="J811" s="2">
        <v>2.5370000000000002E-3</v>
      </c>
      <c r="K811" s="2">
        <v>2.8600000000000001E-4</v>
      </c>
      <c r="L811" s="2">
        <f>(1/COUNT(D811:K811))*SQRT(SUMSQ(D811:K811))</f>
        <v>6.8929813714749006E-4</v>
      </c>
    </row>
    <row r="812" spans="2:14" x14ac:dyDescent="0.55000000000000004">
      <c r="C812" s="2" t="s">
        <v>28</v>
      </c>
      <c r="D812" s="2">
        <v>2.4560050000000002</v>
      </c>
      <c r="E812" s="2">
        <v>2.759811</v>
      </c>
      <c r="F812" s="2">
        <v>3.188517</v>
      </c>
      <c r="G812" s="2">
        <v>3.4235099999999998</v>
      </c>
      <c r="H812" s="2">
        <v>1.8193839999999999</v>
      </c>
      <c r="I812" s="2">
        <v>3.0982419999999999</v>
      </c>
      <c r="J812" s="2">
        <v>3.1743109999999999</v>
      </c>
      <c r="K812" s="2">
        <v>2.8437380000000001</v>
      </c>
      <c r="L812" s="2">
        <f>AVERAGE(D812:K812)</f>
        <v>2.8454397499999997</v>
      </c>
      <c r="M812" s="2">
        <f xml:space="preserve"> _xlfn.STDEV.S(D812:K812) / SQRT(COUNT(D812:K812))</f>
        <v>0.18105432765370227</v>
      </c>
      <c r="N812" s="2">
        <f>M812*$N$2</f>
        <v>0.20262860352297024</v>
      </c>
    </row>
    <row r="813" spans="2:14" x14ac:dyDescent="0.55000000000000004">
      <c r="C813" s="2" t="s">
        <v>29</v>
      </c>
      <c r="D813" s="2">
        <v>4.5684000000000002E-2</v>
      </c>
      <c r="E813" s="2">
        <v>2.1680000000000001E-2</v>
      </c>
      <c r="F813" s="2">
        <v>8.8979999999999997E-3</v>
      </c>
      <c r="G813" s="2">
        <v>3.8741999999999999E-2</v>
      </c>
      <c r="H813" s="2">
        <v>3.7490000000000002E-3</v>
      </c>
      <c r="I813" s="2">
        <v>3.3745999999999998E-2</v>
      </c>
      <c r="J813" s="2">
        <v>2.7234000000000001E-2</v>
      </c>
      <c r="K813" s="2">
        <v>5.9160000000000003E-3</v>
      </c>
      <c r="L813" s="2">
        <f>(1/COUNT(D813:K813))*SQRT(SUMSQ(D813:K813))</f>
        <v>9.7361316055518173E-3</v>
      </c>
    </row>
    <row r="814" spans="2:14" x14ac:dyDescent="0.55000000000000004">
      <c r="C814" s="2" t="s">
        <v>30</v>
      </c>
      <c r="D814" s="2">
        <v>16.866161999999999</v>
      </c>
      <c r="E814" s="2">
        <v>20.446382</v>
      </c>
      <c r="F814" s="2">
        <v>21.685497000000002</v>
      </c>
      <c r="G814" s="2">
        <v>35.625594999999997</v>
      </c>
      <c r="H814" s="2">
        <v>13.147606</v>
      </c>
      <c r="I814" s="2">
        <v>18.327152000000002</v>
      </c>
      <c r="J814" s="2">
        <v>25.563576000000001</v>
      </c>
      <c r="K814" s="2">
        <v>46.743037999999999</v>
      </c>
      <c r="L814" s="2">
        <f>AVERAGE(D814:K814)</f>
        <v>24.800626000000001</v>
      </c>
      <c r="M814" s="2">
        <f xml:space="preserve"> _xlfn.STDEV.S(D814:K814) / SQRT(COUNT(D814:K814))</f>
        <v>3.9382497475441172</v>
      </c>
      <c r="N814" s="2">
        <f>M814*$N$2</f>
        <v>4.4075281547308363</v>
      </c>
    </row>
    <row r="815" spans="2:14" x14ac:dyDescent="0.55000000000000004">
      <c r="C815" s="2" t="s">
        <v>31</v>
      </c>
      <c r="D815" s="2">
        <v>9.4147999999999996E-2</v>
      </c>
      <c r="E815" s="2">
        <v>8.0063999999999996E-2</v>
      </c>
      <c r="F815" s="2">
        <v>2.0279999999999999E-2</v>
      </c>
      <c r="G815" s="2">
        <v>0.13982600000000001</v>
      </c>
      <c r="H815" s="2">
        <v>3.9038999999999997E-2</v>
      </c>
      <c r="I815" s="2">
        <v>0.10410700000000001</v>
      </c>
      <c r="J815" s="2">
        <v>0.26622699999999999</v>
      </c>
      <c r="K815" s="2">
        <v>0.29587400000000003</v>
      </c>
      <c r="L815" s="2">
        <f>(1/COUNT(D815:K815))*SQRT(SUMSQ(D815:K815))</f>
        <v>5.6736401048373478E-2</v>
      </c>
    </row>
    <row r="816" spans="2:14" x14ac:dyDescent="0.55000000000000004">
      <c r="B816" s="2" t="s">
        <v>33</v>
      </c>
      <c r="C816" s="2" t="s">
        <v>22</v>
      </c>
      <c r="D816" s="2">
        <v>0.95461200000000002</v>
      </c>
      <c r="E816" s="2">
        <v>0.94847499999999996</v>
      </c>
      <c r="F816" s="2">
        <v>0.93164400000000003</v>
      </c>
      <c r="G816" s="2">
        <v>0.92399699999999996</v>
      </c>
      <c r="H816" s="2">
        <v>0.95328000000000002</v>
      </c>
      <c r="I816" s="2">
        <v>0.93861700000000003</v>
      </c>
      <c r="J816" s="2">
        <v>0.94240599999999997</v>
      </c>
      <c r="K816" s="2">
        <v>0.93269400000000002</v>
      </c>
      <c r="L816" s="2">
        <f>AVERAGE(D816:K816)</f>
        <v>0.94071562499999994</v>
      </c>
      <c r="M816" s="2">
        <f xml:space="preserve"> _xlfn.STDEV.S(D816:K816) / SQRT(COUNT(D816:K816))</f>
        <v>3.8835631693877478E-3</v>
      </c>
      <c r="N816" s="2">
        <f>M816*$N$2</f>
        <v>4.3463251715882877E-3</v>
      </c>
    </row>
    <row r="817" spans="2:14" x14ac:dyDescent="0.55000000000000004">
      <c r="C817" s="2" t="s">
        <v>23</v>
      </c>
      <c r="D817" s="2">
        <v>5.3999999999999998E-5</v>
      </c>
      <c r="E817" s="2">
        <v>1.3200000000000001E-4</v>
      </c>
      <c r="F817" s="2">
        <v>1.5200000000000001E-4</v>
      </c>
      <c r="G817" s="2">
        <v>1.25E-4</v>
      </c>
      <c r="H817" s="2">
        <v>5.7000000000000003E-5</v>
      </c>
      <c r="I817" s="2">
        <v>8.0000000000000007E-5</v>
      </c>
      <c r="J817" s="2">
        <v>2.6699999999999998E-4</v>
      </c>
      <c r="K817" s="2">
        <v>5.1999999999999997E-5</v>
      </c>
      <c r="L817" s="2">
        <f>(1/COUNT(D817:K817))*SQRT(SUMSQ(D817:K817))</f>
        <v>4.7221386839016068E-5</v>
      </c>
    </row>
    <row r="818" spans="2:14" x14ac:dyDescent="0.55000000000000004">
      <c r="C818" s="2" t="s">
        <v>24</v>
      </c>
      <c r="D818" s="2">
        <v>0.295566</v>
      </c>
      <c r="E818" s="2">
        <v>0.31363099999999999</v>
      </c>
      <c r="F818" s="2">
        <v>0.36211500000000002</v>
      </c>
      <c r="G818" s="2">
        <v>0.38234200000000002</v>
      </c>
      <c r="H818" s="2">
        <v>0.30103799999999997</v>
      </c>
      <c r="I818" s="2">
        <v>0.34556500000000001</v>
      </c>
      <c r="J818" s="2">
        <v>0.328621</v>
      </c>
      <c r="K818" s="2">
        <v>0.35900199999999999</v>
      </c>
      <c r="L818" s="2">
        <f>AVERAGE(D818:K818)</f>
        <v>0.33598499999999998</v>
      </c>
      <c r="M818" s="2">
        <f xml:space="preserve"> _xlfn.STDEV.S(D818:K818) / SQRT(COUNT(D818:K818))</f>
        <v>1.1069766757769951E-2</v>
      </c>
      <c r="N818" s="2">
        <f>M818*$N$2</f>
        <v>1.238883051578942E-2</v>
      </c>
    </row>
    <row r="819" spans="2:14" x14ac:dyDescent="0.55000000000000004">
      <c r="C819" s="2" t="s">
        <v>25</v>
      </c>
      <c r="D819" s="2">
        <v>1.5300000000000001E-4</v>
      </c>
      <c r="E819" s="2">
        <v>4.08E-4</v>
      </c>
      <c r="F819" s="2">
        <v>3.7599999999999998E-4</v>
      </c>
      <c r="G819" s="2">
        <v>2.9799999999999998E-4</v>
      </c>
      <c r="H819" s="2">
        <v>1.7200000000000001E-4</v>
      </c>
      <c r="I819" s="2">
        <v>2.2800000000000001E-4</v>
      </c>
      <c r="J819" s="2">
        <v>7.36E-4</v>
      </c>
      <c r="K819" s="2">
        <v>1.4100000000000001E-4</v>
      </c>
      <c r="L819" s="2">
        <f>(1/COUNT(D819:K819))*SQRT(SUMSQ(D819:K819))</f>
        <v>1.2888936631856021E-4</v>
      </c>
    </row>
    <row r="820" spans="2:14" x14ac:dyDescent="0.55000000000000004">
      <c r="C820" s="2" t="s">
        <v>26</v>
      </c>
      <c r="D820" s="2">
        <v>0.65452399999999999</v>
      </c>
      <c r="E820" s="2">
        <v>0.76504099999999997</v>
      </c>
      <c r="F820" s="2">
        <v>0.59154899999999999</v>
      </c>
      <c r="G820" s="2">
        <v>0.70050400000000002</v>
      </c>
      <c r="H820" s="2">
        <v>0.64637999999999995</v>
      </c>
      <c r="I820" s="2">
        <v>0.64104000000000005</v>
      </c>
      <c r="J820" s="2">
        <v>0.69589000000000001</v>
      </c>
      <c r="K820" s="2">
        <v>0.56397200000000003</v>
      </c>
      <c r="L820" s="2">
        <f>AVERAGE(D820:K820)</f>
        <v>0.65736250000000007</v>
      </c>
      <c r="M820" s="2">
        <f xml:space="preserve"> _xlfn.STDEV.S(D820:K820) / SQRT(COUNT(D820:K820))</f>
        <v>2.2515278664878718E-2</v>
      </c>
      <c r="N820" s="2">
        <f>M820*$N$2</f>
        <v>2.5198179645398881E-2</v>
      </c>
    </row>
    <row r="821" spans="2:14" x14ac:dyDescent="0.55000000000000004">
      <c r="C821" s="2" t="s">
        <v>27</v>
      </c>
      <c r="D821" s="2">
        <v>1.46E-4</v>
      </c>
      <c r="E821" s="2">
        <v>2.7799999999999998E-4</v>
      </c>
      <c r="F821" s="2">
        <v>1.4899999999999999E-4</v>
      </c>
      <c r="G821" s="2">
        <v>3.48E-4</v>
      </c>
      <c r="H821" s="2">
        <v>1.5699999999999999E-4</v>
      </c>
      <c r="I821" s="2">
        <v>1.9699999999999999E-4</v>
      </c>
      <c r="J821" s="2">
        <v>5.5500000000000005E-4</v>
      </c>
      <c r="K821" s="2">
        <v>1.03E-4</v>
      </c>
      <c r="L821" s="2">
        <f>(1/COUNT(D821:K821))*SQRT(SUMSQ(D821:K821))</f>
        <v>9.8741850929583044E-5</v>
      </c>
    </row>
    <row r="822" spans="2:14" x14ac:dyDescent="0.55000000000000004">
      <c r="C822" s="2" t="s">
        <v>28</v>
      </c>
      <c r="D822" s="2">
        <v>2.2125629999999998</v>
      </c>
      <c r="E822" s="2">
        <v>2.5826820000000001</v>
      </c>
      <c r="F822" s="2">
        <v>3.1787519999999998</v>
      </c>
      <c r="G822" s="2">
        <v>3.4408650000000001</v>
      </c>
      <c r="H822" s="2">
        <v>1.7373670000000001</v>
      </c>
      <c r="I822" s="2">
        <v>2.9876179999999999</v>
      </c>
      <c r="J822" s="2">
        <v>3.2413690000000002</v>
      </c>
      <c r="K822" s="2">
        <v>2.6386419999999999</v>
      </c>
      <c r="L822" s="2">
        <f>AVERAGE(D822:K822)</f>
        <v>2.7524822499999999</v>
      </c>
      <c r="M822" s="2">
        <f xml:space="preserve"> _xlfn.STDEV.S(D822:K822) / SQRT(COUNT(D822:K822))</f>
        <v>0.20326088444935467</v>
      </c>
      <c r="N822" s="2">
        <f>M822*$N$2</f>
        <v>0.22748127427029968</v>
      </c>
    </row>
    <row r="823" spans="2:14" x14ac:dyDescent="0.55000000000000004">
      <c r="C823" s="2" t="s">
        <v>29</v>
      </c>
      <c r="D823" s="2">
        <v>1.957E-3</v>
      </c>
      <c r="E823" s="2">
        <v>1.9090000000000001E-3</v>
      </c>
      <c r="F823" s="2">
        <v>1.719E-3</v>
      </c>
      <c r="G823" s="2">
        <v>3.8210000000000002E-3</v>
      </c>
      <c r="H823" s="2">
        <v>1.3630000000000001E-3</v>
      </c>
      <c r="I823" s="2">
        <v>2.9359999999999998E-3</v>
      </c>
      <c r="J823" s="2">
        <v>5.3940000000000004E-3</v>
      </c>
      <c r="K823" s="2">
        <v>1.1850000000000001E-3</v>
      </c>
      <c r="L823" s="2">
        <f>(1/COUNT(D823:K823))*SQRT(SUMSQ(D823:K823))</f>
        <v>1.0155544821672541E-3</v>
      </c>
    </row>
    <row r="824" spans="2:14" x14ac:dyDescent="0.55000000000000004">
      <c r="C824" s="2" t="s">
        <v>30</v>
      </c>
      <c r="D824" s="2">
        <v>15.589361999999999</v>
      </c>
      <c r="E824" s="2">
        <v>19.901980999999999</v>
      </c>
      <c r="F824" s="2">
        <v>21.842082999999999</v>
      </c>
      <c r="G824" s="2">
        <v>34.298101000000003</v>
      </c>
      <c r="H824" s="2">
        <v>12.443492000000001</v>
      </c>
      <c r="I824" s="2">
        <v>17.967096000000002</v>
      </c>
      <c r="J824" s="2">
        <v>24.854986</v>
      </c>
      <c r="K824" s="2">
        <v>27.427848999999998</v>
      </c>
      <c r="L824" s="2">
        <f>AVERAGE(D824:K824)</f>
        <v>21.790618750000004</v>
      </c>
      <c r="M824" s="2">
        <f xml:space="preserve"> _xlfn.STDEV.S(D824:K824) / SQRT(COUNT(D824:K824))</f>
        <v>2.4698869077202366</v>
      </c>
      <c r="N824" s="2">
        <f>M824*$N$2</f>
        <v>2.7641964787953248</v>
      </c>
    </row>
    <row r="825" spans="2:14" x14ac:dyDescent="0.55000000000000004">
      <c r="C825" s="2" t="s">
        <v>31</v>
      </c>
      <c r="D825" s="2">
        <v>5.3689999999999996E-3</v>
      </c>
      <c r="E825" s="2">
        <v>1.1001E-2</v>
      </c>
      <c r="F825" s="2">
        <v>7.5510000000000004E-3</v>
      </c>
      <c r="G825" s="2">
        <v>2.5522E-2</v>
      </c>
      <c r="H825" s="2">
        <v>9.8720000000000006E-3</v>
      </c>
      <c r="I825" s="2">
        <v>1.0403000000000001E-2</v>
      </c>
      <c r="J825" s="2">
        <v>3.6630000000000003E-2</v>
      </c>
      <c r="K825" s="2">
        <v>8.3200999999999997E-2</v>
      </c>
      <c r="L825" s="2">
        <f>(1/COUNT(D825:K825))*SQRT(SUMSQ(D825:K825))</f>
        <v>1.2072748457916491E-2</v>
      </c>
    </row>
    <row r="826" spans="2:14" x14ac:dyDescent="0.55000000000000004">
      <c r="B826" s="2" t="s">
        <v>34</v>
      </c>
      <c r="C826" s="2" t="s">
        <v>22</v>
      </c>
      <c r="D826" s="2">
        <v>0.95035700000000001</v>
      </c>
      <c r="E826" s="2">
        <v>0.94605399999999995</v>
      </c>
      <c r="F826" s="2">
        <v>0.92947000000000002</v>
      </c>
      <c r="G826" s="2">
        <v>0.91865200000000002</v>
      </c>
      <c r="H826" s="2">
        <v>0.94762900000000005</v>
      </c>
      <c r="I826" s="2">
        <v>0.93683700000000003</v>
      </c>
      <c r="J826" s="2">
        <v>0.94770500000000002</v>
      </c>
      <c r="K826" s="2">
        <v>0.93212300000000003</v>
      </c>
      <c r="L826" s="2">
        <f>AVERAGE(D826:K826)</f>
        <v>0.93860337499999991</v>
      </c>
      <c r="M826" s="2">
        <f xml:space="preserve"> _xlfn.STDEV.S(D826:K826) / SQRT(COUNT(D826:K826))</f>
        <v>3.9743648231846855E-3</v>
      </c>
      <c r="N826" s="2">
        <f>M826*$N$2</f>
        <v>4.4479466713054396E-3</v>
      </c>
    </row>
    <row r="827" spans="2:14" x14ac:dyDescent="0.55000000000000004">
      <c r="C827" s="2" t="s">
        <v>23</v>
      </c>
      <c r="D827" s="2">
        <v>7.36E-4</v>
      </c>
      <c r="E827" s="2">
        <v>7.9199999999999995E-4</v>
      </c>
      <c r="F827" s="2">
        <v>2.0769999999999999E-3</v>
      </c>
      <c r="G827" s="2">
        <v>1.6739999999999999E-3</v>
      </c>
      <c r="H827" s="2">
        <v>3.7500000000000001E-4</v>
      </c>
      <c r="I827" s="2">
        <v>6.9200000000000002E-4</v>
      </c>
      <c r="J827" s="2">
        <v>2.3149999999999998E-3</v>
      </c>
      <c r="K827" s="2">
        <v>1.3200000000000001E-4</v>
      </c>
      <c r="L827" s="2">
        <f>(1/COUNT(D827:K827))*SQRT(SUMSQ(D827:K827))</f>
        <v>4.7238264084849681E-4</v>
      </c>
    </row>
    <row r="828" spans="2:14" x14ac:dyDescent="0.55000000000000004">
      <c r="C828" s="2" t="s">
        <v>24</v>
      </c>
      <c r="D828" s="2">
        <v>0.30873400000000001</v>
      </c>
      <c r="E828" s="2">
        <v>0.32010699999999997</v>
      </c>
      <c r="F828" s="2">
        <v>0.36724600000000002</v>
      </c>
      <c r="G828" s="2">
        <v>0.39458799999999999</v>
      </c>
      <c r="H828" s="2">
        <v>0.31721199999999999</v>
      </c>
      <c r="I828" s="2">
        <v>0.349379</v>
      </c>
      <c r="J828" s="2">
        <v>0.31329000000000001</v>
      </c>
      <c r="K828" s="2">
        <v>0.36058299999999999</v>
      </c>
      <c r="L828" s="2">
        <f>AVERAGE(D828:K828)</f>
        <v>0.34139237499999997</v>
      </c>
      <c r="M828" s="2">
        <f xml:space="preserve"> _xlfn.STDEV.S(D828:K828) / SQRT(COUNT(D828:K828))</f>
        <v>1.1039152217282777E-2</v>
      </c>
      <c r="N828" s="2">
        <f>M828*$N$2</f>
        <v>1.2354567973342612E-2</v>
      </c>
    </row>
    <row r="829" spans="2:14" x14ac:dyDescent="0.55000000000000004">
      <c r="C829" s="2" t="s">
        <v>25</v>
      </c>
      <c r="D829" s="2">
        <v>2.0330000000000001E-3</v>
      </c>
      <c r="E829" s="2">
        <v>2.2030000000000001E-3</v>
      </c>
      <c r="F829" s="2">
        <v>4.7410000000000004E-3</v>
      </c>
      <c r="G829" s="2">
        <v>3.718E-3</v>
      </c>
      <c r="H829" s="2">
        <v>1.039E-3</v>
      </c>
      <c r="I829" s="2">
        <v>1.781E-3</v>
      </c>
      <c r="J829" s="2">
        <v>5.9480000000000002E-3</v>
      </c>
      <c r="K829" s="2">
        <v>3.5399999999999999E-4</v>
      </c>
      <c r="L829" s="2">
        <f>(1/COUNT(D829:K829))*SQRT(SUMSQ(D829:K829))</f>
        <v>1.1527304880695228E-3</v>
      </c>
    </row>
    <row r="830" spans="2:14" x14ac:dyDescent="0.55000000000000004">
      <c r="C830" s="2" t="s">
        <v>26</v>
      </c>
      <c r="D830" s="2">
        <v>0.64344299999999999</v>
      </c>
      <c r="E830" s="2">
        <v>0.76101200000000002</v>
      </c>
      <c r="F830" s="2">
        <v>0.58923000000000003</v>
      </c>
      <c r="G830" s="2">
        <v>0.68555200000000005</v>
      </c>
      <c r="H830" s="2">
        <v>0.63167399999999996</v>
      </c>
      <c r="I830" s="2">
        <v>0.63770899999999997</v>
      </c>
      <c r="J830" s="2">
        <v>0.70759799999999995</v>
      </c>
      <c r="K830" s="2">
        <v>0.56256499999999998</v>
      </c>
      <c r="L830" s="2">
        <f>AVERAGE(D830:K830)</f>
        <v>0.65234787500000002</v>
      </c>
      <c r="M830" s="2">
        <f xml:space="preserve"> _xlfn.STDEV.S(D830:K830) / SQRT(COUNT(D830:K830))</f>
        <v>2.2649824836469878E-2</v>
      </c>
      <c r="N830" s="2">
        <f>M830*$N$2</f>
        <v>2.5348758221521203E-2</v>
      </c>
    </row>
    <row r="831" spans="2:14" x14ac:dyDescent="0.55000000000000004">
      <c r="C831" s="2" t="s">
        <v>27</v>
      </c>
      <c r="D831" s="2">
        <v>1.951E-3</v>
      </c>
      <c r="E831" s="2">
        <v>1.5839999999999999E-3</v>
      </c>
      <c r="F831" s="2">
        <v>2.036E-3</v>
      </c>
      <c r="G831" s="2">
        <v>3.5899999999999999E-3</v>
      </c>
      <c r="H831" s="2">
        <v>8.3500000000000002E-4</v>
      </c>
      <c r="I831" s="2">
        <v>1.413E-3</v>
      </c>
      <c r="J831" s="2">
        <v>4.4510000000000001E-3</v>
      </c>
      <c r="K831" s="2">
        <v>2.5599999999999999E-4</v>
      </c>
      <c r="L831" s="2">
        <f>(1/COUNT(D831:K831))*SQRT(SUMSQ(D831:K831))</f>
        <v>8.4704988046749644E-4</v>
      </c>
    </row>
    <row r="832" spans="2:14" x14ac:dyDescent="0.55000000000000004">
      <c r="C832" s="2" t="s">
        <v>28</v>
      </c>
      <c r="D832" s="2">
        <v>2.3933949999999999</v>
      </c>
      <c r="E832" s="2">
        <v>2.663656</v>
      </c>
      <c r="F832" s="2">
        <v>3.2230819999999998</v>
      </c>
      <c r="G832" s="2">
        <v>3.6573530000000001</v>
      </c>
      <c r="H832" s="2">
        <v>1.872654</v>
      </c>
      <c r="I832" s="2">
        <v>3.0131000000000001</v>
      </c>
      <c r="J832" s="2">
        <v>3.232475</v>
      </c>
      <c r="K832" s="2">
        <v>2.6603340000000002</v>
      </c>
      <c r="L832" s="2">
        <f>AVERAGE(D832:K832)</f>
        <v>2.8395061250000002</v>
      </c>
      <c r="M832" s="2">
        <f xml:space="preserve"> _xlfn.STDEV.S(D832:K832) / SQRT(COUNT(D832:K832))</f>
        <v>0.19808941962131266</v>
      </c>
      <c r="N832" s="2">
        <f>M832*$N$2</f>
        <v>0.22169358220099675</v>
      </c>
    </row>
    <row r="833" spans="2:14" x14ac:dyDescent="0.55000000000000004">
      <c r="C833" s="2" t="s">
        <v>29</v>
      </c>
      <c r="D833" s="2">
        <v>3.1299E-2</v>
      </c>
      <c r="E833" s="2">
        <v>1.0862E-2</v>
      </c>
      <c r="F833" s="2">
        <v>3.0435E-2</v>
      </c>
      <c r="G833" s="2">
        <v>6.1073000000000002E-2</v>
      </c>
      <c r="H833" s="2">
        <v>8.8020000000000008E-3</v>
      </c>
      <c r="I833" s="2">
        <v>3.1865999999999998E-2</v>
      </c>
      <c r="J833" s="2">
        <v>6.3081999999999999E-2</v>
      </c>
      <c r="K833" s="2">
        <v>3.0200000000000001E-3</v>
      </c>
      <c r="L833" s="2">
        <f>(1/COUNT(D833:K833))*SQRT(SUMSQ(D833:K833))</f>
        <v>1.3011525709803405E-2</v>
      </c>
    </row>
    <row r="834" spans="2:14" x14ac:dyDescent="0.55000000000000004">
      <c r="C834" s="2" t="s">
        <v>30</v>
      </c>
      <c r="D834" s="2">
        <v>16.177638000000002</v>
      </c>
      <c r="E834" s="2">
        <v>20.869205000000001</v>
      </c>
      <c r="F834" s="2">
        <v>21.871376999999999</v>
      </c>
      <c r="G834" s="2">
        <v>35.903179999999999</v>
      </c>
      <c r="H834" s="2">
        <v>13.586368999999999</v>
      </c>
      <c r="I834" s="2">
        <v>17.979161000000001</v>
      </c>
      <c r="J834" s="2">
        <v>25.881748000000002</v>
      </c>
      <c r="K834" s="2">
        <v>28.628247000000002</v>
      </c>
      <c r="L834" s="2">
        <f>AVERAGE(D834:K834)</f>
        <v>22.612115625000001</v>
      </c>
      <c r="M834" s="2">
        <f xml:space="preserve"> _xlfn.STDEV.S(D834:K834) / SQRT(COUNT(D834:K834))</f>
        <v>2.5754820248188475</v>
      </c>
      <c r="N834" s="2">
        <f>M834*$N$2</f>
        <v>2.8823742180066221</v>
      </c>
    </row>
    <row r="835" spans="2:14" x14ac:dyDescent="0.55000000000000004">
      <c r="C835" s="2" t="s">
        <v>31</v>
      </c>
      <c r="D835" s="2">
        <v>6.4060000000000006E-2</v>
      </c>
      <c r="E835" s="2">
        <v>8.1623000000000001E-2</v>
      </c>
      <c r="F835" s="2">
        <v>6.1703000000000001E-2</v>
      </c>
      <c r="G835" s="2">
        <v>0.22256400000000001</v>
      </c>
      <c r="H835" s="2">
        <v>7.3639999999999997E-2</v>
      </c>
      <c r="I835" s="2">
        <v>8.7076000000000001E-2</v>
      </c>
      <c r="J835" s="2">
        <v>0.56236200000000003</v>
      </c>
      <c r="K835" s="2">
        <v>0.23247599999999999</v>
      </c>
      <c r="L835" s="2">
        <f>(1/COUNT(D835:K835))*SQRT(SUMSQ(D835:K835))</f>
        <v>8.3610815410410572E-2</v>
      </c>
    </row>
    <row r="836" spans="2:14" x14ac:dyDescent="0.55000000000000004">
      <c r="B836" s="2" t="s">
        <v>35</v>
      </c>
      <c r="C836" s="2" t="s">
        <v>22</v>
      </c>
      <c r="D836" s="2">
        <v>0.94752499999999995</v>
      </c>
      <c r="E836" s="2">
        <v>0.93428</v>
      </c>
      <c r="F836" s="2">
        <v>0.92443900000000001</v>
      </c>
      <c r="G836" s="2">
        <v>0.91910099999999995</v>
      </c>
      <c r="H836" s="2">
        <v>0.94763799999999998</v>
      </c>
      <c r="I836" s="2">
        <v>0.92801800000000001</v>
      </c>
      <c r="J836" s="2">
        <v>0.93858299999999995</v>
      </c>
      <c r="K836" s="2">
        <v>0.93005400000000005</v>
      </c>
      <c r="L836" s="2">
        <f>AVERAGE(D836:K836)</f>
        <v>0.93370474999999997</v>
      </c>
      <c r="M836" s="2">
        <f xml:space="preserve"> _xlfn.STDEV.S(D836:K836) / SQRT(COUNT(D836:K836))</f>
        <v>3.6695020572571225E-3</v>
      </c>
      <c r="N836" s="2">
        <f>M836*$N$2</f>
        <v>4.1067567239201136E-3</v>
      </c>
    </row>
    <row r="837" spans="2:14" x14ac:dyDescent="0.55000000000000004">
      <c r="C837" s="2" t="s">
        <v>23</v>
      </c>
      <c r="D837" s="2">
        <v>1.63E-4</v>
      </c>
      <c r="E837" s="2">
        <v>6.4599999999999998E-4</v>
      </c>
      <c r="F837" s="2">
        <v>1.6000000000000001E-4</v>
      </c>
      <c r="G837" s="2">
        <v>2.81E-4</v>
      </c>
      <c r="H837" s="2">
        <v>1.4799999999999999E-4</v>
      </c>
      <c r="I837" s="2">
        <v>2.72E-4</v>
      </c>
      <c r="J837" s="2">
        <v>4.7399999999999997E-4</v>
      </c>
      <c r="K837" s="2">
        <v>3.4E-5</v>
      </c>
      <c r="L837" s="2">
        <f>(1/COUNT(D837:K837))*SQRT(SUMSQ(D837:K837))</f>
        <v>1.1660336080062186E-4</v>
      </c>
    </row>
    <row r="838" spans="2:14" x14ac:dyDescent="0.55000000000000004">
      <c r="C838" s="2" t="s">
        <v>24</v>
      </c>
      <c r="D838" s="2">
        <v>0.31465599999999999</v>
      </c>
      <c r="E838" s="2">
        <v>0.34934999999999999</v>
      </c>
      <c r="F838" s="2">
        <v>0.37850099999999998</v>
      </c>
      <c r="G838" s="2">
        <v>0.39368199999999998</v>
      </c>
      <c r="H838" s="2">
        <v>0.31703199999999998</v>
      </c>
      <c r="I838" s="2">
        <v>0.37331999999999999</v>
      </c>
      <c r="J838" s="2">
        <v>0.33654499999999998</v>
      </c>
      <c r="K838" s="2">
        <v>0.36676399999999998</v>
      </c>
      <c r="L838" s="2">
        <f>AVERAGE(D838:K838)</f>
        <v>0.35373125</v>
      </c>
      <c r="M838" s="2">
        <f xml:space="preserve"> _xlfn.STDEV.S(D838:K838) / SQRT(COUNT(D838:K838))</f>
        <v>1.0309017631510079E-2</v>
      </c>
      <c r="N838" s="2">
        <f>M838*$N$2</f>
        <v>1.1537431186742752E-2</v>
      </c>
    </row>
    <row r="839" spans="2:14" x14ac:dyDescent="0.55000000000000004">
      <c r="C839" s="2" t="s">
        <v>25</v>
      </c>
      <c r="D839" s="2">
        <v>4.5199999999999998E-4</v>
      </c>
      <c r="E839" s="2">
        <v>1.642E-3</v>
      </c>
      <c r="F839" s="2">
        <v>3.6600000000000001E-4</v>
      </c>
      <c r="G839" s="2">
        <v>6.69E-4</v>
      </c>
      <c r="H839" s="2">
        <v>4.2000000000000002E-4</v>
      </c>
      <c r="I839" s="2">
        <v>6.8599999999999998E-4</v>
      </c>
      <c r="J839" s="2">
        <v>1.3190000000000001E-3</v>
      </c>
      <c r="K839" s="2">
        <v>9.7999999999999997E-5</v>
      </c>
      <c r="L839" s="2">
        <f>(1/COUNT(D839:K839))*SQRT(SUMSQ(D839:K839))</f>
        <v>3.0306625719469333E-4</v>
      </c>
    </row>
    <row r="840" spans="2:14" x14ac:dyDescent="0.55000000000000004">
      <c r="C840" s="2" t="s">
        <v>26</v>
      </c>
      <c r="D840" s="2">
        <v>0.63750300000000004</v>
      </c>
      <c r="E840" s="2">
        <v>0.73828800000000006</v>
      </c>
      <c r="F840" s="2">
        <v>0.58492</v>
      </c>
      <c r="G840" s="2">
        <v>0.684724</v>
      </c>
      <c r="H840" s="2">
        <v>0.63235200000000003</v>
      </c>
      <c r="I840" s="2">
        <v>0.61907400000000001</v>
      </c>
      <c r="J840" s="2">
        <v>0.68989500000000004</v>
      </c>
      <c r="K840" s="2">
        <v>0.55419300000000005</v>
      </c>
      <c r="L840" s="2">
        <f>AVERAGE(D840:K840)</f>
        <v>0.642618625</v>
      </c>
      <c r="M840" s="2">
        <f xml:space="preserve"> _xlfn.STDEV.S(D840:K840) / SQRT(COUNT(D840:K840))</f>
        <v>2.1126613466649038E-2</v>
      </c>
      <c r="N840" s="2">
        <f>M840*$N$2</f>
        <v>2.3644042312562393E-2</v>
      </c>
    </row>
    <row r="841" spans="2:14" x14ac:dyDescent="0.55000000000000004">
      <c r="C841" s="2" t="s">
        <v>27</v>
      </c>
      <c r="D841" s="2">
        <v>4.17E-4</v>
      </c>
      <c r="E841" s="2">
        <v>1.2390000000000001E-3</v>
      </c>
      <c r="F841" s="2">
        <v>1.75E-4</v>
      </c>
      <c r="G841" s="2">
        <v>8.1899999999999996E-4</v>
      </c>
      <c r="H841" s="2">
        <v>3.4699999999999998E-4</v>
      </c>
      <c r="I841" s="2">
        <v>5.1699999999999999E-4</v>
      </c>
      <c r="J841" s="2">
        <v>9.8200000000000002E-4</v>
      </c>
      <c r="K841" s="2">
        <v>7.1000000000000005E-5</v>
      </c>
      <c r="L841" s="2">
        <f>(1/COUNT(D841:K841))*SQRT(SUMSQ(D841:K841))</f>
        <v>2.4262429160123273E-4</v>
      </c>
    </row>
    <row r="842" spans="2:14" x14ac:dyDescent="0.55000000000000004">
      <c r="C842" s="2" t="s">
        <v>28</v>
      </c>
      <c r="D842" s="2">
        <v>2.534586</v>
      </c>
      <c r="E842" s="2">
        <v>2.817796</v>
      </c>
      <c r="F842" s="2">
        <v>3.265768</v>
      </c>
      <c r="G842" s="2">
        <v>3.5819030000000001</v>
      </c>
      <c r="H842" s="2">
        <v>1.865245</v>
      </c>
      <c r="I842" s="2">
        <v>3.429948</v>
      </c>
      <c r="J842" s="2">
        <v>3.3789820000000002</v>
      </c>
      <c r="K842" s="2">
        <v>2.898603</v>
      </c>
      <c r="L842" s="2">
        <f>AVERAGE(D842:K842)</f>
        <v>2.9716038750000004</v>
      </c>
      <c r="M842" s="2">
        <f xml:space="preserve"> _xlfn.STDEV.S(D842:K842) / SQRT(COUNT(D842:K842))</f>
        <v>0.20173508094895037</v>
      </c>
      <c r="N842" s="2">
        <f>M842*$N$2</f>
        <v>0.22577365735473651</v>
      </c>
    </row>
    <row r="843" spans="2:14" x14ac:dyDescent="0.55000000000000004">
      <c r="C843" s="2" t="s">
        <v>29</v>
      </c>
      <c r="D843" s="2">
        <v>8.8489999999999992E-3</v>
      </c>
      <c r="E843" s="2">
        <v>9.9740000000000002E-3</v>
      </c>
      <c r="F843" s="2">
        <v>2.0409999999999998E-3</v>
      </c>
      <c r="G843" s="2">
        <v>9.6080000000000002E-3</v>
      </c>
      <c r="H843" s="2">
        <v>3.1949999999999999E-3</v>
      </c>
      <c r="I843" s="2">
        <v>1.1358E-2</v>
      </c>
      <c r="J843" s="2">
        <v>1.1769999999999999E-2</v>
      </c>
      <c r="K843" s="2">
        <v>1.3810000000000001E-3</v>
      </c>
      <c r="L843" s="2">
        <f>(1/COUNT(D843:K843))*SQRT(SUMSQ(D843:K843))</f>
        <v>2.9419303611744447E-3</v>
      </c>
    </row>
    <row r="844" spans="2:14" x14ac:dyDescent="0.55000000000000004">
      <c r="C844" s="2" t="s">
        <v>30</v>
      </c>
      <c r="D844" s="2">
        <v>16.243807</v>
      </c>
      <c r="E844" s="2">
        <v>20.552067000000001</v>
      </c>
      <c r="F844" s="2">
        <v>21.73565</v>
      </c>
      <c r="G844" s="2">
        <v>33.995322999999999</v>
      </c>
      <c r="H844" s="2">
        <v>13.520015000000001</v>
      </c>
      <c r="I844" s="2">
        <v>19.229671</v>
      </c>
      <c r="J844" s="2">
        <v>26.745584999999998</v>
      </c>
      <c r="K844" s="2">
        <v>48.968487000000003</v>
      </c>
      <c r="L844" s="2">
        <f>AVERAGE(D844:K844)</f>
        <v>25.123825625000002</v>
      </c>
      <c r="M844" s="2">
        <f xml:space="preserve"> _xlfn.STDEV.S(D844:K844) / SQRT(COUNT(D844:K844))</f>
        <v>4.0763393214666559</v>
      </c>
      <c r="N844" s="2">
        <f>M844*$N$2</f>
        <v>4.5620723619177763</v>
      </c>
    </row>
    <row r="845" spans="2:14" x14ac:dyDescent="0.55000000000000004">
      <c r="C845" s="2" t="s">
        <v>31</v>
      </c>
      <c r="D845" s="2">
        <v>2.9406999999999999E-2</v>
      </c>
      <c r="E845" s="2">
        <v>6.0697000000000001E-2</v>
      </c>
      <c r="F845" s="2">
        <v>6.1390000000000004E-3</v>
      </c>
      <c r="G845" s="2">
        <v>7.1440000000000003E-2</v>
      </c>
      <c r="H845" s="2">
        <v>2.3283999999999999E-2</v>
      </c>
      <c r="I845" s="2">
        <v>5.3607000000000002E-2</v>
      </c>
      <c r="J845" s="2">
        <v>0.119502</v>
      </c>
      <c r="K845" s="2">
        <v>4.9993000000000003E-2</v>
      </c>
      <c r="L845" s="2">
        <f>(1/COUNT(D845:K845))*SQRT(SUMSQ(D845:K845))</f>
        <v>2.1609510904127958E-2</v>
      </c>
    </row>
    <row r="846" spans="2:14" x14ac:dyDescent="0.55000000000000004">
      <c r="B846" s="2" t="s">
        <v>45</v>
      </c>
      <c r="C846" s="2" t="s">
        <v>22</v>
      </c>
      <c r="D846" s="2">
        <v>0.94405600000000001</v>
      </c>
      <c r="E846" s="2">
        <v>0.92223999999999995</v>
      </c>
      <c r="F846" s="2">
        <v>0.915968</v>
      </c>
      <c r="G846" s="2">
        <v>0.92551799999999995</v>
      </c>
      <c r="H846" s="2">
        <v>0.95034600000000002</v>
      </c>
      <c r="I846" s="2">
        <v>0.92489299999999997</v>
      </c>
      <c r="J846" s="2">
        <v>0.93546799999999997</v>
      </c>
      <c r="K846" s="2">
        <v>0.92823699999999998</v>
      </c>
      <c r="L846" s="2">
        <f>AVERAGE(D846:K846)</f>
        <v>0.93084074999999999</v>
      </c>
      <c r="M846" s="2">
        <f xml:space="preserve"> _xlfn.STDEV.S(D846:K846) / SQRT(COUNT(D846:K846))</f>
        <v>4.1017582412476361E-3</v>
      </c>
      <c r="N846" s="2">
        <f>M846*$N$2</f>
        <v>4.5905201780237458E-3</v>
      </c>
    </row>
    <row r="847" spans="2:14" x14ac:dyDescent="0.55000000000000004">
      <c r="C847" s="2" t="s">
        <v>23</v>
      </c>
      <c r="D847" s="2">
        <v>8.8400000000000002E-4</v>
      </c>
      <c r="E847" s="2">
        <v>1.614E-3</v>
      </c>
      <c r="F847" s="2">
        <v>1.557E-3</v>
      </c>
      <c r="G847" s="2">
        <v>2.3340000000000001E-3</v>
      </c>
      <c r="H847" s="2">
        <v>3.8299999999999999E-4</v>
      </c>
      <c r="I847" s="2">
        <v>5.9599999999999996E-4</v>
      </c>
      <c r="J847" s="2">
        <v>1.0020000000000001E-3</v>
      </c>
      <c r="K847" s="2">
        <v>1.4270000000000001E-3</v>
      </c>
      <c r="L847" s="2">
        <f>(1/COUNT(D847:K847))*SQRT(SUMSQ(D847:K847))</f>
        <v>4.8089264329473786E-4</v>
      </c>
    </row>
    <row r="848" spans="2:14" x14ac:dyDescent="0.55000000000000004">
      <c r="C848" s="2" t="s">
        <v>24</v>
      </c>
      <c r="D848" s="2">
        <v>0.323409</v>
      </c>
      <c r="E848" s="2">
        <v>0.37429499999999999</v>
      </c>
      <c r="F848" s="2">
        <v>0.39782600000000001</v>
      </c>
      <c r="G848" s="2">
        <v>0.37357299999999999</v>
      </c>
      <c r="H848" s="2">
        <v>0.30880299999999999</v>
      </c>
      <c r="I848" s="2">
        <v>0.37835999999999997</v>
      </c>
      <c r="J848" s="2">
        <v>0.34313199999999999</v>
      </c>
      <c r="K848" s="2">
        <v>0.37012899999999999</v>
      </c>
      <c r="L848" s="2">
        <f>AVERAGE(D848:K848)</f>
        <v>0.35869087500000002</v>
      </c>
      <c r="M848" s="2">
        <f xml:space="preserve"> _xlfn.STDEV.S(D848:K848) / SQRT(COUNT(D848:K848))</f>
        <v>1.0765287235630314E-2</v>
      </c>
      <c r="N848" s="2">
        <f>M848*$N$2</f>
        <v>1.204806947918774E-2</v>
      </c>
    </row>
    <row r="849" spans="2:14" x14ac:dyDescent="0.55000000000000004">
      <c r="C849" s="2" t="s">
        <v>25</v>
      </c>
      <c r="D849" s="2">
        <v>2.6770000000000001E-3</v>
      </c>
      <c r="E849" s="2">
        <v>3.6589999999999999E-3</v>
      </c>
      <c r="F849" s="2">
        <v>3.1979999999999999E-3</v>
      </c>
      <c r="G849" s="2">
        <v>5.117E-3</v>
      </c>
      <c r="H849" s="2">
        <v>1.0820000000000001E-3</v>
      </c>
      <c r="I849" s="2">
        <v>1.4959999999999999E-3</v>
      </c>
      <c r="J849" s="2">
        <v>3.0739999999999999E-3</v>
      </c>
      <c r="K849" s="2">
        <v>3.4359999999999998E-3</v>
      </c>
      <c r="L849" s="2">
        <f>(1/COUNT(D849:K849))*SQRT(SUMSQ(D849:K849))</f>
        <v>1.1293652462224079E-3</v>
      </c>
    </row>
    <row r="850" spans="2:14" x14ac:dyDescent="0.55000000000000004">
      <c r="C850" s="2" t="s">
        <v>26</v>
      </c>
      <c r="D850" s="2">
        <v>0.62941999999999998</v>
      </c>
      <c r="E850" s="2">
        <v>0.72023199999999998</v>
      </c>
      <c r="F850" s="2">
        <v>0.57841399999999998</v>
      </c>
      <c r="G850" s="2">
        <v>0.68760399999999999</v>
      </c>
      <c r="H850" s="2">
        <v>0.63977200000000001</v>
      </c>
      <c r="I850" s="2">
        <v>0.61787599999999998</v>
      </c>
      <c r="J850" s="2">
        <v>0.68726900000000002</v>
      </c>
      <c r="K850" s="2">
        <v>0.554176</v>
      </c>
      <c r="L850" s="2">
        <f>AVERAGE(D850:K850)</f>
        <v>0.63934537499999988</v>
      </c>
      <c r="M850" s="2">
        <f xml:space="preserve"> _xlfn.STDEV.S(D850:K850) / SQRT(COUNT(D850:K850))</f>
        <v>2.0130954692194714E-2</v>
      </c>
      <c r="N850" s="2">
        <f>M850*$N$2</f>
        <v>2.2529741706398747E-2</v>
      </c>
    </row>
    <row r="851" spans="2:14" x14ac:dyDescent="0.55000000000000004">
      <c r="C851" s="2" t="s">
        <v>27</v>
      </c>
      <c r="D851" s="2">
        <v>2.666E-3</v>
      </c>
      <c r="E851" s="2">
        <v>2.637E-3</v>
      </c>
      <c r="F851" s="2">
        <v>8.8699999999999998E-4</v>
      </c>
      <c r="G851" s="2">
        <v>4.581E-3</v>
      </c>
      <c r="H851" s="2">
        <v>8.0599999999999997E-4</v>
      </c>
      <c r="I851" s="2">
        <v>8.0699999999999999E-4</v>
      </c>
      <c r="J851" s="2">
        <v>2.232E-3</v>
      </c>
      <c r="K851" s="2">
        <v>1.7459999999999999E-3</v>
      </c>
      <c r="L851" s="2">
        <f>(1/COUNT(D851:K851))*SQRT(SUMSQ(D851:K851))</f>
        <v>8.4006026569526549E-4</v>
      </c>
    </row>
    <row r="852" spans="2:14" x14ac:dyDescent="0.55000000000000004">
      <c r="C852" s="2" t="s">
        <v>28</v>
      </c>
      <c r="D852" s="2">
        <v>2.8054220000000001</v>
      </c>
      <c r="E852" s="2">
        <v>3.107532</v>
      </c>
      <c r="F852" s="2">
        <v>3.3671500000000001</v>
      </c>
      <c r="G852" s="2">
        <v>3.6636679999999999</v>
      </c>
      <c r="H852" s="2">
        <v>1.790648</v>
      </c>
      <c r="I852" s="2">
        <v>3.6355749999999998</v>
      </c>
      <c r="J852" s="2">
        <v>3.5360260000000001</v>
      </c>
      <c r="K852" s="2">
        <v>2.8456090000000001</v>
      </c>
      <c r="L852" s="2">
        <f>AVERAGE(D852:K852)</f>
        <v>3.0939537499999998</v>
      </c>
      <c r="M852" s="2">
        <f xml:space="preserve"> _xlfn.STDEV.S(D852:K852) / SQRT(COUNT(D852:K852))</f>
        <v>0.22086307582840575</v>
      </c>
      <c r="N852" s="2">
        <f>M852*$N$2</f>
        <v>0.24718092743132841</v>
      </c>
    </row>
    <row r="853" spans="2:14" x14ac:dyDescent="0.55000000000000004">
      <c r="C853" s="2" t="s">
        <v>29</v>
      </c>
      <c r="D853" s="2">
        <v>3.5421000000000001E-2</v>
      </c>
      <c r="E853" s="2">
        <v>3.0948E-2</v>
      </c>
      <c r="F853" s="2">
        <v>2.1044E-2</v>
      </c>
      <c r="G853" s="2">
        <v>0.13317999999999999</v>
      </c>
      <c r="H853" s="2">
        <v>7.4469999999999996E-3</v>
      </c>
      <c r="I853" s="2">
        <v>2.4050999999999999E-2</v>
      </c>
      <c r="J853" s="2">
        <v>2.2076999999999999E-2</v>
      </c>
      <c r="K853" s="2">
        <v>4.0120999999999997E-2</v>
      </c>
      <c r="L853" s="2">
        <f>(1/COUNT(D853:K853))*SQRT(SUMSQ(D853:K853))</f>
        <v>1.900788703941406E-2</v>
      </c>
    </row>
    <row r="854" spans="2:14" x14ac:dyDescent="0.55000000000000004">
      <c r="C854" s="2" t="s">
        <v>30</v>
      </c>
      <c r="D854" s="2">
        <v>17.146754000000001</v>
      </c>
      <c r="E854" s="2">
        <v>21.235125</v>
      </c>
      <c r="F854" s="2">
        <v>22.164149999999999</v>
      </c>
      <c r="G854" s="2">
        <v>29.127103999999999</v>
      </c>
      <c r="H854" s="2">
        <v>13.099046</v>
      </c>
      <c r="I854" s="2">
        <v>19.590883000000002</v>
      </c>
      <c r="J854" s="2">
        <v>28.791708</v>
      </c>
      <c r="K854" s="2">
        <v>42.789192999999997</v>
      </c>
      <c r="L854" s="2">
        <f>AVERAGE(D854:K854)</f>
        <v>24.242995375</v>
      </c>
      <c r="M854" s="2">
        <f xml:space="preserve"> _xlfn.STDEV.S(D854:K854) / SQRT(COUNT(D854:K854))</f>
        <v>3.2679778345320729</v>
      </c>
      <c r="N854" s="2">
        <f>M854*$N$2</f>
        <v>3.6573872247991726</v>
      </c>
    </row>
    <row r="855" spans="2:14" x14ac:dyDescent="0.55000000000000004">
      <c r="C855" s="2" t="s">
        <v>31</v>
      </c>
      <c r="D855" s="2">
        <v>7.8890000000000002E-2</v>
      </c>
      <c r="E855" s="2">
        <v>0.238679</v>
      </c>
      <c r="F855" s="2">
        <v>0.128917</v>
      </c>
      <c r="G855" s="2">
        <v>0.57920499999999997</v>
      </c>
      <c r="H855" s="2">
        <v>4.4811999999999998E-2</v>
      </c>
      <c r="I855" s="2">
        <v>0.13616600000000001</v>
      </c>
      <c r="J855" s="2">
        <v>0.135347</v>
      </c>
      <c r="K855" s="2">
        <v>2.1298840000000001</v>
      </c>
      <c r="L855" s="2">
        <f>(1/COUNT(D855:K855))*SQRT(SUMSQ(D855:K855))</f>
        <v>0.27924460829676284</v>
      </c>
    </row>
    <row r="856" spans="2:14" x14ac:dyDescent="0.55000000000000004">
      <c r="B856" s="2" t="s">
        <v>46</v>
      </c>
      <c r="C856" s="2" t="s">
        <v>22</v>
      </c>
      <c r="L856" s="2" t="e">
        <f>AVERAGE(D856:K856)</f>
        <v>#DIV/0!</v>
      </c>
      <c r="M856" s="2" t="e">
        <f xml:space="preserve"> _xlfn.STDEV.S(D856:K856) / SQRT(COUNT(D856:K856))</f>
        <v>#DIV/0!</v>
      </c>
      <c r="N856" s="2" t="e">
        <f>M856*$N$2</f>
        <v>#DIV/0!</v>
      </c>
    </row>
    <row r="857" spans="2:14" x14ac:dyDescent="0.55000000000000004">
      <c r="C857" s="2" t="s">
        <v>23</v>
      </c>
      <c r="L857" s="2" t="e">
        <f>(1/COUNT(D857:K857))*SQRT(SUMSQ(D857:K857))</f>
        <v>#DIV/0!</v>
      </c>
    </row>
    <row r="858" spans="2:14" x14ac:dyDescent="0.55000000000000004">
      <c r="C858" s="2" t="s">
        <v>24</v>
      </c>
      <c r="L858" s="2" t="e">
        <f>AVERAGE(D858:K858)</f>
        <v>#DIV/0!</v>
      </c>
      <c r="M858" s="2" t="e">
        <f xml:space="preserve"> _xlfn.STDEV.S(D858:K858) / SQRT(COUNT(D858:K858))</f>
        <v>#DIV/0!</v>
      </c>
      <c r="N858" s="2" t="e">
        <f>M858*$N$2</f>
        <v>#DIV/0!</v>
      </c>
    </row>
    <row r="859" spans="2:14" x14ac:dyDescent="0.55000000000000004">
      <c r="C859" s="2" t="s">
        <v>25</v>
      </c>
      <c r="L859" s="2" t="e">
        <f>(1/COUNT(D859:K859))*SQRT(SUMSQ(D859:K859))</f>
        <v>#DIV/0!</v>
      </c>
    </row>
    <row r="860" spans="2:14" x14ac:dyDescent="0.55000000000000004">
      <c r="C860" s="2" t="s">
        <v>26</v>
      </c>
      <c r="L860" s="2" t="e">
        <f>AVERAGE(D860:K860)</f>
        <v>#DIV/0!</v>
      </c>
      <c r="M860" s="2" t="e">
        <f xml:space="preserve"> _xlfn.STDEV.S(D860:K860) / SQRT(COUNT(D860:K860))</f>
        <v>#DIV/0!</v>
      </c>
      <c r="N860" s="2" t="e">
        <f>M860*$N$2</f>
        <v>#DIV/0!</v>
      </c>
    </row>
    <row r="861" spans="2:14" x14ac:dyDescent="0.55000000000000004">
      <c r="C861" s="2" t="s">
        <v>27</v>
      </c>
      <c r="L861" s="2" t="e">
        <f>(1/COUNT(D861:K861))*SQRT(SUMSQ(D861:K861))</f>
        <v>#DIV/0!</v>
      </c>
    </row>
    <row r="862" spans="2:14" x14ac:dyDescent="0.55000000000000004">
      <c r="C862" s="2" t="s">
        <v>28</v>
      </c>
      <c r="L862" s="2" t="e">
        <f>AVERAGE(D862:K862)</f>
        <v>#DIV/0!</v>
      </c>
      <c r="M862" s="2" t="e">
        <f xml:space="preserve"> _xlfn.STDEV.S(D862:K862) / SQRT(COUNT(D862:K862))</f>
        <v>#DIV/0!</v>
      </c>
      <c r="N862" s="2" t="e">
        <f>M862*$N$2</f>
        <v>#DIV/0!</v>
      </c>
    </row>
    <row r="863" spans="2:14" x14ac:dyDescent="0.55000000000000004">
      <c r="C863" s="2" t="s">
        <v>29</v>
      </c>
      <c r="L863" s="2" t="e">
        <f>(1/COUNT(D863:K863))*SQRT(SUMSQ(D863:K863))</f>
        <v>#DIV/0!</v>
      </c>
    </row>
    <row r="864" spans="2:14" x14ac:dyDescent="0.55000000000000004">
      <c r="C864" s="2" t="s">
        <v>30</v>
      </c>
      <c r="L864" s="2" t="e">
        <f>AVERAGE(D864:K864)</f>
        <v>#DIV/0!</v>
      </c>
      <c r="M864" s="2" t="e">
        <f xml:space="preserve"> _xlfn.STDEV.S(D864:K864) / SQRT(COUNT(D864:K864))</f>
        <v>#DIV/0!</v>
      </c>
      <c r="N864" s="2" t="e">
        <f>M864*$N$2</f>
        <v>#DIV/0!</v>
      </c>
    </row>
    <row r="865" spans="2:14" x14ac:dyDescent="0.55000000000000004">
      <c r="C865" s="2" t="s">
        <v>31</v>
      </c>
      <c r="L865" s="2" t="e">
        <f>(1/COUNT(D865:K865))*SQRT(SUMSQ(D865:K865))</f>
        <v>#DIV/0!</v>
      </c>
    </row>
    <row r="866" spans="2:14" x14ac:dyDescent="0.55000000000000004">
      <c r="B866" s="2" t="s">
        <v>36</v>
      </c>
      <c r="C866" s="2" t="s">
        <v>22</v>
      </c>
      <c r="D866" s="2">
        <v>0.93618400000000002</v>
      </c>
      <c r="E866" s="2">
        <v>0.92272900000000002</v>
      </c>
      <c r="F866" s="2">
        <v>0.92170300000000005</v>
      </c>
      <c r="G866" s="2">
        <v>0.94460999999999995</v>
      </c>
      <c r="H866" s="2">
        <v>0.94936500000000001</v>
      </c>
      <c r="I866" s="2">
        <v>0.92303400000000002</v>
      </c>
      <c r="J866" s="2">
        <v>0.93408599999999997</v>
      </c>
      <c r="K866" s="2">
        <v>0.93152199999999996</v>
      </c>
      <c r="L866" s="2">
        <f>AVERAGE(D866:K866)</f>
        <v>0.93290412500000008</v>
      </c>
      <c r="M866" s="2">
        <f xml:space="preserve"> _xlfn.STDEV.S(D866:K866) / SQRT(COUNT(D866:K866))</f>
        <v>3.6558913581735183E-3</v>
      </c>
      <c r="N866" s="2">
        <f>M866*$N$2</f>
        <v>4.0915241857973177E-3</v>
      </c>
    </row>
    <row r="867" spans="2:14" x14ac:dyDescent="0.55000000000000004">
      <c r="C867" s="2" t="s">
        <v>24</v>
      </c>
      <c r="D867" s="2">
        <v>0.34610299999999999</v>
      </c>
      <c r="E867" s="2">
        <v>0.37794</v>
      </c>
      <c r="F867" s="2">
        <v>0.384297</v>
      </c>
      <c r="G867" s="2">
        <v>0.32460099999999997</v>
      </c>
      <c r="H867" s="2">
        <v>0.31174800000000003</v>
      </c>
      <c r="I867" s="2">
        <v>0.38306299999999999</v>
      </c>
      <c r="J867" s="2">
        <v>0.34582499999999999</v>
      </c>
      <c r="K867" s="2">
        <v>0.36197499999999999</v>
      </c>
      <c r="L867" s="2">
        <f t="shared" ref="L867:L875" si="38">AVERAGE(D867:K867)</f>
        <v>0.35444400000000004</v>
      </c>
      <c r="M867" s="2">
        <f t="shared" ref="M867:M883" si="39" xml:space="preserve"> _xlfn.STDEV.S(D867:K867) / SQRT(COUNT(D867:K867))</f>
        <v>9.6143858488205031E-3</v>
      </c>
      <c r="N867" s="2">
        <f t="shared" ref="N867:N883" si="40">M867*$N$2</f>
        <v>1.0760027686295788E-2</v>
      </c>
    </row>
    <row r="868" spans="2:14" x14ac:dyDescent="0.55000000000000004">
      <c r="C868" s="2" t="s">
        <v>26</v>
      </c>
      <c r="D868" s="2">
        <v>0.60782800000000003</v>
      </c>
      <c r="E868" s="2">
        <v>0.71602399999999999</v>
      </c>
      <c r="F868" s="2">
        <v>0.58162899999999995</v>
      </c>
      <c r="G868" s="2">
        <v>0.72726100000000005</v>
      </c>
      <c r="H868" s="2">
        <v>0.63714099999999996</v>
      </c>
      <c r="I868" s="2">
        <v>0.61440300000000003</v>
      </c>
      <c r="J868" s="2">
        <v>0.68578499999999998</v>
      </c>
      <c r="K868" s="2">
        <v>0.55974500000000005</v>
      </c>
      <c r="L868" s="2">
        <f t="shared" si="38"/>
        <v>0.6412270000000001</v>
      </c>
      <c r="M868" s="2">
        <f t="shared" si="39"/>
        <v>2.1967837378930655E-2</v>
      </c>
      <c r="N868" s="2">
        <f t="shared" si="40"/>
        <v>2.4585505732988223E-2</v>
      </c>
    </row>
    <row r="869" spans="2:14" x14ac:dyDescent="0.55000000000000004">
      <c r="C869" s="2" t="s">
        <v>28</v>
      </c>
      <c r="D869" s="2">
        <v>3.1460110000000001</v>
      </c>
      <c r="E869" s="2">
        <v>2.9827249999999998</v>
      </c>
      <c r="F869" s="2">
        <v>3.2890410000000001</v>
      </c>
      <c r="G869" s="2">
        <v>2.9394480000000001</v>
      </c>
      <c r="H869" s="2">
        <v>1.8019000000000001</v>
      </c>
      <c r="I869" s="2">
        <v>3.711757</v>
      </c>
      <c r="J869" s="2">
        <v>3.4766409999999999</v>
      </c>
      <c r="K869" s="2">
        <v>2.7347540000000001</v>
      </c>
      <c r="L869" s="2">
        <f t="shared" si="38"/>
        <v>3.0102846250000002</v>
      </c>
      <c r="M869" s="2">
        <f t="shared" si="39"/>
        <v>0.20474576633011191</v>
      </c>
      <c r="N869" s="2">
        <f t="shared" si="40"/>
        <v>0.22914309338168756</v>
      </c>
    </row>
    <row r="870" spans="2:14" x14ac:dyDescent="0.55000000000000004">
      <c r="C870" s="2" t="s">
        <v>30</v>
      </c>
      <c r="D870" s="2">
        <v>17.410326000000001</v>
      </c>
      <c r="E870" s="2">
        <v>19.996267</v>
      </c>
      <c r="F870" s="2">
        <v>21.691890999999998</v>
      </c>
      <c r="G870" s="2">
        <v>26.253408</v>
      </c>
      <c r="H870" s="2">
        <v>13.177562</v>
      </c>
      <c r="I870" s="2">
        <v>19.606166000000002</v>
      </c>
      <c r="J870" s="2">
        <v>26.752524000000001</v>
      </c>
      <c r="K870" s="2">
        <v>42.707051</v>
      </c>
      <c r="L870" s="2">
        <f t="shared" si="38"/>
        <v>23.449399374999999</v>
      </c>
      <c r="M870" s="2">
        <f t="shared" si="39"/>
        <v>3.1662130791837679</v>
      </c>
      <c r="N870" s="2">
        <f t="shared" si="40"/>
        <v>3.5434962699056562</v>
      </c>
    </row>
    <row r="871" spans="2:14" x14ac:dyDescent="0.55000000000000004">
      <c r="B871" s="2" t="s">
        <v>37</v>
      </c>
      <c r="C871" s="2" t="s">
        <v>22</v>
      </c>
      <c r="D871" s="2">
        <v>0.92243399999999998</v>
      </c>
      <c r="E871" s="2">
        <v>0.87694000000000005</v>
      </c>
      <c r="F871" s="2">
        <v>0.88969500000000001</v>
      </c>
      <c r="G871" s="2">
        <v>0.90475300000000003</v>
      </c>
      <c r="H871" s="2">
        <v>0.91539499999999996</v>
      </c>
      <c r="I871" s="2">
        <v>0.89023399999999997</v>
      </c>
      <c r="J871" s="2">
        <v>0.90831499999999998</v>
      </c>
      <c r="K871" s="2">
        <v>0.90583199999999997</v>
      </c>
      <c r="L871" s="2">
        <f t="shared" si="38"/>
        <v>0.90169974999999991</v>
      </c>
      <c r="M871" s="2">
        <f t="shared" si="39"/>
        <v>5.3054066417126304E-3</v>
      </c>
      <c r="N871" s="2">
        <f t="shared" si="40"/>
        <v>5.937594272741699E-3</v>
      </c>
    </row>
    <row r="872" spans="2:14" x14ac:dyDescent="0.55000000000000004">
      <c r="C872" s="2" t="s">
        <v>24</v>
      </c>
      <c r="D872" s="2">
        <v>0.383718</v>
      </c>
      <c r="E872" s="2">
        <v>0.47328300000000001</v>
      </c>
      <c r="F872" s="2">
        <v>0.45494400000000002</v>
      </c>
      <c r="G872" s="2">
        <v>0.425097</v>
      </c>
      <c r="H872" s="2">
        <v>0.399453</v>
      </c>
      <c r="I872" s="2">
        <v>0.45788200000000001</v>
      </c>
      <c r="J872" s="2">
        <v>0.41188799999999998</v>
      </c>
      <c r="K872" s="2">
        <v>0.42413899999999999</v>
      </c>
      <c r="L872" s="2">
        <f t="shared" si="38"/>
        <v>0.42880049999999997</v>
      </c>
      <c r="M872" s="2">
        <f t="shared" si="39"/>
        <v>1.0956973280257909E-2</v>
      </c>
      <c r="N872" s="2">
        <f t="shared" si="40"/>
        <v>1.2262596665812196E-2</v>
      </c>
    </row>
    <row r="873" spans="2:14" x14ac:dyDescent="0.55000000000000004">
      <c r="C873" s="2" t="s">
        <v>26</v>
      </c>
      <c r="D873" s="2">
        <v>0.57455199999999995</v>
      </c>
      <c r="E873" s="2">
        <v>0.65207999999999999</v>
      </c>
      <c r="F873" s="2">
        <v>0.54915199999999997</v>
      </c>
      <c r="G873" s="2">
        <v>0.66258899999999998</v>
      </c>
      <c r="H873" s="2">
        <v>0.55708299999999999</v>
      </c>
      <c r="I873" s="2">
        <v>0.56922899999999998</v>
      </c>
      <c r="J873" s="2">
        <v>0.63359900000000002</v>
      </c>
      <c r="K873" s="2">
        <v>0.52035600000000004</v>
      </c>
      <c r="L873" s="2">
        <f t="shared" si="38"/>
        <v>0.58983000000000008</v>
      </c>
      <c r="M873" s="2">
        <f t="shared" si="39"/>
        <v>1.8562722243017818E-2</v>
      </c>
      <c r="N873" s="2">
        <f t="shared" si="40"/>
        <v>2.0774640045509926E-2</v>
      </c>
    </row>
    <row r="874" spans="2:14" x14ac:dyDescent="0.55000000000000004">
      <c r="C874" s="2" t="s">
        <v>28</v>
      </c>
      <c r="D874" s="2">
        <v>3.7303359999999999</v>
      </c>
      <c r="E874" s="2">
        <v>4.3098660000000004</v>
      </c>
      <c r="F874" s="2">
        <v>3.8644120000000002</v>
      </c>
      <c r="G874" s="2">
        <v>3.9577610000000001</v>
      </c>
      <c r="H874" s="2">
        <v>2.7558250000000002</v>
      </c>
      <c r="I874" s="2">
        <v>5.8590600000000004</v>
      </c>
      <c r="J874" s="2">
        <v>4.3816990000000002</v>
      </c>
      <c r="K874" s="2">
        <v>3.480337</v>
      </c>
      <c r="L874" s="2">
        <f t="shared" si="38"/>
        <v>4.0424120000000006</v>
      </c>
      <c r="M874" s="2">
        <f t="shared" si="39"/>
        <v>0.31606771714979892</v>
      </c>
      <c r="N874" s="2">
        <f t="shared" si="40"/>
        <v>0.35373007082853508</v>
      </c>
    </row>
    <row r="875" spans="2:14" x14ac:dyDescent="0.55000000000000004">
      <c r="C875" s="2" t="s">
        <v>30</v>
      </c>
      <c r="D875" s="2">
        <v>18.637491000000001</v>
      </c>
      <c r="E875" s="2">
        <v>28.476427999999999</v>
      </c>
      <c r="F875" s="2">
        <v>23.096464999999998</v>
      </c>
      <c r="G875" s="2">
        <v>36.012008000000002</v>
      </c>
      <c r="H875" s="2">
        <v>19.910087000000001</v>
      </c>
      <c r="I875" s="2">
        <v>26.775853999999999</v>
      </c>
      <c r="J875" s="2">
        <v>34.677045999999997</v>
      </c>
      <c r="K875" s="2">
        <v>65.308318999999997</v>
      </c>
      <c r="L875" s="2">
        <f t="shared" si="38"/>
        <v>31.611712249999997</v>
      </c>
      <c r="M875" s="2">
        <f t="shared" si="39"/>
        <v>5.3036436241595064</v>
      </c>
      <c r="N875" s="2">
        <f t="shared" si="40"/>
        <v>5.935621175553659</v>
      </c>
    </row>
    <row r="876" spans="2:14" x14ac:dyDescent="0.55000000000000004">
      <c r="B876" s="2" t="s">
        <v>39</v>
      </c>
      <c r="C876" s="2" t="s">
        <v>22</v>
      </c>
      <c r="D876" s="2">
        <v>0.94702399999999998</v>
      </c>
      <c r="E876" s="2">
        <v>0.95060500000000003</v>
      </c>
      <c r="F876" s="2">
        <v>0.93176800000000004</v>
      </c>
      <c r="G876" s="2">
        <v>0.91505499999999995</v>
      </c>
      <c r="H876" s="2">
        <v>0.95258399999999999</v>
      </c>
      <c r="I876" s="2">
        <v>0.938334</v>
      </c>
      <c r="J876" s="2">
        <v>0.94883899999999999</v>
      </c>
      <c r="K876" s="2">
        <v>0.927342</v>
      </c>
      <c r="L876" s="2">
        <f t="shared" ref="L876:L884" si="41">AVERAGE(D876:K876)</f>
        <v>0.93894387499999998</v>
      </c>
      <c r="M876" s="2">
        <f t="shared" si="39"/>
        <v>4.7101405553697986E-3</v>
      </c>
      <c r="N876" s="2">
        <f t="shared" si="40"/>
        <v>5.2713967984071748E-3</v>
      </c>
    </row>
    <row r="877" spans="2:14" x14ac:dyDescent="0.55000000000000004">
      <c r="C877" s="2" t="s">
        <v>24</v>
      </c>
      <c r="D877" s="2">
        <v>0.317048</v>
      </c>
      <c r="E877" s="2">
        <v>0.306724</v>
      </c>
      <c r="F877" s="2">
        <v>0.36185099999999998</v>
      </c>
      <c r="G877" s="2">
        <v>0.40280500000000002</v>
      </c>
      <c r="H877" s="2">
        <v>0.30307699999999999</v>
      </c>
      <c r="I877" s="2">
        <v>0.34591499999999997</v>
      </c>
      <c r="J877" s="2">
        <v>0.31101899999999999</v>
      </c>
      <c r="K877" s="2">
        <v>0.37020999999999998</v>
      </c>
      <c r="L877" s="2">
        <f t="shared" si="41"/>
        <v>0.33983112500000001</v>
      </c>
      <c r="M877" s="2">
        <f t="shared" si="39"/>
        <v>1.282201661963501E-2</v>
      </c>
      <c r="N877" s="2">
        <f t="shared" si="40"/>
        <v>1.4349876943865641E-2</v>
      </c>
    </row>
    <row r="878" spans="2:14" x14ac:dyDescent="0.55000000000000004">
      <c r="C878" s="2" t="s">
        <v>26</v>
      </c>
      <c r="D878" s="2">
        <v>0.63420299999999996</v>
      </c>
      <c r="E878" s="2">
        <v>0.77002700000000002</v>
      </c>
      <c r="F878" s="2">
        <v>0.59200600000000003</v>
      </c>
      <c r="G878" s="2">
        <v>0.68147400000000002</v>
      </c>
      <c r="H878" s="2">
        <v>0.64369600000000005</v>
      </c>
      <c r="I878" s="2">
        <v>0.64181200000000005</v>
      </c>
      <c r="J878" s="2">
        <v>0.70992900000000003</v>
      </c>
      <c r="K878" s="2">
        <v>0.55739099999999997</v>
      </c>
      <c r="L878" s="2">
        <f t="shared" si="41"/>
        <v>0.65381725000000002</v>
      </c>
      <c r="M878" s="2">
        <f t="shared" si="39"/>
        <v>2.3591791532339323E-2</v>
      </c>
      <c r="N878" s="2">
        <f t="shared" si="40"/>
        <v>2.6402968847815886E-2</v>
      </c>
    </row>
    <row r="879" spans="2:14" x14ac:dyDescent="0.55000000000000004">
      <c r="C879" s="2" t="s">
        <v>28</v>
      </c>
      <c r="D879" s="2">
        <v>2.5493130000000002</v>
      </c>
      <c r="E879" s="2">
        <v>2.608282</v>
      </c>
      <c r="F879" s="2">
        <v>3.1834709999999999</v>
      </c>
      <c r="G879" s="2">
        <v>3.684104</v>
      </c>
      <c r="H879" s="2">
        <v>1.759765</v>
      </c>
      <c r="I879" s="2">
        <v>3.14744</v>
      </c>
      <c r="J879" s="2">
        <v>3.1911779999999998</v>
      </c>
      <c r="K879" s="2">
        <v>2.8660420000000002</v>
      </c>
      <c r="L879" s="2">
        <f t="shared" si="41"/>
        <v>2.8736993750000002</v>
      </c>
      <c r="M879" s="2">
        <f t="shared" si="39"/>
        <v>0.20463478152813872</v>
      </c>
      <c r="N879" s="2">
        <f t="shared" si="40"/>
        <v>0.22901888372744988</v>
      </c>
    </row>
    <row r="880" spans="2:14" x14ac:dyDescent="0.55000000000000004">
      <c r="C880" s="2" t="s">
        <v>30</v>
      </c>
      <c r="D880" s="2">
        <v>16.237113999999998</v>
      </c>
      <c r="E880" s="2">
        <v>21.132874000000001</v>
      </c>
      <c r="F880" s="2">
        <v>21.648121</v>
      </c>
      <c r="G880" s="2">
        <v>34.301343000000003</v>
      </c>
      <c r="H880" s="2">
        <v>12.701888</v>
      </c>
      <c r="I880" s="2">
        <v>19.948699999999999</v>
      </c>
      <c r="J880" s="2">
        <v>25.018955999999999</v>
      </c>
      <c r="K880" s="2">
        <v>38.984670999999999</v>
      </c>
      <c r="L880" s="2">
        <f t="shared" si="41"/>
        <v>23.746708374999997</v>
      </c>
      <c r="M880" s="2">
        <f t="shared" si="39"/>
        <v>3.1317999233882019</v>
      </c>
      <c r="N880" s="2">
        <f t="shared" si="40"/>
        <v>3.5049824724613265</v>
      </c>
    </row>
    <row r="881" spans="1:14" x14ac:dyDescent="0.55000000000000004">
      <c r="B881" s="2" t="s">
        <v>61</v>
      </c>
      <c r="C881" s="2" t="s">
        <v>22</v>
      </c>
      <c r="D881" s="2">
        <v>0.912775</v>
      </c>
      <c r="E881" s="2">
        <v>0.86050099999999996</v>
      </c>
      <c r="F881" s="2">
        <v>0.86996300000000004</v>
      </c>
      <c r="G881" s="2">
        <v>0.91540100000000002</v>
      </c>
      <c r="H881" s="2">
        <v>0.89364600000000005</v>
      </c>
      <c r="I881" s="2">
        <v>0.87759699999999996</v>
      </c>
      <c r="J881" s="2">
        <v>0.90049900000000005</v>
      </c>
      <c r="K881" s="2">
        <v>0.88090500000000005</v>
      </c>
      <c r="L881" s="2">
        <f t="shared" si="41"/>
        <v>0.8889108750000001</v>
      </c>
      <c r="M881" s="2">
        <f t="shared" si="39"/>
        <v>7.053583183737948E-3</v>
      </c>
      <c r="N881" s="2">
        <f t="shared" si="40"/>
        <v>7.8940820077365373E-3</v>
      </c>
    </row>
    <row r="882" spans="1:14" x14ac:dyDescent="0.55000000000000004">
      <c r="C882" s="2" t="s">
        <v>24</v>
      </c>
      <c r="D882" s="2">
        <v>0.411663</v>
      </c>
      <c r="E882" s="2">
        <v>0.515011</v>
      </c>
      <c r="F882" s="2">
        <v>0.50270199999999998</v>
      </c>
      <c r="G882" s="2">
        <v>0.39146599999999998</v>
      </c>
      <c r="H882" s="2">
        <v>0.45485500000000001</v>
      </c>
      <c r="I882" s="2">
        <v>0.48963899999999999</v>
      </c>
      <c r="J882" s="2">
        <v>0.43243900000000002</v>
      </c>
      <c r="K882" s="2">
        <v>0.48318499999999998</v>
      </c>
      <c r="L882" s="2">
        <f t="shared" si="41"/>
        <v>0.46011999999999997</v>
      </c>
      <c r="M882" s="2">
        <f t="shared" si="39"/>
        <v>1.58593284525003E-2</v>
      </c>
      <c r="N882" s="2">
        <f t="shared" si="40"/>
        <v>1.7749112207296816E-2</v>
      </c>
    </row>
    <row r="883" spans="1:14" x14ac:dyDescent="0.55000000000000004">
      <c r="C883" s="2" t="s">
        <v>26</v>
      </c>
      <c r="D883" s="2">
        <v>0.55668600000000001</v>
      </c>
      <c r="E883" s="2">
        <v>0.63793800000000001</v>
      </c>
      <c r="F883" s="2">
        <v>0.52646700000000002</v>
      </c>
      <c r="G883" s="2">
        <v>0.68068499999999998</v>
      </c>
      <c r="H883" s="2">
        <v>0.51683000000000001</v>
      </c>
      <c r="I883" s="2">
        <v>0.56167299999999998</v>
      </c>
      <c r="J883" s="2">
        <v>0.62410200000000005</v>
      </c>
      <c r="K883" s="2">
        <v>0.473491</v>
      </c>
      <c r="L883" s="2">
        <f t="shared" si="41"/>
        <v>0.57223400000000002</v>
      </c>
      <c r="M883" s="2">
        <f t="shared" si="39"/>
        <v>2.4653528079885554E-2</v>
      </c>
      <c r="N883" s="2">
        <f t="shared" si="40"/>
        <v>2.7591220996917128E-2</v>
      </c>
    </row>
    <row r="884" spans="1:14" x14ac:dyDescent="0.55000000000000004">
      <c r="A884" s="2" t="s">
        <v>20</v>
      </c>
      <c r="B884" s="2" t="s">
        <v>21</v>
      </c>
      <c r="C884" s="2" t="s">
        <v>22</v>
      </c>
      <c r="D884" s="2">
        <v>0.95468200000000003</v>
      </c>
      <c r="E884" s="2">
        <v>0.94900899999999999</v>
      </c>
      <c r="F884" s="2">
        <v>0.93313999999999997</v>
      </c>
      <c r="G884" s="2">
        <v>0.93077799999999999</v>
      </c>
      <c r="H884" s="2">
        <v>0.95376099999999997</v>
      </c>
      <c r="I884" s="2">
        <v>0.936693</v>
      </c>
      <c r="J884" s="2">
        <v>0.94345900000000005</v>
      </c>
      <c r="K884" s="2">
        <v>0.93253900000000001</v>
      </c>
      <c r="L884" s="2">
        <f t="shared" si="41"/>
        <v>0.94175762500000004</v>
      </c>
      <c r="M884" s="2">
        <f xml:space="preserve"> _xlfn.STDEV.S(D884:K884) / SQRT(COUNT(D884:K884))</f>
        <v>3.4642219696362888E-3</v>
      </c>
      <c r="N884" s="2">
        <f>M884*$N$2</f>
        <v>3.8770156399884365E-3</v>
      </c>
    </row>
    <row r="885" spans="1:14" x14ac:dyDescent="0.55000000000000004">
      <c r="A885" s="2">
        <v>1.833</v>
      </c>
      <c r="C885" s="2" t="s">
        <v>23</v>
      </c>
      <c r="D885" s="2">
        <v>9.6000000000000002E-5</v>
      </c>
      <c r="E885" s="2">
        <v>5.9299999999999999E-4</v>
      </c>
      <c r="F885" s="2">
        <v>3.48E-4</v>
      </c>
      <c r="G885" s="2">
        <v>1.5590000000000001E-3</v>
      </c>
      <c r="H885" s="2">
        <v>1.1900000000000001E-4</v>
      </c>
      <c r="I885" s="2">
        <v>5.7799999999999995E-4</v>
      </c>
      <c r="J885" s="2">
        <v>3.1500000000000001E-4</v>
      </c>
      <c r="K885" s="2">
        <v>1.22E-4</v>
      </c>
      <c r="L885" s="2">
        <f>(1/COUNT(D885:K885))*SQRT(SUMSQ(D885:K885))</f>
        <v>2.2963299523369893E-4</v>
      </c>
    </row>
    <row r="886" spans="1:14" x14ac:dyDescent="0.55000000000000004">
      <c r="C886" s="2" t="s">
        <v>24</v>
      </c>
      <c r="D886" s="2">
        <v>0.29541099999999998</v>
      </c>
      <c r="E886" s="2">
        <v>0.31200699999999998</v>
      </c>
      <c r="F886" s="2">
        <v>0.35852899999999999</v>
      </c>
      <c r="G886" s="2">
        <v>0.36582900000000002</v>
      </c>
      <c r="H886" s="2">
        <v>0.29955999999999999</v>
      </c>
      <c r="I886" s="2">
        <v>0.350912</v>
      </c>
      <c r="J886" s="2">
        <v>0.32607000000000003</v>
      </c>
      <c r="K886" s="2">
        <v>0.35944500000000001</v>
      </c>
      <c r="L886" s="2">
        <f>AVERAGE(D886:K886)</f>
        <v>0.33347037500000004</v>
      </c>
      <c r="M886" s="2">
        <f xml:space="preserve"> _xlfn.STDEV.S(D886:K886) / SQRT(COUNT(D886:K886))</f>
        <v>1.014869652069646E-2</v>
      </c>
      <c r="N886" s="2">
        <f>M886*$N$2</f>
        <v>1.1358006352106658E-2</v>
      </c>
    </row>
    <row r="887" spans="1:14" x14ac:dyDescent="0.55000000000000004">
      <c r="C887" s="2" t="s">
        <v>25</v>
      </c>
      <c r="D887" s="2">
        <v>2.8299999999999999E-4</v>
      </c>
      <c r="E887" s="2">
        <v>1.7589999999999999E-3</v>
      </c>
      <c r="F887" s="2">
        <v>8.8099999999999995E-4</v>
      </c>
      <c r="G887" s="2">
        <v>3.797E-3</v>
      </c>
      <c r="H887" s="2">
        <v>3.6400000000000001E-4</v>
      </c>
      <c r="I887" s="2">
        <v>1.6440000000000001E-3</v>
      </c>
      <c r="J887" s="2">
        <v>9.7099999999999997E-4</v>
      </c>
      <c r="K887" s="2">
        <v>3.1799999999999998E-4</v>
      </c>
      <c r="L887" s="2">
        <f>(1/COUNT(D887:K887))*SQRT(SUMSQ(D887:K887))</f>
        <v>5.8958058450478163E-4</v>
      </c>
    </row>
    <row r="888" spans="1:14" x14ac:dyDescent="0.55000000000000004">
      <c r="C888" s="2" t="s">
        <v>26</v>
      </c>
      <c r="D888" s="2">
        <v>0.65461400000000003</v>
      </c>
      <c r="E888" s="2">
        <v>0.76636800000000005</v>
      </c>
      <c r="F888" s="2">
        <v>0.59326699999999999</v>
      </c>
      <c r="G888" s="2">
        <v>0.71758699999999997</v>
      </c>
      <c r="H888" s="2">
        <v>0.64743899999999999</v>
      </c>
      <c r="I888" s="2">
        <v>0.63699700000000004</v>
      </c>
      <c r="J888" s="2">
        <v>0.69816100000000003</v>
      </c>
      <c r="K888" s="2">
        <v>0.56336600000000003</v>
      </c>
      <c r="L888" s="2">
        <f>AVERAGE(D888:K888)</f>
        <v>0.65972487499999999</v>
      </c>
      <c r="M888" s="2">
        <f xml:space="preserve"> _xlfn.STDEV.S(D888:K888) / SQRT(COUNT(D888:K888))</f>
        <v>2.3373298003305808E-2</v>
      </c>
      <c r="N888" s="2">
        <f>M888*$N$2</f>
        <v>2.6158439820310138E-2</v>
      </c>
    </row>
    <row r="889" spans="1:14" x14ac:dyDescent="0.55000000000000004">
      <c r="C889" s="2" t="s">
        <v>27</v>
      </c>
      <c r="D889" s="2">
        <v>2.9300000000000002E-4</v>
      </c>
      <c r="E889" s="2">
        <v>1.33E-3</v>
      </c>
      <c r="F889" s="2">
        <v>3.9500000000000001E-4</v>
      </c>
      <c r="G889" s="2">
        <v>4.2950000000000002E-3</v>
      </c>
      <c r="H889" s="2">
        <v>3.2299999999999999E-4</v>
      </c>
      <c r="I889" s="2">
        <v>1.47E-3</v>
      </c>
      <c r="J889" s="2">
        <v>7.1100000000000004E-4</v>
      </c>
      <c r="K889" s="2">
        <v>2.6699999999999998E-4</v>
      </c>
      <c r="L889" s="2">
        <f>(1/COUNT(D889:K889))*SQRT(SUMSQ(D889:K889))</f>
        <v>6.0337382173077418E-4</v>
      </c>
    </row>
    <row r="890" spans="1:14" x14ac:dyDescent="0.55000000000000004">
      <c r="C890" s="2" t="s">
        <v>28</v>
      </c>
      <c r="D890" s="2">
        <v>2.2104910000000002</v>
      </c>
      <c r="E890" s="2">
        <v>2.576346</v>
      </c>
      <c r="F890" s="2">
        <v>3.164679</v>
      </c>
      <c r="G890" s="2">
        <v>3.2141419999999998</v>
      </c>
      <c r="H890" s="2">
        <v>1.7281420000000001</v>
      </c>
      <c r="I890" s="2">
        <v>3.0475690000000002</v>
      </c>
      <c r="J890" s="2">
        <v>3.2178770000000001</v>
      </c>
      <c r="K890" s="2">
        <v>2.6484969999999999</v>
      </c>
      <c r="L890" s="2">
        <f>AVERAGE(D890:K890)</f>
        <v>2.7259678750000003</v>
      </c>
      <c r="M890" s="2">
        <f xml:space="preserve"> _xlfn.STDEV.S(D890:K890) / SQRT(COUNT(D890:K890))</f>
        <v>0.19207256003400217</v>
      </c>
      <c r="N890" s="2">
        <f>M890*$N$2</f>
        <v>0.21495975886978963</v>
      </c>
    </row>
    <row r="891" spans="1:14" x14ac:dyDescent="0.55000000000000004">
      <c r="C891" s="2" t="s">
        <v>29</v>
      </c>
      <c r="D891" s="2">
        <v>3.081E-3</v>
      </c>
      <c r="E891" s="2">
        <v>8.3269999999999993E-3</v>
      </c>
      <c r="F891" s="2">
        <v>3.7529999999999998E-3</v>
      </c>
      <c r="G891" s="2">
        <v>5.1732E-2</v>
      </c>
      <c r="H891" s="2">
        <v>3.0560000000000001E-3</v>
      </c>
      <c r="I891" s="2">
        <v>2.1073000000000001E-2</v>
      </c>
      <c r="J891" s="2">
        <v>6.5259999999999997E-3</v>
      </c>
      <c r="K891" s="2">
        <v>4.365E-3</v>
      </c>
      <c r="L891" s="2">
        <f>(1/COUNT(D891:K891))*SQRT(SUMSQ(D891:K891))</f>
        <v>7.1634583662938253E-3</v>
      </c>
    </row>
    <row r="892" spans="1:14" x14ac:dyDescent="0.55000000000000004">
      <c r="C892" s="2" t="s">
        <v>30</v>
      </c>
      <c r="D892" s="2">
        <v>15.576513</v>
      </c>
      <c r="E892" s="2">
        <v>19.821048999999999</v>
      </c>
      <c r="F892" s="2">
        <v>21.863610000000001</v>
      </c>
      <c r="G892" s="2">
        <v>35.499544999999998</v>
      </c>
      <c r="H892" s="2">
        <v>12.413804000000001</v>
      </c>
      <c r="I892" s="2">
        <v>18.062929</v>
      </c>
      <c r="J892" s="2">
        <v>24.563545999999999</v>
      </c>
      <c r="K892" s="2">
        <v>28.511119999999998</v>
      </c>
      <c r="L892" s="2">
        <f>AVERAGE(D892:K892)</f>
        <v>22.0390145</v>
      </c>
      <c r="M892" s="2">
        <f xml:space="preserve"> _xlfn.STDEV.S(D892:K892) / SQRT(COUNT(D892:K892))</f>
        <v>2.6207117580337145</v>
      </c>
      <c r="N892" s="2">
        <f>M892*$N$2</f>
        <v>2.9329934868073897</v>
      </c>
    </row>
    <row r="893" spans="1:14" x14ac:dyDescent="0.55000000000000004">
      <c r="C893" s="2" t="s">
        <v>31</v>
      </c>
      <c r="D893" s="2">
        <v>1.2515E-2</v>
      </c>
      <c r="E893" s="2">
        <v>3.5271999999999998E-2</v>
      </c>
      <c r="F893" s="2">
        <v>1.737E-2</v>
      </c>
      <c r="G893" s="2">
        <v>0.14591499999999999</v>
      </c>
      <c r="H893" s="2">
        <v>1.8651000000000001E-2</v>
      </c>
      <c r="I893" s="2">
        <v>6.6015000000000004E-2</v>
      </c>
      <c r="J893" s="2">
        <v>2.9883E-2</v>
      </c>
      <c r="K893" s="2">
        <v>0.23239499999999999</v>
      </c>
      <c r="L893" s="2">
        <f>(1/COUNT(D893:K893))*SQRT(SUMSQ(D893:K893))</f>
        <v>3.5925250754605037E-2</v>
      </c>
    </row>
    <row r="894" spans="1:14" x14ac:dyDescent="0.55000000000000004">
      <c r="B894" s="2" t="s">
        <v>32</v>
      </c>
      <c r="C894" s="2" t="s">
        <v>22</v>
      </c>
      <c r="D894" s="2">
        <v>0.95053500000000002</v>
      </c>
      <c r="E894" s="2">
        <v>0.94134700000000004</v>
      </c>
      <c r="F894" s="2">
        <v>0.93176199999999998</v>
      </c>
      <c r="G894" s="2">
        <v>0.92265600000000003</v>
      </c>
      <c r="H894" s="2">
        <v>0.94982699999999998</v>
      </c>
      <c r="I894" s="2">
        <v>0.933087</v>
      </c>
      <c r="J894" s="2">
        <v>0.95021500000000003</v>
      </c>
      <c r="K894" s="2">
        <v>0.93198099999999995</v>
      </c>
      <c r="L894" s="2">
        <f>AVERAGE(D894:K894)</f>
        <v>0.93892624999999996</v>
      </c>
      <c r="M894" s="2">
        <f xml:space="preserve"> _xlfn.STDEV.S(D894:K894) / SQRT(COUNT(D894:K894))</f>
        <v>3.7446776170128662E-3</v>
      </c>
      <c r="N894" s="2">
        <f>M894*$N$2</f>
        <v>4.1908901378504291E-3</v>
      </c>
    </row>
    <row r="895" spans="1:14" x14ac:dyDescent="0.55000000000000004">
      <c r="C895" s="2" t="s">
        <v>23</v>
      </c>
      <c r="D895" s="2">
        <v>6.1499999999999999E-4</v>
      </c>
      <c r="E895" s="2">
        <v>1.519E-3</v>
      </c>
      <c r="F895" s="2">
        <v>5.6999999999999998E-4</v>
      </c>
      <c r="G895" s="2">
        <v>1.2210000000000001E-3</v>
      </c>
      <c r="H895" s="2">
        <v>2.14E-4</v>
      </c>
      <c r="I895" s="2">
        <v>6.0800000000000003E-4</v>
      </c>
      <c r="J895" s="2">
        <v>9.8799999999999995E-4</v>
      </c>
      <c r="K895" s="2">
        <v>1.4200000000000001E-4</v>
      </c>
      <c r="L895" s="2">
        <f>(1/COUNT(D895:K895))*SQRT(SUMSQ(D895:K895))</f>
        <v>3.0396070366907628E-4</v>
      </c>
    </row>
    <row r="896" spans="1:14" x14ac:dyDescent="0.55000000000000004">
      <c r="C896" s="2" t="s">
        <v>24</v>
      </c>
      <c r="D896" s="2">
        <v>0.30821100000000001</v>
      </c>
      <c r="E896" s="2">
        <v>0.33336399999999999</v>
      </c>
      <c r="F896" s="2">
        <v>0.36190499999999998</v>
      </c>
      <c r="G896" s="2">
        <v>0.385656</v>
      </c>
      <c r="H896" s="2">
        <v>0.311087</v>
      </c>
      <c r="I896" s="2">
        <v>0.35939500000000002</v>
      </c>
      <c r="J896" s="2">
        <v>0.30704700000000001</v>
      </c>
      <c r="K896" s="2">
        <v>0.36174499999999998</v>
      </c>
      <c r="L896" s="2">
        <f>AVERAGE(D896:K896)</f>
        <v>0.34105124999999997</v>
      </c>
      <c r="M896" s="2">
        <f xml:space="preserve"> _xlfn.STDEV.S(D896:K896) / SQRT(COUNT(D896:K896))</f>
        <v>1.0674492454896524E-2</v>
      </c>
      <c r="N896" s="2">
        <f>M896*$N$2</f>
        <v>1.1946455671521951E-2</v>
      </c>
    </row>
    <row r="897" spans="2:14" x14ac:dyDescent="0.55000000000000004">
      <c r="C897" s="2" t="s">
        <v>25</v>
      </c>
      <c r="D897" s="2">
        <v>1.627E-3</v>
      </c>
      <c r="E897" s="2">
        <v>4.2220000000000001E-3</v>
      </c>
      <c r="F897" s="2">
        <v>1.346E-3</v>
      </c>
      <c r="G897" s="2">
        <v>2.7810000000000001E-3</v>
      </c>
      <c r="H897" s="2">
        <v>6.2299999999999996E-4</v>
      </c>
      <c r="I897" s="2">
        <v>1.5950000000000001E-3</v>
      </c>
      <c r="J897" s="2">
        <v>2.9120000000000001E-3</v>
      </c>
      <c r="K897" s="2">
        <v>3.6499999999999998E-4</v>
      </c>
      <c r="L897" s="2">
        <f>(1/COUNT(D897:K897))*SQRT(SUMSQ(D897:K897))</f>
        <v>8.0586922209810203E-4</v>
      </c>
    </row>
    <row r="898" spans="2:14" x14ac:dyDescent="0.55000000000000004">
      <c r="C898" s="2" t="s">
        <v>26</v>
      </c>
      <c r="D898" s="2">
        <v>0.64666900000000005</v>
      </c>
      <c r="E898" s="2">
        <v>0.75023799999999996</v>
      </c>
      <c r="F898" s="2">
        <v>0.59279899999999996</v>
      </c>
      <c r="G898" s="2">
        <v>0.704318</v>
      </c>
      <c r="H898" s="2">
        <v>0.63747799999999999</v>
      </c>
      <c r="I898" s="2">
        <v>0.63147299999999995</v>
      </c>
      <c r="J898" s="2">
        <v>0.71229799999999999</v>
      </c>
      <c r="K898" s="2">
        <v>0.55820899999999996</v>
      </c>
      <c r="L898" s="2">
        <f>AVERAGE(D898:K898)</f>
        <v>0.65418524999999983</v>
      </c>
      <c r="M898" s="2">
        <f xml:space="preserve"> _xlfn.STDEV.S(D898:K898) / SQRT(COUNT(D898:K898))</f>
        <v>2.2735945378998115E-2</v>
      </c>
      <c r="N898" s="2">
        <f>M898*$N$2</f>
        <v>2.5445140812831113E-2</v>
      </c>
    </row>
    <row r="899" spans="2:14" x14ac:dyDescent="0.55000000000000004">
      <c r="C899" s="2" t="s">
        <v>27</v>
      </c>
      <c r="D899" s="2">
        <v>1.5839999999999999E-3</v>
      </c>
      <c r="E899" s="2">
        <v>3.2049999999999999E-3</v>
      </c>
      <c r="F899" s="2">
        <v>4.4900000000000002E-4</v>
      </c>
      <c r="G899" s="2">
        <v>3.388E-3</v>
      </c>
      <c r="H899" s="2">
        <v>5.1699999999999999E-4</v>
      </c>
      <c r="I899" s="2">
        <v>1.224E-3</v>
      </c>
      <c r="J899" s="2">
        <v>2.2910000000000001E-3</v>
      </c>
      <c r="K899" s="2">
        <v>2.5900000000000001E-4</v>
      </c>
      <c r="L899" s="2">
        <f>(1/COUNT(D899:K899))*SQRT(SUMSQ(D899:K899))</f>
        <v>7.020333525730811E-4</v>
      </c>
    </row>
    <row r="900" spans="2:14" x14ac:dyDescent="0.55000000000000004">
      <c r="C900" s="2" t="s">
        <v>28</v>
      </c>
      <c r="D900" s="2">
        <v>2.4457249999999999</v>
      </c>
      <c r="E900" s="2">
        <v>2.678903</v>
      </c>
      <c r="F900" s="2">
        <v>3.1814610000000001</v>
      </c>
      <c r="G900" s="2">
        <v>3.4364919999999999</v>
      </c>
      <c r="H900" s="2">
        <v>1.814209</v>
      </c>
      <c r="I900" s="2">
        <v>3.3423590000000001</v>
      </c>
      <c r="J900" s="2">
        <v>3.1648770000000002</v>
      </c>
      <c r="K900" s="2">
        <v>2.8344490000000002</v>
      </c>
      <c r="L900" s="2">
        <f>AVERAGE(D900:K900)</f>
        <v>2.8623093750000002</v>
      </c>
      <c r="M900" s="2">
        <f xml:space="preserve"> _xlfn.STDEV.S(D900:K900) / SQRT(COUNT(D900:K900))</f>
        <v>0.19179645522233998</v>
      </c>
      <c r="N900" s="2">
        <f>M900*$N$2</f>
        <v>0.2146507536494334</v>
      </c>
    </row>
    <row r="901" spans="2:14" x14ac:dyDescent="0.55000000000000004">
      <c r="C901" s="2" t="s">
        <v>29</v>
      </c>
      <c r="D901" s="2">
        <v>4.1299000000000002E-2</v>
      </c>
      <c r="E901" s="2">
        <v>2.2151000000000001E-2</v>
      </c>
      <c r="F901" s="2">
        <v>5.6169999999999996E-3</v>
      </c>
      <c r="G901" s="2">
        <v>4.3117999999999997E-2</v>
      </c>
      <c r="H901" s="2">
        <v>4.8599999999999997E-3</v>
      </c>
      <c r="I901" s="2">
        <v>2.4424000000000001E-2</v>
      </c>
      <c r="J901" s="2">
        <v>2.1885000000000002E-2</v>
      </c>
      <c r="K901" s="2">
        <v>5.1130000000000004E-3</v>
      </c>
      <c r="L901" s="2">
        <f>(1/COUNT(D901:K901))*SQRT(SUMSQ(D901:K901))</f>
        <v>9.0244755604203947E-3</v>
      </c>
    </row>
    <row r="902" spans="2:14" x14ac:dyDescent="0.55000000000000004">
      <c r="C902" s="2" t="s">
        <v>30</v>
      </c>
      <c r="D902" s="2">
        <v>16.873072000000001</v>
      </c>
      <c r="E902" s="2">
        <v>19.761320999999999</v>
      </c>
      <c r="F902" s="2">
        <v>21.666810000000002</v>
      </c>
      <c r="G902" s="2">
        <v>35.66525</v>
      </c>
      <c r="H902" s="2">
        <v>13.16947</v>
      </c>
      <c r="I902" s="2">
        <v>20.147189000000001</v>
      </c>
      <c r="J902" s="2">
        <v>25.551871999999999</v>
      </c>
      <c r="K902" s="2">
        <v>46.404770999999997</v>
      </c>
      <c r="L902" s="2">
        <f>AVERAGE(D902:K902)</f>
        <v>24.904969375</v>
      </c>
      <c r="M902" s="2">
        <f xml:space="preserve"> _xlfn.STDEV.S(D902:K902) / SQRT(COUNT(D902:K902))</f>
        <v>3.8735738894480516</v>
      </c>
      <c r="N902" s="2">
        <f>M902*$N$2</f>
        <v>4.3351455777580199</v>
      </c>
    </row>
    <row r="903" spans="2:14" x14ac:dyDescent="0.55000000000000004">
      <c r="C903" s="2" t="s">
        <v>31</v>
      </c>
      <c r="D903" s="2">
        <v>9.3516000000000002E-2</v>
      </c>
      <c r="E903" s="2">
        <v>9.0615000000000001E-2</v>
      </c>
      <c r="F903" s="2">
        <v>1.468E-2</v>
      </c>
      <c r="G903" s="2">
        <v>0.14552599999999999</v>
      </c>
      <c r="H903" s="2">
        <v>5.4932000000000002E-2</v>
      </c>
      <c r="I903" s="2">
        <v>9.9449999999999997E-2</v>
      </c>
      <c r="J903" s="2">
        <v>0.199022</v>
      </c>
      <c r="K903" s="2">
        <v>0.21570300000000001</v>
      </c>
      <c r="L903" s="2">
        <f>(1/COUNT(D903:K903))*SQRT(SUMSQ(D903:K903))</f>
        <v>4.6333540661369167E-2</v>
      </c>
    </row>
    <row r="904" spans="2:14" x14ac:dyDescent="0.55000000000000004">
      <c r="B904" s="2" t="s">
        <v>33</v>
      </c>
      <c r="C904" s="2" t="s">
        <v>22</v>
      </c>
      <c r="D904" s="2">
        <v>0.95461499999999999</v>
      </c>
      <c r="E904" s="2">
        <v>0.94863200000000003</v>
      </c>
      <c r="F904" s="2">
        <v>0.93159899999999995</v>
      </c>
      <c r="G904" s="2">
        <v>0.92428900000000003</v>
      </c>
      <c r="H904" s="2">
        <v>0.95334799999999997</v>
      </c>
      <c r="I904" s="2">
        <v>0.93829099999999999</v>
      </c>
      <c r="J904" s="2">
        <v>0.94267299999999998</v>
      </c>
      <c r="K904" s="2">
        <v>0.93005099999999996</v>
      </c>
      <c r="L904" s="2">
        <f>AVERAGE(D904:K904)</f>
        <v>0.94043725</v>
      </c>
      <c r="M904" s="2">
        <f xml:space="preserve"> _xlfn.STDEV.S(D904:K904) / SQRT(COUNT(D904:K904))</f>
        <v>3.9892932275475993E-3</v>
      </c>
      <c r="N904" s="2">
        <f>M904*$N$2</f>
        <v>4.4646539313200635E-3</v>
      </c>
    </row>
    <row r="905" spans="2:14" x14ac:dyDescent="0.55000000000000004">
      <c r="C905" s="2" t="s">
        <v>23</v>
      </c>
      <c r="D905" s="2">
        <v>3.8999999999999999E-5</v>
      </c>
      <c r="E905" s="2">
        <v>1.6100000000000001E-4</v>
      </c>
      <c r="F905" s="2">
        <v>1.4300000000000001E-4</v>
      </c>
      <c r="G905" s="2">
        <v>3.5300000000000002E-4</v>
      </c>
      <c r="H905" s="2">
        <v>6.8999999999999997E-5</v>
      </c>
      <c r="I905" s="2">
        <v>1E-4</v>
      </c>
      <c r="J905" s="2">
        <v>2.5300000000000002E-4</v>
      </c>
      <c r="K905" s="2">
        <v>2.3E-5</v>
      </c>
      <c r="L905" s="2">
        <f>(1/COUNT(D905:K905))*SQRT(SUMSQ(D905:K905))</f>
        <v>6.2724471898932722E-5</v>
      </c>
    </row>
    <row r="906" spans="2:14" x14ac:dyDescent="0.55000000000000004">
      <c r="C906" s="2" t="s">
        <v>24</v>
      </c>
      <c r="D906" s="2">
        <v>0.29557899999999998</v>
      </c>
      <c r="E906" s="2">
        <v>0.31325199999999997</v>
      </c>
      <c r="F906" s="2">
        <v>0.36224299999999998</v>
      </c>
      <c r="G906" s="2">
        <v>0.38125599999999998</v>
      </c>
      <c r="H906" s="2">
        <v>0.30082799999999998</v>
      </c>
      <c r="I906" s="2">
        <v>0.34648600000000002</v>
      </c>
      <c r="J906" s="2">
        <v>0.32778299999999999</v>
      </c>
      <c r="K906" s="2">
        <v>0.367037</v>
      </c>
      <c r="L906" s="2">
        <f>AVERAGE(D906:K906)</f>
        <v>0.336808</v>
      </c>
      <c r="M906" s="2">
        <f xml:space="preserve"> _xlfn.STDEV.S(D906:K906) / SQRT(COUNT(D906:K906))</f>
        <v>1.1386667215902743E-2</v>
      </c>
      <c r="N906" s="2">
        <f>M906*$N$2</f>
        <v>1.2743492556290634E-2</v>
      </c>
    </row>
    <row r="907" spans="2:14" x14ac:dyDescent="0.55000000000000004">
      <c r="C907" s="2" t="s">
        <v>25</v>
      </c>
      <c r="D907" s="2">
        <v>1.1400000000000001E-4</v>
      </c>
      <c r="E907" s="2">
        <v>5.0500000000000002E-4</v>
      </c>
      <c r="F907" s="2">
        <v>3.5100000000000002E-4</v>
      </c>
      <c r="G907" s="2">
        <v>8.2399999999999997E-4</v>
      </c>
      <c r="H907" s="2">
        <v>2.0799999999999999E-4</v>
      </c>
      <c r="I907" s="2">
        <v>2.7999999999999998E-4</v>
      </c>
      <c r="J907" s="2">
        <v>6.8999999999999997E-4</v>
      </c>
      <c r="K907" s="2">
        <v>5.7000000000000003E-5</v>
      </c>
      <c r="L907" s="2">
        <f>(1/COUNT(D907:K907))*SQRT(SUMSQ(D907:K907))</f>
        <v>1.6159415792348433E-4</v>
      </c>
    </row>
    <row r="908" spans="2:14" x14ac:dyDescent="0.55000000000000004">
      <c r="C908" s="2" t="s">
        <v>26</v>
      </c>
      <c r="D908" s="2">
        <v>0.65450600000000003</v>
      </c>
      <c r="E908" s="2">
        <v>0.76532100000000003</v>
      </c>
      <c r="F908" s="2">
        <v>0.59163600000000005</v>
      </c>
      <c r="G908" s="2">
        <v>0.70011100000000004</v>
      </c>
      <c r="H908" s="2">
        <v>0.64649999999999996</v>
      </c>
      <c r="I908" s="2">
        <v>0.64034199999999997</v>
      </c>
      <c r="J908" s="2">
        <v>0.69645699999999999</v>
      </c>
      <c r="K908" s="2">
        <v>0.554253</v>
      </c>
      <c r="L908" s="2">
        <f>AVERAGE(D908:K908)</f>
        <v>0.65614075000000005</v>
      </c>
      <c r="M908" s="2">
        <f xml:space="preserve"> _xlfn.STDEV.S(D908:K908) / SQRT(COUNT(D908:K908))</f>
        <v>2.3286378311111716E-2</v>
      </c>
      <c r="N908" s="2">
        <f>M908*$N$2</f>
        <v>2.6061162853356759E-2</v>
      </c>
    </row>
    <row r="909" spans="2:14" x14ac:dyDescent="0.55000000000000004">
      <c r="C909" s="2" t="s">
        <v>27</v>
      </c>
      <c r="D909" s="2">
        <v>1.02E-4</v>
      </c>
      <c r="E909" s="2">
        <v>3.5799999999999997E-4</v>
      </c>
      <c r="F909" s="2">
        <v>1.37E-4</v>
      </c>
      <c r="G909" s="2">
        <v>9.9599999999999992E-4</v>
      </c>
      <c r="H909" s="2">
        <v>1.4300000000000001E-4</v>
      </c>
      <c r="I909" s="2">
        <v>2.5000000000000001E-4</v>
      </c>
      <c r="J909" s="2">
        <v>5.1400000000000003E-4</v>
      </c>
      <c r="K909" s="2">
        <v>3.8999999999999999E-5</v>
      </c>
      <c r="L909" s="2">
        <f>(1/COUNT(D909:K909))*SQRT(SUMSQ(D909:K909))</f>
        <v>1.5299198304159599E-4</v>
      </c>
    </row>
    <row r="910" spans="2:14" x14ac:dyDescent="0.55000000000000004">
      <c r="C910" s="2" t="s">
        <v>28</v>
      </c>
      <c r="D910" s="2">
        <v>2.2126299999999999</v>
      </c>
      <c r="E910" s="2">
        <v>2.5803370000000001</v>
      </c>
      <c r="F910" s="2">
        <v>3.1790759999999998</v>
      </c>
      <c r="G910" s="2">
        <v>3.4269029999999998</v>
      </c>
      <c r="H910" s="2">
        <v>1.736477</v>
      </c>
      <c r="I910" s="2">
        <v>2.9957739999999999</v>
      </c>
      <c r="J910" s="2">
        <v>3.2393420000000002</v>
      </c>
      <c r="K910" s="2">
        <v>2.869599</v>
      </c>
      <c r="L910" s="2">
        <f>AVERAGE(D910:K910)</f>
        <v>2.7800172500000002</v>
      </c>
      <c r="M910" s="2">
        <f xml:space="preserve"> _xlfn.STDEV.S(D910:K910) / SQRT(COUNT(D910:K910))</f>
        <v>0.20239816211949077</v>
      </c>
      <c r="N910" s="2">
        <f>M910*$N$2</f>
        <v>0.22651575069959135</v>
      </c>
    </row>
    <row r="911" spans="2:14" x14ac:dyDescent="0.55000000000000004">
      <c r="C911" s="2" t="s">
        <v>29</v>
      </c>
      <c r="D911" s="2">
        <v>1.41E-3</v>
      </c>
      <c r="E911" s="2">
        <v>2.1559999999999999E-3</v>
      </c>
      <c r="F911" s="2">
        <v>1.586E-3</v>
      </c>
      <c r="G911" s="2">
        <v>1.2611000000000001E-2</v>
      </c>
      <c r="H911" s="2">
        <v>1.1410000000000001E-3</v>
      </c>
      <c r="I911" s="2">
        <v>3.8289999999999999E-3</v>
      </c>
      <c r="J911" s="2">
        <v>5.5420000000000001E-3</v>
      </c>
      <c r="K911" s="2">
        <v>4.9799999999999996E-4</v>
      </c>
      <c r="L911" s="2">
        <f>(1/COUNT(D911:K911))*SQRT(SUMSQ(D911:K911))</f>
        <v>1.8333458271354592E-3</v>
      </c>
    </row>
    <row r="912" spans="2:14" x14ac:dyDescent="0.55000000000000004">
      <c r="C912" s="2" t="s">
        <v>30</v>
      </c>
      <c r="D912" s="2">
        <v>15.594920999999999</v>
      </c>
      <c r="E912" s="2">
        <v>19.865022</v>
      </c>
      <c r="F912" s="2">
        <v>21.828042</v>
      </c>
      <c r="G912" s="2">
        <v>35.408079999999998</v>
      </c>
      <c r="H912" s="2">
        <v>12.439942</v>
      </c>
      <c r="I912" s="2">
        <v>17.982488</v>
      </c>
      <c r="J912" s="2">
        <v>24.911853000000001</v>
      </c>
      <c r="K912" s="2">
        <v>46.854360999999997</v>
      </c>
      <c r="L912" s="2">
        <f>AVERAGE(D912:K912)</f>
        <v>24.360588624999998</v>
      </c>
      <c r="M912" s="2">
        <f xml:space="preserve"> _xlfn.STDEV.S(D912:K912) / SQRT(COUNT(D912:K912))</f>
        <v>4.0412241291878654</v>
      </c>
      <c r="N912" s="2">
        <f>M912*$N$2</f>
        <v>4.5227728739348034</v>
      </c>
    </row>
    <row r="913" spans="2:14" x14ac:dyDescent="0.55000000000000004">
      <c r="C913" s="2" t="s">
        <v>31</v>
      </c>
      <c r="D913" s="2">
        <v>6.5750000000000001E-3</v>
      </c>
      <c r="E913" s="2">
        <v>1.3563E-2</v>
      </c>
      <c r="F913" s="2">
        <v>6.6759999999999996E-3</v>
      </c>
      <c r="G913" s="2">
        <v>5.6689999999999997E-2</v>
      </c>
      <c r="H913" s="2">
        <v>1.2551E-2</v>
      </c>
      <c r="I913" s="2">
        <v>1.3556E-2</v>
      </c>
      <c r="J913" s="2">
        <v>5.3613000000000001E-2</v>
      </c>
      <c r="K913" s="2">
        <v>1.7586999999999998E-2</v>
      </c>
      <c r="L913" s="2">
        <f>(1/COUNT(D913:K913))*SQRT(SUMSQ(D913:K913))</f>
        <v>1.04660610315259E-2</v>
      </c>
    </row>
    <row r="914" spans="2:14" x14ac:dyDescent="0.55000000000000004">
      <c r="B914" s="2" t="s">
        <v>34</v>
      </c>
      <c r="C914" s="2" t="s">
        <v>22</v>
      </c>
      <c r="D914" s="2">
        <v>0.94701100000000005</v>
      </c>
      <c r="E914" s="2">
        <v>0.94375200000000004</v>
      </c>
      <c r="F914" s="2">
        <v>0.93271999999999999</v>
      </c>
      <c r="G914" s="2">
        <v>0.91995099999999996</v>
      </c>
      <c r="H914" s="2">
        <v>0.95066600000000001</v>
      </c>
      <c r="I914" s="2">
        <v>0.93607099999999999</v>
      </c>
      <c r="J914" s="2">
        <v>0.94557400000000003</v>
      </c>
      <c r="K914" s="2">
        <v>0.93090600000000001</v>
      </c>
      <c r="L914" s="2">
        <f>AVERAGE(D914:K914)</f>
        <v>0.93833137500000008</v>
      </c>
      <c r="M914" s="2">
        <f xml:space="preserve"> _xlfn.STDEV.S(D914:K914) / SQRT(COUNT(D914:K914))</f>
        <v>3.6324157149670165E-3</v>
      </c>
      <c r="N914" s="2">
        <f>M914*$N$2</f>
        <v>4.0652512054086074E-3</v>
      </c>
    </row>
    <row r="915" spans="2:14" x14ac:dyDescent="0.55000000000000004">
      <c r="C915" s="2" t="s">
        <v>23</v>
      </c>
      <c r="D915" s="2">
        <v>2.0100000000000001E-3</v>
      </c>
      <c r="E915" s="2">
        <v>3.2629999999999998E-3</v>
      </c>
      <c r="F915" s="2">
        <v>7.1000000000000002E-4</v>
      </c>
      <c r="G915" s="2">
        <v>1.2589999999999999E-3</v>
      </c>
      <c r="H915" s="2">
        <v>3.3799999999999998E-4</v>
      </c>
      <c r="I915" s="2">
        <v>2.2160000000000001E-3</v>
      </c>
      <c r="J915" s="2">
        <v>6.548E-3</v>
      </c>
      <c r="K915" s="2">
        <v>1.66E-4</v>
      </c>
      <c r="L915" s="2">
        <f>(1/COUNT(D915:K915))*SQRT(SUMSQ(D915:K915))</f>
        <v>1.0054943591338542E-3</v>
      </c>
    </row>
    <row r="916" spans="2:14" x14ac:dyDescent="0.55000000000000004">
      <c r="C916" s="2" t="s">
        <v>24</v>
      </c>
      <c r="D916" s="2">
        <v>0.31839400000000001</v>
      </c>
      <c r="E916" s="2">
        <v>0.32586300000000001</v>
      </c>
      <c r="F916" s="2">
        <v>0.35958499999999999</v>
      </c>
      <c r="G916" s="2">
        <v>0.39166099999999998</v>
      </c>
      <c r="H916" s="2">
        <v>0.30885699999999999</v>
      </c>
      <c r="I916" s="2">
        <v>0.35142800000000002</v>
      </c>
      <c r="J916" s="2">
        <v>0.317853</v>
      </c>
      <c r="K916" s="2">
        <v>0.364456</v>
      </c>
      <c r="L916" s="2">
        <f>AVERAGE(D916:K916)</f>
        <v>0.34226212500000003</v>
      </c>
      <c r="M916" s="2">
        <f xml:space="preserve"> _xlfn.STDEV.S(D916:K916) / SQRT(COUNT(D916:K916))</f>
        <v>1.0235825262348865E-2</v>
      </c>
      <c r="N916" s="2">
        <f>M916*$N$2</f>
        <v>1.1455517278669586E-2</v>
      </c>
    </row>
    <row r="917" spans="2:14" x14ac:dyDescent="0.55000000000000004">
      <c r="C917" s="2" t="s">
        <v>25</v>
      </c>
      <c r="D917" s="2">
        <v>5.3680000000000004E-3</v>
      </c>
      <c r="E917" s="2">
        <v>7.9410000000000001E-3</v>
      </c>
      <c r="F917" s="2">
        <v>1.7149999999999999E-3</v>
      </c>
      <c r="G917" s="2">
        <v>2.8300000000000001E-3</v>
      </c>
      <c r="H917" s="2">
        <v>9.6400000000000001E-4</v>
      </c>
      <c r="I917" s="2">
        <v>5.3949999999999996E-3</v>
      </c>
      <c r="J917" s="2">
        <v>1.4959999999999999E-2</v>
      </c>
      <c r="K917" s="2">
        <v>4.2900000000000002E-4</v>
      </c>
      <c r="L917" s="2">
        <f>(1/COUNT(D917:K917))*SQRT(SUMSQ(D917:K917))</f>
        <v>2.3612959630253893E-3</v>
      </c>
    </row>
    <row r="918" spans="2:14" x14ac:dyDescent="0.55000000000000004">
      <c r="C918" s="2" t="s">
        <v>26</v>
      </c>
      <c r="D918" s="2">
        <v>0.63622800000000002</v>
      </c>
      <c r="E918" s="2">
        <v>0.75677499999999998</v>
      </c>
      <c r="F918" s="2">
        <v>0.59275599999999995</v>
      </c>
      <c r="G918" s="2">
        <v>0.68851399999999996</v>
      </c>
      <c r="H918" s="2">
        <v>0.639706</v>
      </c>
      <c r="I918" s="2">
        <v>0.63756100000000004</v>
      </c>
      <c r="J918" s="2">
        <v>0.70496800000000004</v>
      </c>
      <c r="K918" s="2">
        <v>0.55689599999999995</v>
      </c>
      <c r="L918" s="2">
        <f>AVERAGE(D918:K918)</f>
        <v>0.65167549999999996</v>
      </c>
      <c r="M918" s="2">
        <f xml:space="preserve"> _xlfn.STDEV.S(D918:K918) / SQRT(COUNT(D918:K918))</f>
        <v>2.2471746123902854E-2</v>
      </c>
      <c r="N918" s="2">
        <f>M918*$N$2</f>
        <v>2.5149459804784977E-2</v>
      </c>
    </row>
    <row r="919" spans="2:14" x14ac:dyDescent="0.55000000000000004">
      <c r="C919" s="2" t="s">
        <v>27</v>
      </c>
      <c r="D919" s="2">
        <v>5.1879999999999999E-3</v>
      </c>
      <c r="E919" s="2">
        <v>5.8139999999999997E-3</v>
      </c>
      <c r="F919" s="2">
        <v>7.27E-4</v>
      </c>
      <c r="G919" s="2">
        <v>2.8549999999999999E-3</v>
      </c>
      <c r="H919" s="2">
        <v>7.7200000000000001E-4</v>
      </c>
      <c r="I919" s="2">
        <v>3.7450000000000001E-3</v>
      </c>
      <c r="J919" s="2">
        <v>9.9399999999999992E-3</v>
      </c>
      <c r="K919" s="2">
        <v>2.7399999999999999E-4</v>
      </c>
      <c r="L919" s="2">
        <f>(1/COUNT(D919:K919))*SQRT(SUMSQ(D919:K919))</f>
        <v>1.690493543872617E-3</v>
      </c>
    </row>
    <row r="920" spans="2:14" x14ac:dyDescent="0.55000000000000004">
      <c r="C920" s="2" t="s">
        <v>28</v>
      </c>
      <c r="D920" s="2">
        <v>2.5628880000000001</v>
      </c>
      <c r="E920" s="2">
        <v>2.7073209999999999</v>
      </c>
      <c r="F920" s="2">
        <v>3.1737829999999998</v>
      </c>
      <c r="G920" s="2">
        <v>3.61049</v>
      </c>
      <c r="H920" s="2">
        <v>1.8003439999999999</v>
      </c>
      <c r="I920" s="2">
        <v>3.113299</v>
      </c>
      <c r="J920" s="2">
        <v>3.3548390000000001</v>
      </c>
      <c r="K920" s="2">
        <v>2.8410530000000001</v>
      </c>
      <c r="L920" s="2">
        <f>AVERAGE(D920:K920)</f>
        <v>2.8955021249999997</v>
      </c>
      <c r="M920" s="2">
        <f xml:space="preserve"> _xlfn.STDEV.S(D920:K920) / SQRT(COUNT(D920:K920))</f>
        <v>0.19800135588482728</v>
      </c>
      <c r="N920" s="2">
        <f>M920*$N$2</f>
        <v>0.22159502486643154</v>
      </c>
    </row>
    <row r="921" spans="2:14" x14ac:dyDescent="0.55000000000000004">
      <c r="C921" s="2" t="s">
        <v>29</v>
      </c>
      <c r="D921" s="2">
        <v>0.105457</v>
      </c>
      <c r="E921" s="2">
        <v>6.6935999999999996E-2</v>
      </c>
      <c r="F921" s="2">
        <v>7.5649999999999997E-3</v>
      </c>
      <c r="G921" s="2">
        <v>4.2915000000000002E-2</v>
      </c>
      <c r="H921" s="2">
        <v>7.5500000000000003E-3</v>
      </c>
      <c r="I921" s="2">
        <v>0.114756</v>
      </c>
      <c r="J921" s="2">
        <v>0.295103</v>
      </c>
      <c r="K921" s="2">
        <v>3.5500000000000002E-3</v>
      </c>
      <c r="L921" s="2">
        <f>(1/COUNT(D921:K921))*SQRT(SUMSQ(D921:K921))</f>
        <v>4.2907032228849153E-2</v>
      </c>
    </row>
    <row r="922" spans="2:14" x14ac:dyDescent="0.55000000000000004">
      <c r="C922" s="2" t="s">
        <v>30</v>
      </c>
      <c r="D922" s="2">
        <v>16.956326000000001</v>
      </c>
      <c r="E922" s="2">
        <v>21.027466</v>
      </c>
      <c r="F922" s="2">
        <v>21.696978000000001</v>
      </c>
      <c r="G922" s="2">
        <v>35.850757999999999</v>
      </c>
      <c r="H922" s="2">
        <v>12.85744</v>
      </c>
      <c r="I922" s="2">
        <v>18.414224000000001</v>
      </c>
      <c r="J922" s="2">
        <v>27.151152</v>
      </c>
      <c r="K922" s="2">
        <v>46.101787000000002</v>
      </c>
      <c r="L922" s="2">
        <f>AVERAGE(D922:K922)</f>
        <v>25.007016375000003</v>
      </c>
      <c r="M922" s="2">
        <f xml:space="preserve"> _xlfn.STDEV.S(D922:K922) / SQRT(COUNT(D922:K922))</f>
        <v>3.8956415799000439</v>
      </c>
      <c r="N922" s="2">
        <f>M922*$N$2</f>
        <v>4.3598428349692204</v>
      </c>
    </row>
    <row r="923" spans="2:14" x14ac:dyDescent="0.55000000000000004">
      <c r="C923" s="2" t="s">
        <v>31</v>
      </c>
      <c r="D923" s="2">
        <v>0.192887</v>
      </c>
      <c r="E923" s="2">
        <v>0.29674299999999998</v>
      </c>
      <c r="F923" s="2">
        <v>1.3898000000000001E-2</v>
      </c>
      <c r="G923" s="2">
        <v>0.145346</v>
      </c>
      <c r="H923" s="2">
        <v>7.8025999999999998E-2</v>
      </c>
      <c r="I923" s="2">
        <v>0.47774</v>
      </c>
      <c r="J923" s="2">
        <v>3.0227780000000002</v>
      </c>
      <c r="K923" s="2">
        <v>8.8219000000000006E-2</v>
      </c>
      <c r="L923" s="2">
        <f>(1/COUNT(D923:K923))*SQRT(SUMSQ(D923:K923))</f>
        <v>0.38580017112285203</v>
      </c>
    </row>
    <row r="924" spans="2:14" x14ac:dyDescent="0.55000000000000004">
      <c r="B924" s="2" t="s">
        <v>35</v>
      </c>
      <c r="C924" s="2" t="s">
        <v>22</v>
      </c>
      <c r="D924" s="2">
        <v>0.94744499999999998</v>
      </c>
      <c r="E924" s="2">
        <v>0.93035400000000001</v>
      </c>
      <c r="F924" s="2">
        <v>0.92428900000000003</v>
      </c>
      <c r="G924" s="2">
        <v>0.91946600000000001</v>
      </c>
      <c r="H924" s="2">
        <v>0.94721699999999998</v>
      </c>
      <c r="I924" s="2">
        <v>0.92783499999999997</v>
      </c>
      <c r="J924" s="2">
        <v>0.93858299999999995</v>
      </c>
      <c r="K924" s="2">
        <v>0.92998499999999995</v>
      </c>
      <c r="L924" s="2">
        <f>AVERAGE(D924:K924)</f>
        <v>0.93314674999999991</v>
      </c>
      <c r="M924" s="2">
        <f xml:space="preserve"> _xlfn.STDEV.S(D924:K924) / SQRT(COUNT(D924:K924))</f>
        <v>3.6439729140341111E-3</v>
      </c>
      <c r="N924" s="2">
        <f>M924*$N$2</f>
        <v>4.0781855502428355E-3</v>
      </c>
    </row>
    <row r="925" spans="2:14" x14ac:dyDescent="0.55000000000000004">
      <c r="C925" s="2" t="s">
        <v>23</v>
      </c>
      <c r="D925" s="2">
        <v>2.4600000000000002E-4</v>
      </c>
      <c r="E925" s="2">
        <v>5.22E-4</v>
      </c>
      <c r="F925" s="2">
        <v>2.41E-4</v>
      </c>
      <c r="G925" s="2">
        <v>2.24E-4</v>
      </c>
      <c r="H925" s="2">
        <v>1.9000000000000001E-4</v>
      </c>
      <c r="I925" s="2">
        <v>2.4499999999999999E-4</v>
      </c>
      <c r="J925" s="2">
        <v>4.3899999999999999E-4</v>
      </c>
      <c r="K925" s="2">
        <v>6.7999999999999999E-5</v>
      </c>
      <c r="L925" s="2">
        <f>(1/COUNT(D925:K925))*SQRT(SUMSQ(D925:K925))</f>
        <v>1.0714527229420811E-4</v>
      </c>
    </row>
    <row r="926" spans="2:14" x14ac:dyDescent="0.55000000000000004">
      <c r="C926" s="2" t="s">
        <v>24</v>
      </c>
      <c r="D926" s="2">
        <v>0.31490099999999999</v>
      </c>
      <c r="E926" s="2">
        <v>0.35880600000000001</v>
      </c>
      <c r="F926" s="2">
        <v>0.37882500000000002</v>
      </c>
      <c r="G926" s="2">
        <v>0.39283200000000001</v>
      </c>
      <c r="H926" s="2">
        <v>0.31836399999999998</v>
      </c>
      <c r="I926" s="2">
        <v>0.37377700000000003</v>
      </c>
      <c r="J926" s="2">
        <v>0.336696</v>
      </c>
      <c r="K926" s="2">
        <v>0.36692200000000003</v>
      </c>
      <c r="L926" s="2">
        <f>AVERAGE(D926:K926)</f>
        <v>0.35514037500000001</v>
      </c>
      <c r="M926" s="2">
        <f xml:space="preserve"> _xlfn.STDEV.S(D926:K926) / SQRT(COUNT(D926:K926))</f>
        <v>1.0170941951281574E-2</v>
      </c>
      <c r="N926" s="2">
        <f>M926*$N$2</f>
        <v>1.1382902528810317E-2</v>
      </c>
    </row>
    <row r="927" spans="2:14" x14ac:dyDescent="0.55000000000000004">
      <c r="C927" s="2" t="s">
        <v>25</v>
      </c>
      <c r="D927" s="2">
        <v>6.6E-4</v>
      </c>
      <c r="E927" s="2">
        <v>1.307E-3</v>
      </c>
      <c r="F927" s="2">
        <v>5.5099999999999995E-4</v>
      </c>
      <c r="G927" s="2">
        <v>5.4299999999999997E-4</v>
      </c>
      <c r="H927" s="2">
        <v>5.4199999999999995E-4</v>
      </c>
      <c r="I927" s="2">
        <v>6.1200000000000002E-4</v>
      </c>
      <c r="J927" s="2">
        <v>1.214E-3</v>
      </c>
      <c r="K927" s="2">
        <v>1.8599999999999999E-4</v>
      </c>
      <c r="L927" s="2">
        <f>(1/COUNT(D927:K927))*SQRT(SUMSQ(D927:K927))</f>
        <v>2.77235205872198E-4</v>
      </c>
    </row>
    <row r="928" spans="2:14" x14ac:dyDescent="0.55000000000000004">
      <c r="C928" s="2" t="s">
        <v>26</v>
      </c>
      <c r="D928" s="2">
        <v>0.63724400000000003</v>
      </c>
      <c r="E928" s="2">
        <v>0.73209999999999997</v>
      </c>
      <c r="F928" s="2">
        <v>0.58460299999999998</v>
      </c>
      <c r="G928" s="2">
        <v>0.68676000000000004</v>
      </c>
      <c r="H928" s="2">
        <v>0.63112500000000005</v>
      </c>
      <c r="I928" s="2">
        <v>0.61881600000000003</v>
      </c>
      <c r="J928" s="2">
        <v>0.68975399999999998</v>
      </c>
      <c r="K928" s="2">
        <v>0.55402300000000004</v>
      </c>
      <c r="L928" s="2">
        <f>AVERAGE(D928:K928)</f>
        <v>0.64180312499999992</v>
      </c>
      <c r="M928" s="2">
        <f xml:space="preserve"> _xlfn.STDEV.S(D928:K928) / SQRT(COUNT(D928:K928))</f>
        <v>2.075122767146001E-2</v>
      </c>
      <c r="N928" s="2">
        <f>M928*$N$2</f>
        <v>2.3223925873219402E-2</v>
      </c>
    </row>
    <row r="929" spans="2:14" x14ac:dyDescent="0.55000000000000004">
      <c r="C929" s="2" t="s">
        <v>27</v>
      </c>
      <c r="D929" s="2">
        <v>6.1499999999999999E-4</v>
      </c>
      <c r="E929" s="2">
        <v>1.026E-3</v>
      </c>
      <c r="F929" s="2">
        <v>2.6699999999999998E-4</v>
      </c>
      <c r="G929" s="2">
        <v>7.5900000000000002E-4</v>
      </c>
      <c r="H929" s="2">
        <v>4.4799999999999999E-4</v>
      </c>
      <c r="I929" s="2">
        <v>4.44E-4</v>
      </c>
      <c r="J929" s="2">
        <v>9.4700000000000003E-4</v>
      </c>
      <c r="K929" s="2">
        <v>1.2799999999999999E-4</v>
      </c>
      <c r="L929" s="2">
        <f>(1/COUNT(D929:K929))*SQRT(SUMSQ(D929:K929))</f>
        <v>2.3012578082431354E-4</v>
      </c>
    </row>
    <row r="930" spans="2:14" x14ac:dyDescent="0.55000000000000004">
      <c r="C930" s="2" t="s">
        <v>28</v>
      </c>
      <c r="D930" s="2">
        <v>2.5371299999999999</v>
      </c>
      <c r="E930" s="2">
        <v>2.9125709999999998</v>
      </c>
      <c r="F930" s="2">
        <v>3.2693889999999999</v>
      </c>
      <c r="G930" s="2">
        <v>3.5419550000000002</v>
      </c>
      <c r="H930" s="2">
        <v>1.8785989999999999</v>
      </c>
      <c r="I930" s="2">
        <v>3.4407179999999999</v>
      </c>
      <c r="J930" s="2">
        <v>3.3801100000000002</v>
      </c>
      <c r="K930" s="2">
        <v>2.9011939999999998</v>
      </c>
      <c r="L930" s="2">
        <f>AVERAGE(D930:K930)</f>
        <v>2.9827082499999995</v>
      </c>
      <c r="M930" s="2">
        <f xml:space="preserve"> _xlfn.STDEV.S(D930:K930) / SQRT(COUNT(D930:K930))</f>
        <v>0.19783673289408513</v>
      </c>
      <c r="N930" s="2">
        <f>M930*$N$2</f>
        <v>0.2214107855436043</v>
      </c>
    </row>
    <row r="931" spans="2:14" x14ac:dyDescent="0.55000000000000004">
      <c r="C931" s="2" t="s">
        <v>29</v>
      </c>
      <c r="D931" s="2">
        <v>1.2945E-2</v>
      </c>
      <c r="E931" s="2">
        <v>7.9620000000000003E-3</v>
      </c>
      <c r="F931" s="2">
        <v>3.1440000000000001E-3</v>
      </c>
      <c r="G931" s="2">
        <v>9.8230000000000001E-3</v>
      </c>
      <c r="H931" s="2">
        <v>4.3229999999999996E-3</v>
      </c>
      <c r="I931" s="2">
        <v>1.0711E-2</v>
      </c>
      <c r="J931" s="2">
        <v>1.1736999999999999E-2</v>
      </c>
      <c r="K931" s="2">
        <v>1.4159999999999999E-3</v>
      </c>
      <c r="L931" s="2">
        <f>(1/COUNT(D931:K931))*SQRT(SUMSQ(D931:K931))</f>
        <v>3.0885843465291666E-3</v>
      </c>
    </row>
    <row r="932" spans="2:14" x14ac:dyDescent="0.55000000000000004">
      <c r="C932" s="2" t="s">
        <v>30</v>
      </c>
      <c r="D932" s="2">
        <v>16.240549999999999</v>
      </c>
      <c r="E932" s="2">
        <v>21.560271</v>
      </c>
      <c r="F932" s="2">
        <v>21.690807</v>
      </c>
      <c r="G932" s="2">
        <v>33.181108999999999</v>
      </c>
      <c r="H932" s="2">
        <v>13.635996</v>
      </c>
      <c r="I932" s="2">
        <v>19.313697000000001</v>
      </c>
      <c r="J932" s="2">
        <v>26.748533999999999</v>
      </c>
      <c r="K932" s="2">
        <v>49.129379</v>
      </c>
      <c r="L932" s="2">
        <f>AVERAGE(D932:K932)</f>
        <v>25.187542875000002</v>
      </c>
      <c r="M932" s="2">
        <f xml:space="preserve"> _xlfn.STDEV.S(D932:K932) / SQRT(COUNT(D932:K932))</f>
        <v>4.0375880238790067</v>
      </c>
      <c r="N932" s="2">
        <f>M932*$N$2</f>
        <v>4.5187034934867114</v>
      </c>
    </row>
    <row r="933" spans="2:14" x14ac:dyDescent="0.55000000000000004">
      <c r="C933" s="2" t="s">
        <v>31</v>
      </c>
      <c r="D933" s="2">
        <v>3.2562000000000001E-2</v>
      </c>
      <c r="E933" s="2">
        <v>4.7503999999999998E-2</v>
      </c>
      <c r="F933" s="2">
        <v>1.7347000000000001E-2</v>
      </c>
      <c r="G933" s="2">
        <v>7.1886000000000005E-2</v>
      </c>
      <c r="H933" s="2">
        <v>3.2231999999999997E-2</v>
      </c>
      <c r="I933" s="2">
        <v>4.0993000000000002E-2</v>
      </c>
      <c r="J933" s="2">
        <v>0.13297700000000001</v>
      </c>
      <c r="K933" s="2">
        <v>5.16E-2</v>
      </c>
      <c r="L933" s="2">
        <f>(1/COUNT(D933:K933))*SQRT(SUMSQ(D933:K933))</f>
        <v>2.2308280296716623E-2</v>
      </c>
    </row>
    <row r="934" spans="2:14" x14ac:dyDescent="0.55000000000000004">
      <c r="B934" s="2" t="s">
        <v>45</v>
      </c>
      <c r="C934" s="2" t="s">
        <v>22</v>
      </c>
      <c r="D934" s="2">
        <v>0.94432199999999999</v>
      </c>
      <c r="E934" s="2">
        <v>0.92245299999999997</v>
      </c>
      <c r="F934" s="2">
        <v>0.91469299999999998</v>
      </c>
      <c r="G934" s="2">
        <v>0.92764400000000002</v>
      </c>
      <c r="H934" s="2">
        <v>0.94951600000000003</v>
      </c>
      <c r="I934" s="2">
        <v>0.92377799999999999</v>
      </c>
      <c r="J934" s="2">
        <v>0.93712499999999999</v>
      </c>
      <c r="K934" s="2">
        <v>0.92854199999999998</v>
      </c>
      <c r="L934" s="2">
        <f>AVERAGE(D934:K934)</f>
        <v>0.9310091250000001</v>
      </c>
      <c r="M934" s="2">
        <f xml:space="preserve"> _xlfn.STDEV.S(D934:K934) / SQRT(COUNT(D934:K934))</f>
        <v>4.1538797288004515E-3</v>
      </c>
      <c r="N934" s="2">
        <f>M934*$N$2</f>
        <v>4.648852416602252E-3</v>
      </c>
    </row>
    <row r="935" spans="2:14" x14ac:dyDescent="0.55000000000000004">
      <c r="C935" s="2" t="s">
        <v>23</v>
      </c>
      <c r="D935" s="2">
        <v>7.6599999999999997E-4</v>
      </c>
      <c r="E935" s="2">
        <v>3.6540000000000001E-3</v>
      </c>
      <c r="F935" s="2">
        <v>2.6389999999999999E-3</v>
      </c>
      <c r="G935" s="2">
        <v>1.9300000000000001E-3</v>
      </c>
      <c r="H935" s="2">
        <v>1.9599999999999999E-4</v>
      </c>
      <c r="I935" s="2">
        <v>1.9040000000000001E-3</v>
      </c>
      <c r="J935" s="2">
        <v>1.14E-3</v>
      </c>
      <c r="K935" s="2">
        <v>9.4600000000000001E-4</v>
      </c>
      <c r="L935" s="2">
        <f>(1/COUNT(D935:K935))*SQRT(SUMSQ(D935:K935))</f>
        <v>6.9017480801967851E-4</v>
      </c>
    </row>
    <row r="936" spans="2:14" x14ac:dyDescent="0.55000000000000004">
      <c r="C936" s="2" t="s">
        <v>24</v>
      </c>
      <c r="D936" s="2">
        <v>0.32295400000000002</v>
      </c>
      <c r="E936" s="2">
        <v>0.37486799999999998</v>
      </c>
      <c r="F936" s="2">
        <v>0.400864</v>
      </c>
      <c r="G936" s="2">
        <v>0.36936799999999997</v>
      </c>
      <c r="H936" s="2">
        <v>0.31105699999999997</v>
      </c>
      <c r="I936" s="2">
        <v>0.381241</v>
      </c>
      <c r="J936" s="2">
        <v>0.33651999999999999</v>
      </c>
      <c r="K936" s="2">
        <v>0.369255</v>
      </c>
      <c r="L936" s="2">
        <f>AVERAGE(D936:K936)</f>
        <v>0.35826587499999996</v>
      </c>
      <c r="M936" s="2">
        <f xml:space="preserve"> _xlfn.STDEV.S(D936:K936) / SQRT(COUNT(D936:K936))</f>
        <v>1.1028044363345238E-2</v>
      </c>
      <c r="N936" s="2">
        <f>M936*$N$2</f>
        <v>1.2342136517211911E-2</v>
      </c>
    </row>
    <row r="937" spans="2:14" x14ac:dyDescent="0.55000000000000004">
      <c r="C937" s="2" t="s">
        <v>25</v>
      </c>
      <c r="D937" s="2">
        <v>2.1640000000000001E-3</v>
      </c>
      <c r="E937" s="2">
        <v>8.1790000000000005E-3</v>
      </c>
      <c r="F937" s="2">
        <v>6.0629999999999998E-3</v>
      </c>
      <c r="G937" s="2">
        <v>4.5710000000000004E-3</v>
      </c>
      <c r="H937" s="2">
        <v>5.9299999999999999E-4</v>
      </c>
      <c r="I937" s="2">
        <v>4.4349999999999997E-3</v>
      </c>
      <c r="J937" s="2">
        <v>2.8370000000000001E-3</v>
      </c>
      <c r="K937" s="2">
        <v>2.2420000000000001E-3</v>
      </c>
      <c r="L937" s="2">
        <f>(1/COUNT(D937:K937))*SQRT(SUMSQ(D937:K937))</f>
        <v>1.592604755188807E-3</v>
      </c>
    </row>
    <row r="938" spans="2:14" x14ac:dyDescent="0.55000000000000004">
      <c r="C938" s="2" t="s">
        <v>26</v>
      </c>
      <c r="D938" s="2">
        <v>0.63019199999999997</v>
      </c>
      <c r="E938" s="2">
        <v>0.71991499999999997</v>
      </c>
      <c r="F938" s="2">
        <v>0.57746799999999998</v>
      </c>
      <c r="G938" s="2">
        <v>0.69083600000000001</v>
      </c>
      <c r="H938" s="2">
        <v>0.63802999999999999</v>
      </c>
      <c r="I938" s="2">
        <v>0.61547799999999997</v>
      </c>
      <c r="J938" s="2">
        <v>0.69417899999999999</v>
      </c>
      <c r="K938" s="2">
        <v>0.55462699999999998</v>
      </c>
      <c r="L938" s="2">
        <f>AVERAGE(D938:K938)</f>
        <v>0.64009062500000002</v>
      </c>
      <c r="M938" s="2">
        <f xml:space="preserve"> _xlfn.STDEV.S(D938:K938) / SQRT(COUNT(D938:K938))</f>
        <v>2.0618217871873738E-2</v>
      </c>
      <c r="N938" s="2">
        <f>M938*$N$2</f>
        <v>2.3075066741850909E-2</v>
      </c>
    </row>
    <row r="939" spans="2:14" x14ac:dyDescent="0.55000000000000004">
      <c r="C939" s="2" t="s">
        <v>27</v>
      </c>
      <c r="D939" s="2">
        <v>2.4689999999999998E-3</v>
      </c>
      <c r="E939" s="2">
        <v>6.0689999999999997E-3</v>
      </c>
      <c r="F939" s="2">
        <v>2.4329999999999998E-3</v>
      </c>
      <c r="G939" s="2">
        <v>4.4140000000000004E-3</v>
      </c>
      <c r="H939" s="2">
        <v>4.8099999999999998E-4</v>
      </c>
      <c r="I939" s="2">
        <v>2.911E-3</v>
      </c>
      <c r="J939" s="2">
        <v>2.0569999999999998E-3</v>
      </c>
      <c r="K939" s="2">
        <v>1.338E-3</v>
      </c>
      <c r="L939" s="2">
        <f>(1/COUNT(D939:K939))*SQRT(SUMSQ(D939:K939))</f>
        <v>1.139204643051458E-3</v>
      </c>
    </row>
    <row r="940" spans="2:14" x14ac:dyDescent="0.55000000000000004">
      <c r="C940" s="2" t="s">
        <v>28</v>
      </c>
      <c r="D940" s="2">
        <v>2.7621709999999999</v>
      </c>
      <c r="E940" s="2">
        <v>3.131065</v>
      </c>
      <c r="F940" s="2">
        <v>3.3824519999999998</v>
      </c>
      <c r="G940" s="2">
        <v>3.5206819999999999</v>
      </c>
      <c r="H940" s="2">
        <v>1.8074570000000001</v>
      </c>
      <c r="I940" s="2">
        <v>3.7259150000000001</v>
      </c>
      <c r="J940" s="2">
        <v>3.467257</v>
      </c>
      <c r="K940" s="2">
        <v>2.8344200000000002</v>
      </c>
      <c r="L940" s="2">
        <f>AVERAGE(D940:K940)</f>
        <v>3.0789273750000001</v>
      </c>
      <c r="M940" s="2">
        <f xml:space="preserve"> _xlfn.STDEV.S(D940:K940) / SQRT(COUNT(D940:K940))</f>
        <v>0.21696530891324409</v>
      </c>
      <c r="N940" s="2">
        <f>M940*$N$2</f>
        <v>0.24281870600800032</v>
      </c>
    </row>
    <row r="941" spans="2:14" x14ac:dyDescent="0.55000000000000004">
      <c r="C941" s="2" t="s">
        <v>29</v>
      </c>
      <c r="D941" s="2">
        <v>2.8947000000000001E-2</v>
      </c>
      <c r="E941" s="2">
        <v>9.2993999999999993E-2</v>
      </c>
      <c r="F941" s="2">
        <v>2.8951000000000001E-2</v>
      </c>
      <c r="G941" s="2">
        <v>8.1894999999999996E-2</v>
      </c>
      <c r="H941" s="2">
        <v>3.7789999999999998E-3</v>
      </c>
      <c r="I941" s="2">
        <v>0.122034</v>
      </c>
      <c r="J941" s="2">
        <v>3.8622999999999998E-2</v>
      </c>
      <c r="K941" s="2">
        <v>2.7713000000000002E-2</v>
      </c>
      <c r="L941" s="2">
        <f>(1/COUNT(D941:K941))*SQRT(SUMSQ(D941:K941))</f>
        <v>2.3115568605784932E-2</v>
      </c>
    </row>
    <row r="942" spans="2:14" x14ac:dyDescent="0.55000000000000004">
      <c r="C942" s="2" t="s">
        <v>30</v>
      </c>
      <c r="D942" s="2">
        <v>17.023969000000001</v>
      </c>
      <c r="E942" s="2">
        <v>21.512311</v>
      </c>
      <c r="F942" s="2">
        <v>22.020987999999999</v>
      </c>
      <c r="G942" s="2">
        <v>28.667321999999999</v>
      </c>
      <c r="H942" s="2">
        <v>13.260608</v>
      </c>
      <c r="I942" s="2">
        <v>20.089027999999999</v>
      </c>
      <c r="J942" s="2">
        <v>27.596357999999999</v>
      </c>
      <c r="K942" s="2">
        <v>42.212085000000002</v>
      </c>
      <c r="L942" s="2">
        <f>AVERAGE(D942:K942)</f>
        <v>24.047833625000003</v>
      </c>
      <c r="M942" s="2">
        <f xml:space="preserve"> _xlfn.STDEV.S(D942:K942) / SQRT(COUNT(D942:K942))</f>
        <v>3.1503394295635028</v>
      </c>
      <c r="N942" s="2">
        <f>M942*$N$2</f>
        <v>3.5257311300327263</v>
      </c>
    </row>
    <row r="943" spans="2:14" x14ac:dyDescent="0.55000000000000004">
      <c r="C943" s="2" t="s">
        <v>31</v>
      </c>
      <c r="D943" s="2">
        <v>8.0810000000000007E-2</v>
      </c>
      <c r="E943" s="2">
        <v>0.40747100000000003</v>
      </c>
      <c r="F943" s="2">
        <v>9.5571000000000003E-2</v>
      </c>
      <c r="G943" s="2">
        <v>0.25218499999999999</v>
      </c>
      <c r="H943" s="2">
        <v>6.3634999999999997E-2</v>
      </c>
      <c r="I943" s="2">
        <v>0.26395999999999997</v>
      </c>
      <c r="J943" s="2">
        <v>0.24871099999999999</v>
      </c>
      <c r="K943" s="2">
        <v>1.1993290000000001</v>
      </c>
      <c r="L943" s="2">
        <f>(1/COUNT(D943:K943))*SQRT(SUMSQ(D943:K943))</f>
        <v>0.16860018668407889</v>
      </c>
    </row>
    <row r="944" spans="2:14" x14ac:dyDescent="0.55000000000000004">
      <c r="B944" s="2" t="s">
        <v>46</v>
      </c>
      <c r="C944" s="2" t="s">
        <v>22</v>
      </c>
      <c r="L944" s="2" t="e">
        <f>AVERAGE(D944:K944)</f>
        <v>#DIV/0!</v>
      </c>
      <c r="M944" s="2" t="e">
        <f xml:space="preserve"> _xlfn.STDEV.S(D944:K944) / SQRT(COUNT(D944:K944))</f>
        <v>#DIV/0!</v>
      </c>
      <c r="N944" s="2" t="e">
        <f>M944*$N$2</f>
        <v>#DIV/0!</v>
      </c>
    </row>
    <row r="945" spans="2:14" x14ac:dyDescent="0.55000000000000004">
      <c r="C945" s="2" t="s">
        <v>23</v>
      </c>
      <c r="L945" s="2" t="e">
        <f>(1/COUNT(D945:K945))*SQRT(SUMSQ(D945:K945))</f>
        <v>#DIV/0!</v>
      </c>
    </row>
    <row r="946" spans="2:14" x14ac:dyDescent="0.55000000000000004">
      <c r="C946" s="2" t="s">
        <v>24</v>
      </c>
      <c r="L946" s="2" t="e">
        <f>AVERAGE(D946:K946)</f>
        <v>#DIV/0!</v>
      </c>
      <c r="M946" s="2" t="e">
        <f xml:space="preserve"> _xlfn.STDEV.S(D946:K946) / SQRT(COUNT(D946:K946))</f>
        <v>#DIV/0!</v>
      </c>
      <c r="N946" s="2" t="e">
        <f>M946*$N$2</f>
        <v>#DIV/0!</v>
      </c>
    </row>
    <row r="947" spans="2:14" x14ac:dyDescent="0.55000000000000004">
      <c r="C947" s="2" t="s">
        <v>25</v>
      </c>
      <c r="L947" s="2" t="e">
        <f>(1/COUNT(D947:K947))*SQRT(SUMSQ(D947:K947))</f>
        <v>#DIV/0!</v>
      </c>
    </row>
    <row r="948" spans="2:14" x14ac:dyDescent="0.55000000000000004">
      <c r="C948" s="2" t="s">
        <v>26</v>
      </c>
      <c r="L948" s="2" t="e">
        <f>AVERAGE(D948:K948)</f>
        <v>#DIV/0!</v>
      </c>
      <c r="M948" s="2" t="e">
        <f xml:space="preserve"> _xlfn.STDEV.S(D948:K948) / SQRT(COUNT(D948:K948))</f>
        <v>#DIV/0!</v>
      </c>
      <c r="N948" s="2" t="e">
        <f>M948*$N$2</f>
        <v>#DIV/0!</v>
      </c>
    </row>
    <row r="949" spans="2:14" x14ac:dyDescent="0.55000000000000004">
      <c r="C949" s="2" t="s">
        <v>27</v>
      </c>
      <c r="L949" s="2" t="e">
        <f>(1/COUNT(D949:K949))*SQRT(SUMSQ(D949:K949))</f>
        <v>#DIV/0!</v>
      </c>
    </row>
    <row r="950" spans="2:14" x14ac:dyDescent="0.55000000000000004">
      <c r="C950" s="2" t="s">
        <v>28</v>
      </c>
      <c r="L950" s="2" t="e">
        <f>AVERAGE(D950:K950)</f>
        <v>#DIV/0!</v>
      </c>
      <c r="M950" s="2" t="e">
        <f xml:space="preserve"> _xlfn.STDEV.S(D950:K950) / SQRT(COUNT(D950:K950))</f>
        <v>#DIV/0!</v>
      </c>
      <c r="N950" s="2" t="e">
        <f>M950*$N$2</f>
        <v>#DIV/0!</v>
      </c>
    </row>
    <row r="951" spans="2:14" x14ac:dyDescent="0.55000000000000004">
      <c r="C951" s="2" t="s">
        <v>29</v>
      </c>
      <c r="L951" s="2" t="e">
        <f>(1/COUNT(D951:K951))*SQRT(SUMSQ(D951:K951))</f>
        <v>#DIV/0!</v>
      </c>
    </row>
    <row r="952" spans="2:14" x14ac:dyDescent="0.55000000000000004">
      <c r="C952" s="2" t="s">
        <v>30</v>
      </c>
      <c r="L952" s="2" t="e">
        <f>AVERAGE(D952:K952)</f>
        <v>#DIV/0!</v>
      </c>
      <c r="M952" s="2" t="e">
        <f xml:space="preserve"> _xlfn.STDEV.S(D952:K952) / SQRT(COUNT(D952:K952))</f>
        <v>#DIV/0!</v>
      </c>
      <c r="N952" s="2" t="e">
        <f>M952*$N$2</f>
        <v>#DIV/0!</v>
      </c>
    </row>
    <row r="953" spans="2:14" x14ac:dyDescent="0.55000000000000004">
      <c r="C953" s="2" t="s">
        <v>31</v>
      </c>
      <c r="L953" s="2" t="e">
        <f>(1/COUNT(D953:K953))*SQRT(SUMSQ(D953:K953))</f>
        <v>#DIV/0!</v>
      </c>
    </row>
    <row r="954" spans="2:14" x14ac:dyDescent="0.55000000000000004">
      <c r="B954" s="2" t="s">
        <v>36</v>
      </c>
      <c r="C954" s="2" t="s">
        <v>22</v>
      </c>
      <c r="D954" s="2">
        <v>0.93573399999999995</v>
      </c>
      <c r="E954" s="2">
        <v>0.92167399999999999</v>
      </c>
      <c r="F954" s="2">
        <v>0.92227099999999995</v>
      </c>
      <c r="G954" s="2">
        <v>0.94409699999999996</v>
      </c>
      <c r="H954" s="2">
        <v>0.94988899999999998</v>
      </c>
      <c r="I954" s="2">
        <v>0.92172600000000005</v>
      </c>
      <c r="J954" s="2">
        <v>0.93373499999999998</v>
      </c>
      <c r="K954" s="2">
        <v>0.92595700000000003</v>
      </c>
      <c r="L954" s="2">
        <f>AVERAGE(D954:K954)</f>
        <v>0.93188537500000002</v>
      </c>
      <c r="M954" s="2">
        <f xml:space="preserve"> _xlfn.STDEV.S(D954:K954) / SQRT(COUNT(D954:K954))</f>
        <v>3.8418611604714771E-3</v>
      </c>
      <c r="N954" s="2">
        <f>M954*$N$2</f>
        <v>4.2996539876386363E-3</v>
      </c>
    </row>
    <row r="955" spans="2:14" x14ac:dyDescent="0.55000000000000004">
      <c r="C955" s="2" t="s">
        <v>24</v>
      </c>
      <c r="D955" s="2">
        <v>0.34706300000000001</v>
      </c>
      <c r="E955" s="2">
        <v>0.38066899999999998</v>
      </c>
      <c r="F955" s="2">
        <v>0.38280399999999998</v>
      </c>
      <c r="G955" s="2">
        <v>0.32593699999999998</v>
      </c>
      <c r="H955" s="2">
        <v>0.31022</v>
      </c>
      <c r="I955" s="2">
        <v>0.38642100000000001</v>
      </c>
      <c r="J955" s="2">
        <v>0.346995</v>
      </c>
      <c r="K955" s="2">
        <v>0.37591799999999997</v>
      </c>
      <c r="L955" s="2">
        <f t="shared" ref="L955:L963" si="42">AVERAGE(D955:K955)</f>
        <v>0.35700337500000001</v>
      </c>
      <c r="M955" s="2">
        <f t="shared" ref="M955:M971" si="43" xml:space="preserve"> _xlfn.STDEV.S(D955:K955) / SQRT(COUNT(D955:K955))</f>
        <v>1.0178475375126353E-2</v>
      </c>
      <c r="N955" s="2">
        <f t="shared" ref="N955:N971" si="44">M955*$N$2</f>
        <v>1.1391333628874017E-2</v>
      </c>
    </row>
    <row r="956" spans="2:14" x14ac:dyDescent="0.55000000000000004">
      <c r="C956" s="2" t="s">
        <v>26</v>
      </c>
      <c r="D956" s="2">
        <v>0.60728300000000002</v>
      </c>
      <c r="E956" s="2">
        <v>0.71392599999999995</v>
      </c>
      <c r="F956" s="2">
        <v>0.58245000000000002</v>
      </c>
      <c r="G956" s="2">
        <v>0.72608399999999995</v>
      </c>
      <c r="H956" s="2">
        <v>0.63852600000000004</v>
      </c>
      <c r="I956" s="2">
        <v>0.61205500000000002</v>
      </c>
      <c r="J956" s="2">
        <v>0.68513000000000002</v>
      </c>
      <c r="K956" s="2">
        <v>0.54954599999999998</v>
      </c>
      <c r="L956" s="2">
        <f t="shared" si="42"/>
        <v>0.63937500000000014</v>
      </c>
      <c r="M956" s="2">
        <f t="shared" si="43"/>
        <v>2.2462876850324779E-2</v>
      </c>
      <c r="N956" s="2">
        <f t="shared" si="44"/>
        <v>2.5139533676298141E-2</v>
      </c>
    </row>
    <row r="957" spans="2:14" x14ac:dyDescent="0.55000000000000004">
      <c r="C957" s="2" t="s">
        <v>28</v>
      </c>
      <c r="D957" s="2">
        <v>3.1825990000000002</v>
      </c>
      <c r="E957" s="2">
        <v>3.02237</v>
      </c>
      <c r="F957" s="2">
        <v>3.2816879999999999</v>
      </c>
      <c r="G957" s="2">
        <v>2.9490090000000002</v>
      </c>
      <c r="H957" s="2">
        <v>1.7927569999999999</v>
      </c>
      <c r="I957" s="2">
        <v>3.8159540000000001</v>
      </c>
      <c r="J957" s="2">
        <v>3.4965290000000002</v>
      </c>
      <c r="K957" s="2">
        <v>3.0287570000000001</v>
      </c>
      <c r="L957" s="2">
        <f t="shared" si="42"/>
        <v>3.0712078749999998</v>
      </c>
      <c r="M957" s="2">
        <f t="shared" si="43"/>
        <v>0.20898612118498247</v>
      </c>
      <c r="N957" s="2">
        <f t="shared" si="44"/>
        <v>0.23388872522500737</v>
      </c>
    </row>
    <row r="958" spans="2:14" x14ac:dyDescent="0.55000000000000004">
      <c r="C958" s="2" t="s">
        <v>30</v>
      </c>
      <c r="D958" s="2">
        <v>17.478197999999999</v>
      </c>
      <c r="E958" s="2">
        <v>20.410504</v>
      </c>
      <c r="F958" s="2">
        <v>21.700593999999999</v>
      </c>
      <c r="G958" s="2">
        <v>26.363333000000001</v>
      </c>
      <c r="H958" s="2">
        <v>13.198714000000001</v>
      </c>
      <c r="I958" s="2">
        <v>19.936540999999998</v>
      </c>
      <c r="J958" s="2">
        <v>27.076018999999999</v>
      </c>
      <c r="K958" s="2">
        <v>50.698188999999999</v>
      </c>
      <c r="L958" s="2">
        <f t="shared" si="42"/>
        <v>24.607761499999995</v>
      </c>
      <c r="M958" s="2">
        <f t="shared" si="43"/>
        <v>4.0505084963461391</v>
      </c>
      <c r="N958" s="2">
        <f t="shared" si="44"/>
        <v>4.5331635581910446</v>
      </c>
    </row>
    <row r="959" spans="2:14" x14ac:dyDescent="0.55000000000000004">
      <c r="B959" s="2" t="s">
        <v>37</v>
      </c>
      <c r="C959" s="2" t="s">
        <v>22</v>
      </c>
      <c r="D959" s="2">
        <v>0.92268300000000003</v>
      </c>
      <c r="E959" s="2">
        <v>0.87250799999999995</v>
      </c>
      <c r="F959" s="2">
        <v>0.88888199999999995</v>
      </c>
      <c r="G959" s="2">
        <v>0.90517700000000001</v>
      </c>
      <c r="H959" s="2">
        <v>0.91597499999999998</v>
      </c>
      <c r="I959" s="2">
        <v>0.889096</v>
      </c>
      <c r="J959" s="2">
        <v>0.90514300000000003</v>
      </c>
      <c r="K959" s="2">
        <v>0.904335</v>
      </c>
      <c r="L959" s="2">
        <f t="shared" si="42"/>
        <v>0.9004748749999999</v>
      </c>
      <c r="M959" s="2">
        <f t="shared" si="43"/>
        <v>5.7294294637346577E-3</v>
      </c>
      <c r="N959" s="2">
        <f t="shared" si="44"/>
        <v>6.4121432846411964E-3</v>
      </c>
    </row>
    <row r="960" spans="2:14" x14ac:dyDescent="0.55000000000000004">
      <c r="C960" s="2" t="s">
        <v>24</v>
      </c>
      <c r="D960" s="2">
        <v>0.38307999999999998</v>
      </c>
      <c r="E960" s="2">
        <v>0.48210199999999997</v>
      </c>
      <c r="F960" s="2">
        <v>0.456623</v>
      </c>
      <c r="G960" s="2">
        <v>0.42408600000000002</v>
      </c>
      <c r="H960" s="2">
        <v>0.39844299999999999</v>
      </c>
      <c r="I960" s="2">
        <v>0.46066800000000002</v>
      </c>
      <c r="J960" s="2">
        <v>0.41932999999999998</v>
      </c>
      <c r="K960" s="2">
        <v>0.42750899999999997</v>
      </c>
      <c r="L960" s="2">
        <f t="shared" si="42"/>
        <v>0.43148012499999999</v>
      </c>
      <c r="M960" s="2">
        <f t="shared" si="43"/>
        <v>1.1725097184241619E-2</v>
      </c>
      <c r="N960" s="2">
        <f t="shared" si="44"/>
        <v>1.3122249544668134E-2</v>
      </c>
    </row>
    <row r="961" spans="1:14" x14ac:dyDescent="0.55000000000000004">
      <c r="C961" s="2" t="s">
        <v>26</v>
      </c>
      <c r="D961" s="2">
        <v>0.57513400000000003</v>
      </c>
      <c r="E961" s="2">
        <v>0.64593800000000001</v>
      </c>
      <c r="F961" s="2">
        <v>0.54828399999999999</v>
      </c>
      <c r="G961" s="2">
        <v>0.66361000000000003</v>
      </c>
      <c r="H961" s="2">
        <v>0.55810000000000004</v>
      </c>
      <c r="I961" s="2">
        <v>0.56697200000000003</v>
      </c>
      <c r="J961" s="2">
        <v>0.62809099999999995</v>
      </c>
      <c r="K961" s="2">
        <v>0.51851899999999995</v>
      </c>
      <c r="L961" s="2">
        <f t="shared" si="42"/>
        <v>0.58808099999999985</v>
      </c>
      <c r="M961" s="2">
        <f t="shared" si="43"/>
        <v>1.8218716089897384E-2</v>
      </c>
      <c r="N961" s="2">
        <f t="shared" si="44"/>
        <v>2.0389642419032714E-2</v>
      </c>
    </row>
    <row r="962" spans="1:14" x14ac:dyDescent="0.55000000000000004">
      <c r="C962" s="2" t="s">
        <v>28</v>
      </c>
      <c r="D962" s="2">
        <v>3.7385190000000001</v>
      </c>
      <c r="E962" s="2">
        <v>4.444439</v>
      </c>
      <c r="F962" s="2">
        <v>3.8847459999999998</v>
      </c>
      <c r="G962" s="2">
        <v>3.9447260000000002</v>
      </c>
      <c r="H962" s="2">
        <v>2.7242489999999999</v>
      </c>
      <c r="I962" s="2">
        <v>6.398568</v>
      </c>
      <c r="J962" s="2">
        <v>4.5716340000000004</v>
      </c>
      <c r="K962" s="2">
        <v>3.5028760000000001</v>
      </c>
      <c r="L962" s="2">
        <f t="shared" si="42"/>
        <v>4.1512196249999995</v>
      </c>
      <c r="M962" s="2">
        <f t="shared" si="43"/>
        <v>0.37923477471439387</v>
      </c>
      <c r="N962" s="2">
        <f t="shared" si="44"/>
        <v>0.42442405991367926</v>
      </c>
    </row>
    <row r="963" spans="1:14" x14ac:dyDescent="0.55000000000000004">
      <c r="C963" s="2" t="s">
        <v>30</v>
      </c>
      <c r="D963" s="2">
        <v>18.776717000000001</v>
      </c>
      <c r="E963" s="2">
        <v>29.734203000000001</v>
      </c>
      <c r="F963" s="2">
        <v>23.110944</v>
      </c>
      <c r="G963" s="2">
        <v>35.952156000000002</v>
      </c>
      <c r="H963" s="2">
        <v>19.728981000000001</v>
      </c>
      <c r="I963" s="2">
        <v>33.145660999999997</v>
      </c>
      <c r="J963" s="2">
        <v>37.262000999999998</v>
      </c>
      <c r="K963" s="2">
        <v>65.549614000000005</v>
      </c>
      <c r="L963" s="2">
        <f t="shared" si="42"/>
        <v>32.907534625000004</v>
      </c>
      <c r="M963" s="2">
        <f t="shared" si="43"/>
        <v>5.300253785528402</v>
      </c>
      <c r="N963" s="2">
        <f t="shared" si="44"/>
        <v>5.9318274067059864</v>
      </c>
    </row>
    <row r="964" spans="1:14" x14ac:dyDescent="0.55000000000000004">
      <c r="B964" s="2" t="s">
        <v>39</v>
      </c>
      <c r="C964" s="2" t="s">
        <v>22</v>
      </c>
      <c r="D964" s="2">
        <v>0.94740599999999997</v>
      </c>
      <c r="E964" s="2">
        <v>0.95011400000000001</v>
      </c>
      <c r="F964" s="2">
        <v>0.924655</v>
      </c>
      <c r="G964" s="2">
        <v>0.914551</v>
      </c>
      <c r="H964" s="2">
        <v>0.952824</v>
      </c>
      <c r="I964" s="2">
        <v>0.938195</v>
      </c>
      <c r="J964" s="2">
        <v>0.94818199999999997</v>
      </c>
      <c r="K964" s="2">
        <v>0.93129799999999996</v>
      </c>
      <c r="L964" s="2">
        <f t="shared" ref="L964:L972" si="45">AVERAGE(D964:K964)</f>
        <v>0.938403125</v>
      </c>
      <c r="M964" s="2">
        <f t="shared" si="43"/>
        <v>4.873846583103021E-3</v>
      </c>
      <c r="N964" s="2">
        <f t="shared" si="44"/>
        <v>5.4546098937125892E-3</v>
      </c>
    </row>
    <row r="965" spans="1:14" x14ac:dyDescent="0.55000000000000004">
      <c r="C965" s="2" t="s">
        <v>24</v>
      </c>
      <c r="D965" s="2">
        <v>0.315944</v>
      </c>
      <c r="E965" s="2">
        <v>0.30808999999999997</v>
      </c>
      <c r="F965" s="2">
        <v>0.37983099999999997</v>
      </c>
      <c r="G965" s="2">
        <v>0.40399499999999999</v>
      </c>
      <c r="H965" s="2">
        <v>0.30229499999999998</v>
      </c>
      <c r="I965" s="2">
        <v>0.34634799999999999</v>
      </c>
      <c r="J965" s="2">
        <v>0.31286900000000001</v>
      </c>
      <c r="K965" s="2">
        <v>0.36377999999999999</v>
      </c>
      <c r="L965" s="2">
        <f t="shared" si="45"/>
        <v>0.34164399999999995</v>
      </c>
      <c r="M965" s="2">
        <f t="shared" si="43"/>
        <v>1.3376905487764119E-2</v>
      </c>
      <c r="N965" s="2">
        <f t="shared" si="44"/>
        <v>1.4970885885858438E-2</v>
      </c>
    </row>
    <row r="966" spans="1:14" x14ac:dyDescent="0.55000000000000004">
      <c r="C966" s="2" t="s">
        <v>26</v>
      </c>
      <c r="D966" s="2">
        <v>0.63529999999999998</v>
      </c>
      <c r="E966" s="2">
        <v>0.76906399999999997</v>
      </c>
      <c r="F966" s="2">
        <v>0.58320000000000005</v>
      </c>
      <c r="G966" s="2">
        <v>0.679813</v>
      </c>
      <c r="H966" s="2">
        <v>0.64438300000000004</v>
      </c>
      <c r="I966" s="2">
        <v>0.64144599999999996</v>
      </c>
      <c r="J966" s="2">
        <v>0.70829399999999998</v>
      </c>
      <c r="K966" s="2">
        <v>0.55719399999999997</v>
      </c>
      <c r="L966" s="2">
        <f t="shared" si="45"/>
        <v>0.65233675000000002</v>
      </c>
      <c r="M966" s="2">
        <f t="shared" si="43"/>
        <v>2.3835583969553643E-2</v>
      </c>
      <c r="N966" s="2">
        <f t="shared" si="44"/>
        <v>2.6675811379349754E-2</v>
      </c>
    </row>
    <row r="967" spans="1:14" x14ac:dyDescent="0.55000000000000004">
      <c r="C967" s="2" t="s">
        <v>28</v>
      </c>
      <c r="D967" s="2">
        <v>2.5355880000000002</v>
      </c>
      <c r="E967" s="2">
        <v>2.6153979999999999</v>
      </c>
      <c r="F967" s="2">
        <v>3.2710469999999998</v>
      </c>
      <c r="G967" s="2">
        <v>3.6995580000000001</v>
      </c>
      <c r="H967" s="2">
        <v>1.754254</v>
      </c>
      <c r="I967" s="2">
        <v>3.1491400000000001</v>
      </c>
      <c r="J967" s="2">
        <v>3.2048269999999999</v>
      </c>
      <c r="K967" s="2">
        <v>2.8375080000000001</v>
      </c>
      <c r="L967" s="2">
        <f t="shared" si="45"/>
        <v>2.8834149999999994</v>
      </c>
      <c r="M967" s="2">
        <f t="shared" si="43"/>
        <v>0.20959962530765108</v>
      </c>
      <c r="N967" s="2">
        <f t="shared" si="44"/>
        <v>0.23457533396417929</v>
      </c>
    </row>
    <row r="968" spans="1:14" x14ac:dyDescent="0.55000000000000004">
      <c r="C968" s="2" t="s">
        <v>30</v>
      </c>
      <c r="D968" s="2">
        <v>16.225031000000001</v>
      </c>
      <c r="E968" s="2">
        <v>21.196217999999998</v>
      </c>
      <c r="F968" s="2">
        <v>21.881219999999999</v>
      </c>
      <c r="G968" s="2">
        <v>34.251010000000001</v>
      </c>
      <c r="H968" s="2">
        <v>12.670705</v>
      </c>
      <c r="I968" s="2">
        <v>19.928142999999999</v>
      </c>
      <c r="J968" s="2">
        <v>25.209046000000001</v>
      </c>
      <c r="K968" s="2">
        <v>46.179271999999997</v>
      </c>
      <c r="L968" s="2">
        <f t="shared" si="45"/>
        <v>24.692580625000002</v>
      </c>
      <c r="M968" s="2">
        <f t="shared" si="43"/>
        <v>3.8087335519161791</v>
      </c>
      <c r="N968" s="2">
        <f t="shared" si="44"/>
        <v>4.2625789221231933</v>
      </c>
    </row>
    <row r="969" spans="1:14" x14ac:dyDescent="0.55000000000000004">
      <c r="B969" s="2" t="s">
        <v>61</v>
      </c>
      <c r="C969" s="2" t="s">
        <v>22</v>
      </c>
      <c r="D969" s="2">
        <v>0.91219300000000003</v>
      </c>
      <c r="E969" s="2">
        <v>0.85692699999999999</v>
      </c>
      <c r="F969" s="2">
        <v>0.868564</v>
      </c>
      <c r="G969" s="2">
        <v>0.91616600000000004</v>
      </c>
      <c r="H969" s="2">
        <v>0.89542299999999997</v>
      </c>
      <c r="I969" s="2">
        <v>0.87638799999999994</v>
      </c>
      <c r="J969" s="2">
        <v>0.89553799999999995</v>
      </c>
      <c r="K969" s="2">
        <v>0.87891600000000003</v>
      </c>
      <c r="L969" s="2">
        <f t="shared" si="45"/>
        <v>0.88751437500000008</v>
      </c>
      <c r="M969" s="2">
        <f t="shared" si="43"/>
        <v>7.3791544592508845E-3</v>
      </c>
      <c r="N969" s="2">
        <f t="shared" si="44"/>
        <v>8.2584480726590921E-3</v>
      </c>
    </row>
    <row r="970" spans="1:14" x14ac:dyDescent="0.55000000000000004">
      <c r="C970" s="2" t="s">
        <v>24</v>
      </c>
      <c r="D970" s="2">
        <v>0.41403699999999999</v>
      </c>
      <c r="E970" s="2">
        <v>0.521096</v>
      </c>
      <c r="F970" s="2">
        <v>0.50556900000000005</v>
      </c>
      <c r="G970" s="2">
        <v>0.38969199999999998</v>
      </c>
      <c r="H970" s="2">
        <v>0.45089600000000002</v>
      </c>
      <c r="I970" s="2">
        <v>0.49287199999999998</v>
      </c>
      <c r="J970" s="2">
        <v>0.44522400000000001</v>
      </c>
      <c r="K970" s="2">
        <v>0.487319</v>
      </c>
      <c r="L970" s="2">
        <f t="shared" si="45"/>
        <v>0.46333812499999993</v>
      </c>
      <c r="M970" s="2">
        <f t="shared" si="43"/>
        <v>1.6313902768845333E-2</v>
      </c>
      <c r="N970" s="2">
        <f t="shared" si="44"/>
        <v>1.8257853202952985E-2</v>
      </c>
    </row>
    <row r="971" spans="1:14" x14ac:dyDescent="0.55000000000000004">
      <c r="C971" s="2" t="s">
        <v>26</v>
      </c>
      <c r="D971" s="2">
        <v>0.55670500000000001</v>
      </c>
      <c r="E971" s="2">
        <v>0.63184499999999999</v>
      </c>
      <c r="F971" s="2">
        <v>0.52432100000000004</v>
      </c>
      <c r="G971" s="2">
        <v>0.684415</v>
      </c>
      <c r="H971" s="2">
        <v>0.51949900000000004</v>
      </c>
      <c r="I971" s="2">
        <v>0.55993400000000004</v>
      </c>
      <c r="J971" s="2">
        <v>0.61443899999999996</v>
      </c>
      <c r="K971" s="2">
        <v>0.47090500000000002</v>
      </c>
      <c r="L971" s="2">
        <f t="shared" si="45"/>
        <v>0.57025787500000003</v>
      </c>
      <c r="M971" s="2">
        <f t="shared" si="43"/>
        <v>2.4503903268836027E-2</v>
      </c>
      <c r="N971" s="2">
        <f t="shared" si="44"/>
        <v>2.7423767023801705E-2</v>
      </c>
    </row>
    <row r="972" spans="1:14" x14ac:dyDescent="0.55000000000000004">
      <c r="A972" s="2" t="s">
        <v>20</v>
      </c>
      <c r="B972" s="2" t="s">
        <v>21</v>
      </c>
      <c r="C972" s="2" t="s">
        <v>22</v>
      </c>
      <c r="D972" s="2">
        <v>0.95463399999999998</v>
      </c>
      <c r="E972" s="2">
        <v>0.949465</v>
      </c>
      <c r="F972" s="2">
        <v>0.93236799999999997</v>
      </c>
      <c r="G972" s="2">
        <v>0.93020800000000003</v>
      </c>
      <c r="H972" s="2">
        <v>0.95363600000000004</v>
      </c>
      <c r="I972" s="2">
        <v>0.93550299999999997</v>
      </c>
      <c r="J972" s="2">
        <v>0.94582699999999997</v>
      </c>
      <c r="K972" s="2">
        <v>0.93012399999999995</v>
      </c>
      <c r="L972" s="2">
        <f t="shared" si="45"/>
        <v>0.94147062499999989</v>
      </c>
      <c r="M972" s="2">
        <f xml:space="preserve"> _xlfn.STDEV.S(D972:K972) / SQRT(COUNT(D972:K972))</f>
        <v>3.7278435356569496E-3</v>
      </c>
      <c r="N972" s="2">
        <f>M972*$N$2</f>
        <v>4.1720501220333774E-3</v>
      </c>
    </row>
    <row r="973" spans="1:14" x14ac:dyDescent="0.55000000000000004">
      <c r="A973" s="2">
        <v>2</v>
      </c>
      <c r="C973" s="2" t="s">
        <v>23</v>
      </c>
      <c r="D973" s="2">
        <v>7.7000000000000001E-5</v>
      </c>
      <c r="E973" s="2">
        <v>6.7500000000000004E-4</v>
      </c>
      <c r="F973" s="2">
        <v>8.2100000000000001E-4</v>
      </c>
      <c r="G973" s="2">
        <v>1.1039999999999999E-3</v>
      </c>
      <c r="H973" s="2">
        <v>1.4999999999999999E-4</v>
      </c>
      <c r="I973" s="2">
        <v>7.4299999999999995E-4</v>
      </c>
      <c r="J973" s="2">
        <v>5.1900000000000004E-4</v>
      </c>
      <c r="K973" s="2">
        <v>4.1E-5</v>
      </c>
      <c r="L973" s="2">
        <f>(1/COUNT(D973:K973))*SQRT(SUMSQ(D973:K973))</f>
        <v>2.2360686762709235E-4</v>
      </c>
    </row>
    <row r="974" spans="1:14" x14ac:dyDescent="0.55000000000000004">
      <c r="C974" s="2" t="s">
        <v>24</v>
      </c>
      <c r="D974" s="2">
        <v>0.295541</v>
      </c>
      <c r="E974" s="2">
        <v>0.31068800000000002</v>
      </c>
      <c r="F974" s="2">
        <v>0.36038999999999999</v>
      </c>
      <c r="G974" s="2">
        <v>0.36704999999999999</v>
      </c>
      <c r="H974" s="2">
        <v>0.29995899999999998</v>
      </c>
      <c r="I974" s="2">
        <v>0.35420400000000002</v>
      </c>
      <c r="J974" s="2">
        <v>0.31731399999999998</v>
      </c>
      <c r="K974" s="2">
        <v>0.36685000000000001</v>
      </c>
      <c r="L974" s="2">
        <f>AVERAGE(D974:K974)</f>
        <v>0.33399949999999995</v>
      </c>
      <c r="M974" s="2">
        <f xml:space="preserve"> _xlfn.STDEV.S(D974:K974) / SQRT(COUNT(D974:K974))</f>
        <v>1.0967333814560401E-2</v>
      </c>
      <c r="N974" s="2">
        <f>M974*$N$2</f>
        <v>1.2274191752351532E-2</v>
      </c>
    </row>
    <row r="975" spans="1:14" x14ac:dyDescent="0.55000000000000004">
      <c r="C975" s="2" t="s">
        <v>25</v>
      </c>
      <c r="D975" s="2">
        <v>2.1100000000000001E-4</v>
      </c>
      <c r="E975" s="2">
        <v>2.1700000000000001E-3</v>
      </c>
      <c r="F975" s="2">
        <v>1.9610000000000001E-3</v>
      </c>
      <c r="G975" s="2">
        <v>2.6679999999999998E-3</v>
      </c>
      <c r="H975" s="2">
        <v>4.7399999999999997E-4</v>
      </c>
      <c r="I975" s="2">
        <v>2.0999999999999999E-3</v>
      </c>
      <c r="J975" s="2">
        <v>1.6410000000000001E-3</v>
      </c>
      <c r="K975" s="2">
        <v>9.7E-5</v>
      </c>
      <c r="L975" s="2">
        <f>(1/COUNT(D975:K975))*SQRT(SUMSQ(D975:K975))</f>
        <v>6.0018398220878903E-4</v>
      </c>
    </row>
    <row r="976" spans="1:14" x14ac:dyDescent="0.55000000000000004">
      <c r="C976" s="2" t="s">
        <v>26</v>
      </c>
      <c r="D976" s="2">
        <v>0.65452900000000003</v>
      </c>
      <c r="E976" s="2">
        <v>0.76718600000000003</v>
      </c>
      <c r="F976" s="2">
        <v>0.59323300000000001</v>
      </c>
      <c r="G976" s="2">
        <v>0.71582999999999997</v>
      </c>
      <c r="H976" s="2">
        <v>0.647173</v>
      </c>
      <c r="I976" s="2">
        <v>0.63444699999999998</v>
      </c>
      <c r="J976" s="2">
        <v>0.70509299999999997</v>
      </c>
      <c r="K976" s="2">
        <v>0.554373</v>
      </c>
      <c r="L976" s="2">
        <f>AVERAGE(D976:K976)</f>
        <v>0.65898299999999999</v>
      </c>
      <c r="M976" s="2">
        <f xml:space="preserve"> _xlfn.STDEV.S(D976:K976) / SQRT(COUNT(D976:K976))</f>
        <v>2.4309480378033581E-2</v>
      </c>
      <c r="N976" s="2">
        <f>M976*$N$2</f>
        <v>2.7206176870797745E-2</v>
      </c>
    </row>
    <row r="977" spans="2:14" x14ac:dyDescent="0.55000000000000004">
      <c r="C977" s="2" t="s">
        <v>27</v>
      </c>
      <c r="D977" s="2">
        <v>2.1900000000000001E-4</v>
      </c>
      <c r="E977" s="2">
        <v>1.5560000000000001E-3</v>
      </c>
      <c r="F977" s="2">
        <v>7.6999999999999996E-4</v>
      </c>
      <c r="G977" s="2">
        <v>3.5230000000000001E-3</v>
      </c>
      <c r="H977" s="2">
        <v>1.92E-4</v>
      </c>
      <c r="I977" s="2">
        <v>1.6459999999999999E-3</v>
      </c>
      <c r="J977" s="2">
        <v>1.323E-3</v>
      </c>
      <c r="K977" s="2">
        <v>6.3999999999999997E-5</v>
      </c>
      <c r="L977" s="2">
        <f>(1/COUNT(D977:K977))*SQRT(SUMSQ(D977:K977))</f>
        <v>5.5865534712826301E-4</v>
      </c>
    </row>
    <row r="978" spans="2:14" x14ac:dyDescent="0.55000000000000004">
      <c r="C978" s="2" t="s">
        <v>28</v>
      </c>
      <c r="D978" s="2">
        <v>2.2130719999999999</v>
      </c>
      <c r="E978" s="2">
        <v>2.5697260000000002</v>
      </c>
      <c r="F978" s="2">
        <v>3.1674370000000001</v>
      </c>
      <c r="G978" s="2">
        <v>3.2462559999999998</v>
      </c>
      <c r="H978" s="2">
        <v>1.73088</v>
      </c>
      <c r="I978" s="2">
        <v>3.0935269999999999</v>
      </c>
      <c r="J978" s="2">
        <v>3.1901090000000001</v>
      </c>
      <c r="K978" s="2">
        <v>2.8685290000000001</v>
      </c>
      <c r="L978" s="2">
        <f>AVERAGE(D978:K978)</f>
        <v>2.7599419999999992</v>
      </c>
      <c r="M978" s="2">
        <f xml:space="preserve"> _xlfn.STDEV.S(D978:K978) / SQRT(COUNT(D978:K978))</f>
        <v>0.19387425700806482</v>
      </c>
      <c r="N978" s="2">
        <f>M978*$N$2</f>
        <v>0.21697614448485289</v>
      </c>
    </row>
    <row r="979" spans="2:14" x14ac:dyDescent="0.55000000000000004">
      <c r="C979" s="2" t="s">
        <v>29</v>
      </c>
      <c r="D979" s="2">
        <v>3.5690000000000001E-3</v>
      </c>
      <c r="E979" s="2">
        <v>9.5209999999999999E-3</v>
      </c>
      <c r="F979" s="2">
        <v>8.1849999999999996E-3</v>
      </c>
      <c r="G979" s="2">
        <v>5.5891999999999997E-2</v>
      </c>
      <c r="H979" s="2">
        <v>2.3770000000000002E-3</v>
      </c>
      <c r="I979" s="2">
        <v>2.4306999999999999E-2</v>
      </c>
      <c r="J979" s="2">
        <v>1.214E-2</v>
      </c>
      <c r="K979" s="2">
        <v>6.96E-4</v>
      </c>
      <c r="L979" s="2">
        <f>(1/COUNT(D979:K979))*SQRT(SUMSQ(D979:K979))</f>
        <v>7.9437883407808014E-3</v>
      </c>
    </row>
    <row r="980" spans="2:14" x14ac:dyDescent="0.55000000000000004">
      <c r="C980" s="2" t="s">
        <v>30</v>
      </c>
      <c r="D980" s="2">
        <v>15.596443000000001</v>
      </c>
      <c r="E980" s="2">
        <v>19.756426000000001</v>
      </c>
      <c r="F980" s="2">
        <v>21.600121000000001</v>
      </c>
      <c r="G980" s="2">
        <v>35.529864000000003</v>
      </c>
      <c r="H980" s="2">
        <v>12.419204000000001</v>
      </c>
      <c r="I980" s="2">
        <v>18.187828</v>
      </c>
      <c r="J980" s="2">
        <v>24.657312999999998</v>
      </c>
      <c r="K980" s="2">
        <v>46.785048000000003</v>
      </c>
      <c r="L980" s="2">
        <f>AVERAGE(D980:K980)</f>
        <v>24.316530874999998</v>
      </c>
      <c r="M980" s="2">
        <f xml:space="preserve"> _xlfn.STDEV.S(D980:K980) / SQRT(COUNT(D980:K980))</f>
        <v>4.0400008649082135</v>
      </c>
      <c r="N980" s="2">
        <f>M980*$N$2</f>
        <v>4.5214038465498332</v>
      </c>
    </row>
    <row r="981" spans="2:14" x14ac:dyDescent="0.55000000000000004">
      <c r="C981" s="2" t="s">
        <v>31</v>
      </c>
      <c r="D981" s="2">
        <v>1.0803E-2</v>
      </c>
      <c r="E981" s="2">
        <v>7.7650999999999998E-2</v>
      </c>
      <c r="F981" s="2">
        <v>1.4199E-2</v>
      </c>
      <c r="G981" s="2">
        <v>6.9412000000000001E-2</v>
      </c>
      <c r="H981" s="2">
        <v>3.7156000000000002E-2</v>
      </c>
      <c r="I981" s="2">
        <v>6.0205000000000002E-2</v>
      </c>
      <c r="J981" s="2">
        <v>0.13304299999999999</v>
      </c>
      <c r="K981" s="2">
        <v>3.1470999999999999E-2</v>
      </c>
      <c r="L981" s="2">
        <f>(1/COUNT(D981:K981))*SQRT(SUMSQ(D981:K981))</f>
        <v>2.3339242036616144E-2</v>
      </c>
    </row>
    <row r="982" spans="2:14" x14ac:dyDescent="0.55000000000000004">
      <c r="B982" s="2" t="s">
        <v>32</v>
      </c>
      <c r="C982" s="2" t="s">
        <v>22</v>
      </c>
      <c r="D982" s="2">
        <v>0.95159300000000002</v>
      </c>
      <c r="E982" s="2">
        <v>0.941693</v>
      </c>
      <c r="F982" s="2">
        <v>0.93168099999999998</v>
      </c>
      <c r="G982" s="2">
        <v>0.92261899999999997</v>
      </c>
      <c r="H982" s="2">
        <v>0.95214799999999999</v>
      </c>
      <c r="I982" s="2">
        <v>0.93576000000000004</v>
      </c>
      <c r="J982" s="2">
        <v>0.94902699999999995</v>
      </c>
      <c r="K982" s="2">
        <v>0.93215499999999996</v>
      </c>
      <c r="L982" s="2">
        <f>AVERAGE(D982:K982)</f>
        <v>0.93958450000000004</v>
      </c>
      <c r="M982" s="2">
        <f xml:space="preserve"> _xlfn.STDEV.S(D982:K982) / SQRT(COUNT(D982:K982))</f>
        <v>3.8167159499833316E-3</v>
      </c>
      <c r="N982" s="2">
        <f>M982*$N$2</f>
        <v>4.2715124957862609E-3</v>
      </c>
    </row>
    <row r="983" spans="2:14" x14ac:dyDescent="0.55000000000000004">
      <c r="C983" s="2" t="s">
        <v>23</v>
      </c>
      <c r="D983" s="2">
        <v>4.84E-4</v>
      </c>
      <c r="E983" s="2">
        <v>1.3450000000000001E-3</v>
      </c>
      <c r="F983" s="2">
        <v>4.3399999999999998E-4</v>
      </c>
      <c r="G983" s="2">
        <v>2.6210000000000001E-3</v>
      </c>
      <c r="H983" s="2">
        <v>2.1100000000000001E-4</v>
      </c>
      <c r="I983" s="2">
        <v>8.8900000000000003E-4</v>
      </c>
      <c r="J983" s="2">
        <v>1.0709999999999999E-3</v>
      </c>
      <c r="K983" s="2">
        <v>1.3200000000000001E-4</v>
      </c>
      <c r="L983" s="2">
        <f>(1/COUNT(D983:K983))*SQRT(SUMSQ(D983:K983))</f>
        <v>4.164692553178446E-4</v>
      </c>
    </row>
    <row r="984" spans="2:14" x14ac:dyDescent="0.55000000000000004">
      <c r="C984" s="2" t="s">
        <v>24</v>
      </c>
      <c r="D984" s="2">
        <v>0.30544500000000002</v>
      </c>
      <c r="E984" s="2">
        <v>0.33234799999999998</v>
      </c>
      <c r="F984" s="2">
        <v>0.36202899999999999</v>
      </c>
      <c r="G984" s="2">
        <v>0.38546900000000001</v>
      </c>
      <c r="H984" s="2">
        <v>0.30445299999999997</v>
      </c>
      <c r="I984" s="2">
        <v>0.35233599999999998</v>
      </c>
      <c r="J984" s="2">
        <v>0.31009199999999998</v>
      </c>
      <c r="K984" s="2">
        <v>0.36122300000000002</v>
      </c>
      <c r="L984" s="2">
        <f>AVERAGE(D984:K984)</f>
        <v>0.33917437500000003</v>
      </c>
      <c r="M984" s="2">
        <f xml:space="preserve"> _xlfn.STDEV.S(D984:K984) / SQRT(COUNT(D984:K984))</f>
        <v>1.082368845228158E-2</v>
      </c>
      <c r="N984" s="2">
        <f>M984*$N$2</f>
        <v>1.2113429733910414E-2</v>
      </c>
    </row>
    <row r="985" spans="2:14" x14ac:dyDescent="0.55000000000000004">
      <c r="C985" s="2" t="s">
        <v>25</v>
      </c>
      <c r="D985" s="2">
        <v>1.199E-3</v>
      </c>
      <c r="E985" s="2">
        <v>3.663E-3</v>
      </c>
      <c r="F985" s="2">
        <v>1.0399999999999999E-3</v>
      </c>
      <c r="G985" s="2">
        <v>5.9040000000000004E-3</v>
      </c>
      <c r="H985" s="2">
        <v>6.4000000000000005E-4</v>
      </c>
      <c r="I985" s="2">
        <v>2.2190000000000001E-3</v>
      </c>
      <c r="J985" s="2">
        <v>2.99E-3</v>
      </c>
      <c r="K985" s="2">
        <v>3.59E-4</v>
      </c>
      <c r="L985" s="2">
        <f>(1/COUNT(D985:K985))*SQRT(SUMSQ(D985:K985))</f>
        <v>1.0093045873273341E-3</v>
      </c>
    </row>
    <row r="986" spans="2:14" x14ac:dyDescent="0.55000000000000004">
      <c r="C986" s="2" t="s">
        <v>26</v>
      </c>
      <c r="D986" s="2">
        <v>0.64924800000000005</v>
      </c>
      <c r="E986" s="2">
        <v>0.75101600000000002</v>
      </c>
      <c r="F986" s="2">
        <v>0.59247799999999995</v>
      </c>
      <c r="G986" s="2">
        <v>0.70434600000000003</v>
      </c>
      <c r="H986" s="2">
        <v>0.64313500000000001</v>
      </c>
      <c r="I986" s="2">
        <v>0.63756599999999997</v>
      </c>
      <c r="J986" s="2">
        <v>0.70996400000000004</v>
      </c>
      <c r="K986" s="2">
        <v>0.55848900000000001</v>
      </c>
      <c r="L986" s="2">
        <f>AVERAGE(D986:K986)</f>
        <v>0.65578024999999995</v>
      </c>
      <c r="M986" s="2">
        <f xml:space="preserve"> _xlfn.STDEV.S(D986:K986) / SQRT(COUNT(D986:K986))</f>
        <v>2.2508511341545898E-2</v>
      </c>
      <c r="N986" s="2">
        <f>M986*$N$2</f>
        <v>2.5190605933716383E-2</v>
      </c>
    </row>
    <row r="987" spans="2:14" x14ac:dyDescent="0.55000000000000004">
      <c r="C987" s="2" t="s">
        <v>27</v>
      </c>
      <c r="D987" s="2">
        <v>1.0950000000000001E-3</v>
      </c>
      <c r="E987" s="2">
        <v>2.8140000000000001E-3</v>
      </c>
      <c r="F987" s="2">
        <v>4.2099999999999999E-4</v>
      </c>
      <c r="G987" s="2">
        <v>6.9239999999999996E-3</v>
      </c>
      <c r="H987" s="2">
        <v>5.3799999999999996E-4</v>
      </c>
      <c r="I987" s="2">
        <v>1.6639999999999999E-3</v>
      </c>
      <c r="J987" s="2">
        <v>2.3349999999999998E-3</v>
      </c>
      <c r="K987" s="2">
        <v>2.4499999999999999E-4</v>
      </c>
      <c r="L987" s="2">
        <f>(1/COUNT(D987:K987))*SQRT(SUMSQ(D987:K987))</f>
        <v>1.0140206790297721E-3</v>
      </c>
    </row>
    <row r="988" spans="2:14" x14ac:dyDescent="0.55000000000000004">
      <c r="C988" s="2" t="s">
        <v>28</v>
      </c>
      <c r="D988" s="2">
        <v>2.3722020000000001</v>
      </c>
      <c r="E988" s="2">
        <v>2.676809</v>
      </c>
      <c r="F988" s="2">
        <v>3.1861969999999999</v>
      </c>
      <c r="G988" s="2">
        <v>3.4584060000000001</v>
      </c>
      <c r="H988" s="2">
        <v>1.764149</v>
      </c>
      <c r="I988" s="2">
        <v>3.2515830000000001</v>
      </c>
      <c r="J988" s="2">
        <v>3.1957260000000001</v>
      </c>
      <c r="K988" s="2">
        <v>2.8329089999999999</v>
      </c>
      <c r="L988" s="2">
        <f>AVERAGE(D988:K988)</f>
        <v>2.8422476250000002</v>
      </c>
      <c r="M988" s="2">
        <f xml:space="preserve"> _xlfn.STDEV.S(D988:K988) / SQRT(COUNT(D988:K988))</f>
        <v>0.19825810242098307</v>
      </c>
      <c r="N988" s="2">
        <f>M988*$N$2</f>
        <v>0.22188236509604545</v>
      </c>
    </row>
    <row r="989" spans="2:14" x14ac:dyDescent="0.55000000000000004">
      <c r="C989" s="2" t="s">
        <v>29</v>
      </c>
      <c r="D989" s="2">
        <v>3.2437000000000001E-2</v>
      </c>
      <c r="E989" s="2">
        <v>2.0174000000000001E-2</v>
      </c>
      <c r="F989" s="2">
        <v>4.8820000000000001E-3</v>
      </c>
      <c r="G989" s="2">
        <v>9.0823000000000001E-2</v>
      </c>
      <c r="H989" s="2">
        <v>5.0939999999999996E-3</v>
      </c>
      <c r="I989" s="2">
        <v>3.9627000000000002E-2</v>
      </c>
      <c r="J989" s="2">
        <v>2.5047E-2</v>
      </c>
      <c r="K989" s="2">
        <v>4.3049999999999998E-3</v>
      </c>
      <c r="L989" s="2">
        <f>(1/COUNT(D989:K989))*SQRT(SUMSQ(D989:K989))</f>
        <v>1.3678183871246394E-2</v>
      </c>
    </row>
    <row r="990" spans="2:14" x14ac:dyDescent="0.55000000000000004">
      <c r="C990" s="2" t="s">
        <v>30</v>
      </c>
      <c r="D990" s="2">
        <v>16.736148</v>
      </c>
      <c r="E990" s="2">
        <v>19.873453000000001</v>
      </c>
      <c r="F990" s="2">
        <v>21.694579000000001</v>
      </c>
      <c r="G990" s="2">
        <v>35.402079000000001</v>
      </c>
      <c r="H990" s="2">
        <v>12.789674</v>
      </c>
      <c r="I990" s="2">
        <v>19.992190000000001</v>
      </c>
      <c r="J990" s="2">
        <v>25.752011</v>
      </c>
      <c r="K990" s="2">
        <v>46.470654000000003</v>
      </c>
      <c r="L990" s="2">
        <f>AVERAGE(D990:K990)</f>
        <v>24.838848500000001</v>
      </c>
      <c r="M990" s="2">
        <f xml:space="preserve"> _xlfn.STDEV.S(D990:K990) / SQRT(COUNT(D990:K990))</f>
        <v>3.8941777897018213</v>
      </c>
      <c r="N990" s="2">
        <f>M990*$N$2</f>
        <v>4.3582046208068732</v>
      </c>
    </row>
    <row r="991" spans="2:14" x14ac:dyDescent="0.55000000000000004">
      <c r="C991" s="2" t="s">
        <v>31</v>
      </c>
      <c r="D991" s="2">
        <v>7.1260000000000004E-2</v>
      </c>
      <c r="E991" s="2">
        <v>0.13303300000000001</v>
      </c>
      <c r="F991" s="2">
        <v>2.5420000000000002E-2</v>
      </c>
      <c r="G991" s="2">
        <v>0.13966200000000001</v>
      </c>
      <c r="H991" s="2">
        <v>3.4761E-2</v>
      </c>
      <c r="I991" s="2">
        <v>0.13249900000000001</v>
      </c>
      <c r="J991" s="2">
        <v>0.211062</v>
      </c>
      <c r="K991" s="2">
        <v>0.206816</v>
      </c>
      <c r="L991" s="2">
        <f>(1/COUNT(D991:K991))*SQRT(SUMSQ(D991:K991))</f>
        <v>4.8252550961548915E-2</v>
      </c>
    </row>
    <row r="992" spans="2:14" x14ac:dyDescent="0.55000000000000004">
      <c r="B992" s="2" t="s">
        <v>33</v>
      </c>
      <c r="C992" s="2" t="s">
        <v>22</v>
      </c>
      <c r="D992" s="2">
        <v>0.95456300000000005</v>
      </c>
      <c r="E992" s="2">
        <v>0.94867500000000005</v>
      </c>
      <c r="F992" s="2">
        <v>0.93160900000000002</v>
      </c>
      <c r="G992" s="2">
        <v>0.92814600000000003</v>
      </c>
      <c r="H992" s="2">
        <v>0.95333199999999996</v>
      </c>
      <c r="I992" s="2">
        <v>0.93788899999999997</v>
      </c>
      <c r="J992" s="2">
        <v>0.94284400000000002</v>
      </c>
      <c r="K992" s="2">
        <v>0.93010999999999999</v>
      </c>
      <c r="L992" s="2">
        <f>AVERAGE(D992:K992)</f>
        <v>0.94089599999999995</v>
      </c>
      <c r="M992" s="2">
        <f xml:space="preserve"> _xlfn.STDEV.S(D992:K992) / SQRT(COUNT(D992:K992))</f>
        <v>3.7319547826842716E-3</v>
      </c>
      <c r="N992" s="2">
        <f>M992*$N$2</f>
        <v>4.1766512616729532E-3</v>
      </c>
    </row>
    <row r="993" spans="2:14" x14ac:dyDescent="0.55000000000000004">
      <c r="C993" s="2" t="s">
        <v>23</v>
      </c>
      <c r="D993" s="2">
        <v>4.8000000000000001E-5</v>
      </c>
      <c r="E993" s="2">
        <v>1.5100000000000001E-4</v>
      </c>
      <c r="F993" s="2">
        <v>1.37E-4</v>
      </c>
      <c r="G993" s="2">
        <v>3.0200000000000002E-4</v>
      </c>
      <c r="H993" s="2">
        <v>6.2000000000000003E-5</v>
      </c>
      <c r="I993" s="2">
        <v>8.2000000000000001E-5</v>
      </c>
      <c r="J993" s="2">
        <v>2.7099999999999997E-4</v>
      </c>
      <c r="K993" s="2">
        <v>4.1E-5</v>
      </c>
      <c r="L993" s="2">
        <f>(1/COUNT(D993:K993))*SQRT(SUMSQ(D993:K993))</f>
        <v>5.8732444185475544E-5</v>
      </c>
    </row>
    <row r="994" spans="2:14" x14ac:dyDescent="0.55000000000000004">
      <c r="C994" s="2" t="s">
        <v>24</v>
      </c>
      <c r="D994" s="2">
        <v>0.29575000000000001</v>
      </c>
      <c r="E994" s="2">
        <v>0.31310700000000002</v>
      </c>
      <c r="F994" s="2">
        <v>0.362201</v>
      </c>
      <c r="G994" s="2">
        <v>0.37218000000000001</v>
      </c>
      <c r="H994" s="2">
        <v>0.30086200000000002</v>
      </c>
      <c r="I994" s="2">
        <v>0.34760999999999997</v>
      </c>
      <c r="J994" s="2">
        <v>0.32748300000000002</v>
      </c>
      <c r="K994" s="2">
        <v>0.36691699999999999</v>
      </c>
      <c r="L994" s="2">
        <f>AVERAGE(D994:K994)</f>
        <v>0.33576374999999997</v>
      </c>
      <c r="M994" s="2">
        <f xml:space="preserve"> _xlfn.STDEV.S(D994:K994) / SQRT(COUNT(D994:K994))</f>
        <v>1.0804315903097637E-2</v>
      </c>
      <c r="N994" s="2">
        <f>M994*$N$2</f>
        <v>1.2091748768651574E-2</v>
      </c>
    </row>
    <row r="995" spans="2:14" x14ac:dyDescent="0.55000000000000004">
      <c r="C995" s="2" t="s">
        <v>25</v>
      </c>
      <c r="D995" s="2">
        <v>1.44E-4</v>
      </c>
      <c r="E995" s="2">
        <v>4.7100000000000001E-4</v>
      </c>
      <c r="F995" s="2">
        <v>3.3100000000000002E-4</v>
      </c>
      <c r="G995" s="2">
        <v>7.1599999999999995E-4</v>
      </c>
      <c r="H995" s="2">
        <v>1.85E-4</v>
      </c>
      <c r="I995" s="2">
        <v>2.33E-4</v>
      </c>
      <c r="J995" s="2">
        <v>7.3499999999999998E-4</v>
      </c>
      <c r="K995" s="2">
        <v>1.01E-4</v>
      </c>
      <c r="L995" s="2">
        <f>(1/COUNT(D995:K995))*SQRT(SUMSQ(D995:K995))</f>
        <v>1.5328354037534494E-4</v>
      </c>
    </row>
    <row r="996" spans="2:14" x14ac:dyDescent="0.55000000000000004">
      <c r="C996" s="2" t="s">
        <v>26</v>
      </c>
      <c r="D996" s="2">
        <v>0.65435600000000005</v>
      </c>
      <c r="E996" s="2">
        <v>0.76540200000000003</v>
      </c>
      <c r="F996" s="2">
        <v>0.59175100000000003</v>
      </c>
      <c r="G996" s="2">
        <v>0.71054600000000001</v>
      </c>
      <c r="H996" s="2">
        <v>0.64642200000000005</v>
      </c>
      <c r="I996" s="2">
        <v>0.63949</v>
      </c>
      <c r="J996" s="2">
        <v>0.69660699999999998</v>
      </c>
      <c r="K996" s="2">
        <v>0.55428699999999997</v>
      </c>
      <c r="L996" s="2">
        <f>AVERAGE(D996:K996)</f>
        <v>0.65735762500000017</v>
      </c>
      <c r="M996" s="2">
        <f xml:space="preserve"> _xlfn.STDEV.S(D996:K996) / SQRT(COUNT(D996:K996))</f>
        <v>2.3686470028069291E-2</v>
      </c>
      <c r="N996" s="2">
        <f>M996*$N$2</f>
        <v>2.6508929150571601E-2</v>
      </c>
    </row>
    <row r="997" spans="2:14" x14ac:dyDescent="0.55000000000000004">
      <c r="C997" s="2" t="s">
        <v>27</v>
      </c>
      <c r="D997" s="2">
        <v>1.36E-4</v>
      </c>
      <c r="E997" s="2">
        <v>3.3199999999999999E-4</v>
      </c>
      <c r="F997" s="2">
        <v>1.26E-4</v>
      </c>
      <c r="G997" s="2">
        <v>7.5000000000000002E-4</v>
      </c>
      <c r="H997" s="2">
        <v>1.37E-4</v>
      </c>
      <c r="I997" s="2">
        <v>2.14E-4</v>
      </c>
      <c r="J997" s="2">
        <v>5.3499999999999999E-4</v>
      </c>
      <c r="K997" s="2">
        <v>6.8999999999999997E-5</v>
      </c>
      <c r="L997" s="2">
        <f>(1/COUNT(D997:K997))*SQRT(SUMSQ(D997:K997))</f>
        <v>1.28855963676502E-4</v>
      </c>
    </row>
    <row r="998" spans="2:14" x14ac:dyDescent="0.55000000000000004">
      <c r="C998" s="2" t="s">
        <v>28</v>
      </c>
      <c r="D998" s="2">
        <v>2.2147350000000001</v>
      </c>
      <c r="E998" s="2">
        <v>2.5799620000000001</v>
      </c>
      <c r="F998" s="2">
        <v>3.178709</v>
      </c>
      <c r="G998" s="2">
        <v>3.2952859999999999</v>
      </c>
      <c r="H998" s="2">
        <v>1.7371080000000001</v>
      </c>
      <c r="I998" s="2">
        <v>3.0086819999999999</v>
      </c>
      <c r="J998" s="2">
        <v>3.2361559999999998</v>
      </c>
      <c r="K998" s="2">
        <v>2.8691309999999999</v>
      </c>
      <c r="L998" s="2">
        <f>AVERAGE(D998:K998)</f>
        <v>2.7649711250000002</v>
      </c>
      <c r="M998" s="2">
        <f xml:space="preserve"> _xlfn.STDEV.S(D998:K998) / SQRT(COUNT(D998:K998))</f>
        <v>0.19540083006115133</v>
      </c>
      <c r="N998" s="2">
        <f>M998*$N$2</f>
        <v>0.21868462265232513</v>
      </c>
    </row>
    <row r="999" spans="2:14" x14ac:dyDescent="0.55000000000000004">
      <c r="C999" s="2" t="s">
        <v>29</v>
      </c>
      <c r="D999" s="2">
        <v>1.616E-3</v>
      </c>
      <c r="E999" s="2">
        <v>2.0430000000000001E-3</v>
      </c>
      <c r="F999" s="2">
        <v>1.531E-3</v>
      </c>
      <c r="G999" s="2">
        <v>8.8970000000000004E-3</v>
      </c>
      <c r="H999" s="2">
        <v>1.2800000000000001E-3</v>
      </c>
      <c r="I999" s="2">
        <v>3.2950000000000002E-3</v>
      </c>
      <c r="J999" s="2">
        <v>5.5459999999999997E-3</v>
      </c>
      <c r="K999" s="2">
        <v>9.6100000000000005E-4</v>
      </c>
      <c r="L999" s="2">
        <f>(1/COUNT(D999:K999))*SQRT(SUMSQ(D999:K999))</f>
        <v>1.4386568008475824E-3</v>
      </c>
    </row>
    <row r="1000" spans="2:14" x14ac:dyDescent="0.55000000000000004">
      <c r="C1000" s="2" t="s">
        <v>30</v>
      </c>
      <c r="D1000" s="2">
        <v>15.610946</v>
      </c>
      <c r="E1000" s="2">
        <v>19.848338999999999</v>
      </c>
      <c r="F1000" s="2">
        <v>21.819046</v>
      </c>
      <c r="G1000" s="2">
        <v>35.473253</v>
      </c>
      <c r="H1000" s="2">
        <v>12.440913</v>
      </c>
      <c r="I1000" s="2">
        <v>18.007147</v>
      </c>
      <c r="J1000" s="2">
        <v>24.951643000000001</v>
      </c>
      <c r="K1000" s="2">
        <v>46.846955999999999</v>
      </c>
      <c r="L1000" s="2">
        <f>AVERAGE(D1000:K1000)</f>
        <v>24.374780375</v>
      </c>
      <c r="M1000" s="2">
        <f xml:space="preserve"> _xlfn.STDEV.S(D1000:K1000) / SQRT(COUNT(D1000:K1000))</f>
        <v>4.0428436120610609</v>
      </c>
      <c r="N1000" s="2">
        <f>M1000*$N$2</f>
        <v>4.5245853329755654</v>
      </c>
    </row>
    <row r="1001" spans="2:14" x14ac:dyDescent="0.55000000000000004">
      <c r="C1001" s="2" t="s">
        <v>31</v>
      </c>
      <c r="D1001" s="2">
        <v>4.3930000000000002E-3</v>
      </c>
      <c r="E1001" s="2">
        <v>1.3958999999999999E-2</v>
      </c>
      <c r="F1001" s="2">
        <v>6.0330000000000002E-3</v>
      </c>
      <c r="G1001" s="2">
        <v>5.9138999999999997E-2</v>
      </c>
      <c r="H1001" s="2">
        <v>8.7819999999999999E-3</v>
      </c>
      <c r="I1001" s="2">
        <v>1.2725E-2</v>
      </c>
      <c r="J1001" s="2">
        <v>4.9838E-2</v>
      </c>
      <c r="K1001" s="2">
        <v>2.222E-2</v>
      </c>
      <c r="L1001" s="2">
        <f>(1/COUNT(D1001:K1001))*SQRT(SUMSQ(D1001:K1001))</f>
        <v>1.0431753158176481E-2</v>
      </c>
    </row>
    <row r="1002" spans="2:14" x14ac:dyDescent="0.55000000000000004">
      <c r="B1002" s="2" t="s">
        <v>34</v>
      </c>
      <c r="C1002" s="2" t="s">
        <v>22</v>
      </c>
      <c r="D1002" s="2">
        <v>0.94886999999999999</v>
      </c>
      <c r="E1002" s="2">
        <v>0.94600200000000001</v>
      </c>
      <c r="F1002" s="2">
        <v>0.93291599999999997</v>
      </c>
      <c r="G1002" s="2">
        <v>0.921184</v>
      </c>
      <c r="H1002" s="2">
        <v>0.95065500000000003</v>
      </c>
      <c r="I1002" s="2">
        <v>0.93368399999999996</v>
      </c>
      <c r="J1002" s="2">
        <v>0.94692100000000001</v>
      </c>
      <c r="K1002" s="2">
        <v>0.93210199999999999</v>
      </c>
      <c r="L1002" s="2">
        <f>AVERAGE(D1002:K1002)</f>
        <v>0.93904175000000012</v>
      </c>
      <c r="M1002" s="2">
        <f xml:space="preserve"> _xlfn.STDEV.S(D1002:K1002) / SQRT(COUNT(D1002:K1002))</f>
        <v>3.7207895607461023E-3</v>
      </c>
      <c r="N1002" s="2">
        <f>M1002*$N$2</f>
        <v>4.1641556016206701E-3</v>
      </c>
    </row>
    <row r="1003" spans="2:14" x14ac:dyDescent="0.55000000000000004">
      <c r="C1003" s="2" t="s">
        <v>23</v>
      </c>
      <c r="D1003" s="2">
        <v>1.5579999999999999E-3</v>
      </c>
      <c r="E1003" s="2">
        <v>6.1499999999999999E-4</v>
      </c>
      <c r="F1003" s="2">
        <v>5.6800000000000004E-4</v>
      </c>
      <c r="G1003" s="2">
        <v>9.9299999999999996E-4</v>
      </c>
      <c r="H1003" s="2">
        <v>3.5199999999999999E-4</v>
      </c>
      <c r="I1003" s="2">
        <v>1.325E-3</v>
      </c>
      <c r="J1003" s="2">
        <v>4.0509999999999999E-3</v>
      </c>
      <c r="K1003" s="2">
        <v>8.8999999999999995E-5</v>
      </c>
      <c r="L1003" s="2">
        <f>(1/COUNT(D1003:K1003))*SQRT(SUMSQ(D1003:K1003))</f>
        <v>5.9177055572662621E-4</v>
      </c>
    </row>
    <row r="1004" spans="2:14" x14ac:dyDescent="0.55000000000000004">
      <c r="C1004" s="2" t="s">
        <v>24</v>
      </c>
      <c r="D1004" s="2">
        <v>0.31327500000000003</v>
      </c>
      <c r="E1004" s="2">
        <v>0.320413</v>
      </c>
      <c r="F1004" s="2">
        <v>0.35914299999999999</v>
      </c>
      <c r="G1004" s="2">
        <v>0.38875799999999999</v>
      </c>
      <c r="H1004" s="2">
        <v>0.30881999999999998</v>
      </c>
      <c r="I1004" s="2">
        <v>0.35759299999999999</v>
      </c>
      <c r="J1004" s="2">
        <v>0.31471399999999999</v>
      </c>
      <c r="K1004" s="2">
        <v>0.36066900000000002</v>
      </c>
      <c r="L1004" s="2">
        <f>AVERAGE(D1004:K1004)</f>
        <v>0.34042312499999999</v>
      </c>
      <c r="M1004" s="2">
        <f xml:space="preserve"> _xlfn.STDEV.S(D1004:K1004) / SQRT(COUNT(D1004:K1004))</f>
        <v>1.0512353561809178E-2</v>
      </c>
      <c r="N1004" s="2">
        <f>M1004*$N$2</f>
        <v>1.176499644926084E-2</v>
      </c>
    </row>
    <row r="1005" spans="2:14" x14ac:dyDescent="0.55000000000000004">
      <c r="C1005" s="2" t="s">
        <v>25</v>
      </c>
      <c r="D1005" s="2">
        <v>4.2059999999999997E-3</v>
      </c>
      <c r="E1005" s="2">
        <v>1.72E-3</v>
      </c>
      <c r="F1005" s="2">
        <v>1.41E-3</v>
      </c>
      <c r="G1005" s="2">
        <v>2.2339999999999999E-3</v>
      </c>
      <c r="H1005" s="2">
        <v>1.0380000000000001E-3</v>
      </c>
      <c r="I1005" s="2">
        <v>3.2889999999999998E-3</v>
      </c>
      <c r="J1005" s="2">
        <v>9.8930000000000008E-3</v>
      </c>
      <c r="K1005" s="2">
        <v>2.5000000000000001E-4</v>
      </c>
      <c r="L1005" s="2">
        <f>(1/COUNT(D1005:K1005))*SQRT(SUMSQ(D1005:K1005))</f>
        <v>1.4655236158963799E-3</v>
      </c>
    </row>
    <row r="1006" spans="2:14" x14ac:dyDescent="0.55000000000000004">
      <c r="C1006" s="2" t="s">
        <v>26</v>
      </c>
      <c r="D1006" s="2">
        <v>0.64128799999999997</v>
      </c>
      <c r="E1006" s="2">
        <v>0.76082399999999994</v>
      </c>
      <c r="F1006" s="2">
        <v>0.59275500000000003</v>
      </c>
      <c r="G1006" s="2">
        <v>0.69164899999999996</v>
      </c>
      <c r="H1006" s="2">
        <v>0.63955300000000004</v>
      </c>
      <c r="I1006" s="2">
        <v>0.63337299999999996</v>
      </c>
      <c r="J1006" s="2">
        <v>0.70721900000000004</v>
      </c>
      <c r="K1006" s="2">
        <v>0.56248600000000004</v>
      </c>
      <c r="L1006" s="2">
        <f>AVERAGE(D1006:K1006)</f>
        <v>0.65364337499999992</v>
      </c>
      <c r="M1006" s="2">
        <f xml:space="preserve"> _xlfn.STDEV.S(D1006:K1006) / SQRT(COUNT(D1006:K1006))</f>
        <v>2.2591719718055903E-2</v>
      </c>
      <c r="N1006" s="2">
        <f>M1006*$N$2</f>
        <v>2.5283729347843682E-2</v>
      </c>
    </row>
    <row r="1007" spans="2:14" x14ac:dyDescent="0.55000000000000004">
      <c r="C1007" s="2" t="s">
        <v>27</v>
      </c>
      <c r="D1007" s="2">
        <v>4.084E-3</v>
      </c>
      <c r="E1007" s="2">
        <v>1.245E-3</v>
      </c>
      <c r="F1007" s="2">
        <v>5.7499999999999999E-4</v>
      </c>
      <c r="G1007" s="2">
        <v>2.362E-3</v>
      </c>
      <c r="H1007" s="2">
        <v>7.5500000000000003E-4</v>
      </c>
      <c r="I1007" s="2">
        <v>2.434E-3</v>
      </c>
      <c r="J1007" s="2">
        <v>6.973E-3</v>
      </c>
      <c r="K1007" s="2">
        <v>1.75E-4</v>
      </c>
      <c r="L1007" s="2">
        <f>(1/COUNT(D1007:K1007))*SQRT(SUMSQ(D1007:K1007))</f>
        <v>1.1130369841676421E-3</v>
      </c>
    </row>
    <row r="1008" spans="2:14" x14ac:dyDescent="0.55000000000000004">
      <c r="C1008" s="2" t="s">
        <v>28</v>
      </c>
      <c r="D1008" s="2">
        <v>2.4729459999999999</v>
      </c>
      <c r="E1008" s="2">
        <v>2.6641210000000002</v>
      </c>
      <c r="F1008" s="2">
        <v>3.1741920000000001</v>
      </c>
      <c r="G1008" s="2">
        <v>3.5740150000000002</v>
      </c>
      <c r="H1008" s="2">
        <v>1.8042560000000001</v>
      </c>
      <c r="I1008" s="2">
        <v>3.3312900000000001</v>
      </c>
      <c r="J1008" s="2">
        <v>3.271344</v>
      </c>
      <c r="K1008" s="2">
        <v>2.6612339999999999</v>
      </c>
      <c r="L1008" s="2">
        <f>AVERAGE(D1008:K1008)</f>
        <v>2.86917475</v>
      </c>
      <c r="M1008" s="2">
        <f xml:space="preserve"> _xlfn.STDEV.S(D1008:K1008) / SQRT(COUNT(D1008:K1008))</f>
        <v>0.20447936819926302</v>
      </c>
      <c r="N1008" s="2">
        <f>M1008*$N$2</f>
        <v>0.22884495148176962</v>
      </c>
    </row>
    <row r="1009" spans="2:14" x14ac:dyDescent="0.55000000000000004">
      <c r="C1009" s="2" t="s">
        <v>29</v>
      </c>
      <c r="D1009" s="2">
        <v>7.1633000000000002E-2</v>
      </c>
      <c r="E1009" s="2">
        <v>8.6210000000000002E-3</v>
      </c>
      <c r="F1009" s="2">
        <v>5.5979999999999997E-3</v>
      </c>
      <c r="G1009" s="2">
        <v>3.7814E-2</v>
      </c>
      <c r="H1009" s="2">
        <v>7.5079999999999999E-3</v>
      </c>
      <c r="I1009" s="2">
        <v>5.9445999999999999E-2</v>
      </c>
      <c r="J1009" s="2">
        <v>0.13250300000000001</v>
      </c>
      <c r="K1009" s="2">
        <v>2.1710000000000002E-3</v>
      </c>
      <c r="L1009" s="2">
        <f>(1/COUNT(D1009:K1009))*SQRT(SUMSQ(D1009:K1009))</f>
        <v>2.084871090139628E-2</v>
      </c>
    </row>
    <row r="1010" spans="2:14" x14ac:dyDescent="0.55000000000000004">
      <c r="C1010" s="2" t="s">
        <v>30</v>
      </c>
      <c r="D1010" s="2">
        <v>16.828264999999998</v>
      </c>
      <c r="E1010" s="2">
        <v>20.835965000000002</v>
      </c>
      <c r="F1010" s="2">
        <v>21.701491999999998</v>
      </c>
      <c r="G1010" s="2">
        <v>35.760666000000001</v>
      </c>
      <c r="H1010" s="2">
        <v>12.924073999999999</v>
      </c>
      <c r="I1010" s="2">
        <v>20.118265000000001</v>
      </c>
      <c r="J1010" s="2">
        <v>26.193186000000001</v>
      </c>
      <c r="K1010" s="2">
        <v>28.682535999999999</v>
      </c>
      <c r="L1010" s="2">
        <f>AVERAGE(D1010:K1010)</f>
        <v>22.880556125000002</v>
      </c>
      <c r="M1010" s="2">
        <f xml:space="preserve"> _xlfn.STDEV.S(D1010:K1010) / SQRT(COUNT(D1010:K1010))</f>
        <v>2.5336883020060972</v>
      </c>
      <c r="N1010" s="2">
        <f>M1010*$N$2</f>
        <v>2.8356003916125281</v>
      </c>
    </row>
    <row r="1011" spans="2:14" x14ac:dyDescent="0.55000000000000004">
      <c r="C1011" s="2" t="s">
        <v>31</v>
      </c>
      <c r="D1011" s="2">
        <v>9.6708000000000002E-2</v>
      </c>
      <c r="E1011" s="2">
        <v>6.6836000000000007E-2</v>
      </c>
      <c r="F1011" s="2">
        <v>1.4997E-2</v>
      </c>
      <c r="G1011" s="2">
        <v>0.134656</v>
      </c>
      <c r="H1011" s="2">
        <v>5.3067000000000003E-2</v>
      </c>
      <c r="I1011" s="2">
        <v>0.161385</v>
      </c>
      <c r="J1011" s="2">
        <v>1.185991</v>
      </c>
      <c r="K1011" s="2">
        <v>0.20761299999999999</v>
      </c>
      <c r="L1011" s="2">
        <f>(1/COUNT(D1011:K1011))*SQRT(SUMSQ(D1011:K1011))</f>
        <v>0.15363896758457188</v>
      </c>
    </row>
    <row r="1012" spans="2:14" x14ac:dyDescent="0.55000000000000004">
      <c r="B1012" s="2" t="s">
        <v>35</v>
      </c>
      <c r="C1012" s="2" t="s">
        <v>22</v>
      </c>
      <c r="D1012" s="2">
        <v>0.94765999999999995</v>
      </c>
      <c r="E1012" s="2">
        <v>0.93375200000000003</v>
      </c>
      <c r="F1012" s="2">
        <v>0.92461400000000005</v>
      </c>
      <c r="G1012" s="2">
        <v>0.91943900000000001</v>
      </c>
      <c r="H1012" s="2">
        <v>0.94695300000000004</v>
      </c>
      <c r="I1012" s="2">
        <v>0.92788599999999999</v>
      </c>
      <c r="J1012" s="2">
        <v>0.93818000000000001</v>
      </c>
      <c r="K1012" s="2">
        <v>0.92998199999999998</v>
      </c>
      <c r="L1012" s="2">
        <f>AVERAGE(D1012:K1012)</f>
        <v>0.93355825000000003</v>
      </c>
      <c r="M1012" s="2">
        <f xml:space="preserve"> _xlfn.STDEV.S(D1012:K1012) / SQRT(COUNT(D1012:K1012))</f>
        <v>3.5956163923688261E-3</v>
      </c>
      <c r="N1012" s="2">
        <f>M1012*$N$2</f>
        <v>4.0240669076053275E-3</v>
      </c>
    </row>
    <row r="1013" spans="2:14" x14ac:dyDescent="0.55000000000000004">
      <c r="C1013" s="2" t="s">
        <v>23</v>
      </c>
      <c r="D1013" s="2">
        <v>2.2699999999999999E-4</v>
      </c>
      <c r="E1013" s="2">
        <v>6.0400000000000004E-4</v>
      </c>
      <c r="F1013" s="2">
        <v>1.54E-4</v>
      </c>
      <c r="G1013" s="2">
        <v>2.4000000000000001E-4</v>
      </c>
      <c r="H1013" s="2">
        <v>2.3000000000000001E-4</v>
      </c>
      <c r="I1013" s="2">
        <v>3.0699999999999998E-4</v>
      </c>
      <c r="J1013" s="2">
        <v>2.72E-4</v>
      </c>
      <c r="K1013" s="2">
        <v>4.8999999999999998E-5</v>
      </c>
      <c r="L1013" s="2">
        <f>(1/COUNT(D1013:K1013))*SQRT(SUMSQ(D1013:K1013))</f>
        <v>1.0615400074891196E-4</v>
      </c>
    </row>
    <row r="1014" spans="2:14" x14ac:dyDescent="0.55000000000000004">
      <c r="C1014" s="2" t="s">
        <v>24</v>
      </c>
      <c r="D1014" s="2">
        <v>0.314222</v>
      </c>
      <c r="E1014" s="2">
        <v>0.35084100000000001</v>
      </c>
      <c r="F1014" s="2">
        <v>0.37796800000000003</v>
      </c>
      <c r="G1014" s="2">
        <v>0.39287</v>
      </c>
      <c r="H1014" s="2">
        <v>0.31889299999999998</v>
      </c>
      <c r="I1014" s="2">
        <v>0.37364999999999998</v>
      </c>
      <c r="J1014" s="2">
        <v>0.33781699999999998</v>
      </c>
      <c r="K1014" s="2">
        <v>0.36689899999999998</v>
      </c>
      <c r="L1014" s="2">
        <f>AVERAGE(D1014:K1014)</f>
        <v>0.35414499999999999</v>
      </c>
      <c r="M1014" s="2">
        <f xml:space="preserve"> _xlfn.STDEV.S(D1014:K1014) / SQRT(COUNT(D1014:K1014))</f>
        <v>1.0110408293295719E-2</v>
      </c>
      <c r="N1014" s="2">
        <f>M1014*$N$2</f>
        <v>1.1315155732902343E-2</v>
      </c>
    </row>
    <row r="1015" spans="2:14" x14ac:dyDescent="0.55000000000000004">
      <c r="C1015" s="2" t="s">
        <v>25</v>
      </c>
      <c r="D1015" s="2">
        <v>6.3500000000000004E-4</v>
      </c>
      <c r="E1015" s="2">
        <v>1.5790000000000001E-3</v>
      </c>
      <c r="F1015" s="2">
        <v>3.6699999999999998E-4</v>
      </c>
      <c r="G1015" s="2">
        <v>5.8E-4</v>
      </c>
      <c r="H1015" s="2">
        <v>6.3000000000000003E-4</v>
      </c>
      <c r="I1015" s="2">
        <v>7.7399999999999995E-4</v>
      </c>
      <c r="J1015" s="2">
        <v>7.8799999999999996E-4</v>
      </c>
      <c r="K1015" s="2">
        <v>1.37E-4</v>
      </c>
      <c r="L1015" s="2">
        <f>(1/COUNT(D1015:K1015))*SQRT(SUMSQ(D1015:K1015))</f>
        <v>2.7959915504164169E-4</v>
      </c>
    </row>
    <row r="1016" spans="2:14" x14ac:dyDescent="0.55000000000000004">
      <c r="C1016" s="2" t="s">
        <v>26</v>
      </c>
      <c r="D1016" s="2">
        <v>0.63805699999999999</v>
      </c>
      <c r="E1016" s="2">
        <v>0.73780000000000001</v>
      </c>
      <c r="F1016" s="2">
        <v>0.58528800000000003</v>
      </c>
      <c r="G1016" s="2">
        <v>0.68636799999999998</v>
      </c>
      <c r="H1016" s="2">
        <v>0.63076299999999996</v>
      </c>
      <c r="I1016" s="2">
        <v>0.61889899999999998</v>
      </c>
      <c r="J1016" s="2">
        <v>0.68894100000000003</v>
      </c>
      <c r="K1016" s="2">
        <v>0.55400400000000005</v>
      </c>
      <c r="L1016" s="2">
        <f>AVERAGE(D1016:K1016)</f>
        <v>0.64251499999999995</v>
      </c>
      <c r="M1016" s="2">
        <f xml:space="preserve"> _xlfn.STDEV.S(D1016:K1016) / SQRT(COUNT(D1016:K1016))</f>
        <v>2.1121466603907974E-2</v>
      </c>
      <c r="N1016" s="2">
        <f>M1016*$N$2</f>
        <v>2.3638282154143306E-2</v>
      </c>
    </row>
    <row r="1017" spans="2:14" x14ac:dyDescent="0.55000000000000004">
      <c r="C1017" s="2" t="s">
        <v>27</v>
      </c>
      <c r="D1017" s="2">
        <v>6.3900000000000003E-4</v>
      </c>
      <c r="E1017" s="2">
        <v>1.189E-3</v>
      </c>
      <c r="F1017" s="2">
        <v>1.83E-4</v>
      </c>
      <c r="G1017" s="2">
        <v>7.8899999999999999E-4</v>
      </c>
      <c r="H1017" s="2">
        <v>5.3700000000000004E-4</v>
      </c>
      <c r="I1017" s="2">
        <v>5.8500000000000002E-4</v>
      </c>
      <c r="J1017" s="2">
        <v>6.3400000000000001E-4</v>
      </c>
      <c r="K1017" s="2">
        <v>1.02E-4</v>
      </c>
      <c r="L1017" s="2">
        <f>(1/COUNT(D1017:K1017))*SQRT(SUMSQ(D1017:K1017))</f>
        <v>2.3455429808468659E-4</v>
      </c>
    </row>
    <row r="1018" spans="2:14" x14ac:dyDescent="0.55000000000000004">
      <c r="C1018" s="2" t="s">
        <v>28</v>
      </c>
      <c r="D1018" s="2">
        <v>2.5290050000000002</v>
      </c>
      <c r="E1018" s="2">
        <v>2.8324989999999999</v>
      </c>
      <c r="F1018" s="2">
        <v>3.2656999999999998</v>
      </c>
      <c r="G1018" s="2">
        <v>3.5531649999999999</v>
      </c>
      <c r="H1018" s="2">
        <v>1.8826579999999999</v>
      </c>
      <c r="I1018" s="2">
        <v>3.4417520000000001</v>
      </c>
      <c r="J1018" s="2">
        <v>3.3926229999999999</v>
      </c>
      <c r="K1018" s="2">
        <v>2.9038300000000001</v>
      </c>
      <c r="L1018" s="2">
        <f>AVERAGE(D1018:K1018)</f>
        <v>2.9751539999999999</v>
      </c>
      <c r="M1018" s="2">
        <f xml:space="preserve"> _xlfn.STDEV.S(D1018:K1018) / SQRT(COUNT(D1018:K1018))</f>
        <v>0.19948781541827817</v>
      </c>
      <c r="N1018" s="2">
        <f>M1018*$N$2</f>
        <v>0.22325860962223287</v>
      </c>
    </row>
    <row r="1019" spans="2:14" x14ac:dyDescent="0.55000000000000004">
      <c r="C1019" s="2" t="s">
        <v>29</v>
      </c>
      <c r="D1019" s="2">
        <v>1.0574E-2</v>
      </c>
      <c r="E1019" s="2">
        <v>9.0500000000000008E-3</v>
      </c>
      <c r="F1019" s="2">
        <v>1.758E-3</v>
      </c>
      <c r="G1019" s="2">
        <v>9.8099999999999993E-3</v>
      </c>
      <c r="H1019" s="2">
        <v>5.1419999999999999E-3</v>
      </c>
      <c r="I1019" s="2">
        <v>1.3386E-2</v>
      </c>
      <c r="J1019" s="2">
        <v>7.0299999999999998E-3</v>
      </c>
      <c r="K1019" s="2">
        <v>1.124E-3</v>
      </c>
      <c r="L1019" s="2">
        <f>(1/COUNT(D1019:K1019))*SQRT(SUMSQ(D1019:K1019))</f>
        <v>2.9297719514494638E-3</v>
      </c>
    </row>
    <row r="1020" spans="2:14" x14ac:dyDescent="0.55000000000000004">
      <c r="C1020" s="2" t="s">
        <v>30</v>
      </c>
      <c r="D1020" s="2">
        <v>16.23854</v>
      </c>
      <c r="E1020" s="2">
        <v>20.75234</v>
      </c>
      <c r="F1020" s="2">
        <v>21.725902999999999</v>
      </c>
      <c r="G1020" s="2">
        <v>33.088648999999997</v>
      </c>
      <c r="H1020" s="2">
        <v>13.638591</v>
      </c>
      <c r="I1020" s="2">
        <v>19.315929000000001</v>
      </c>
      <c r="J1020" s="2">
        <v>26.950348000000002</v>
      </c>
      <c r="K1020" s="2">
        <v>49.293579999999999</v>
      </c>
      <c r="L1020" s="2">
        <f>AVERAGE(D1020:K1020)</f>
        <v>25.125484999999998</v>
      </c>
      <c r="M1020" s="2">
        <f xml:space="preserve"> _xlfn.STDEV.S(D1020:K1020) / SQRT(COUNT(D1020:K1020))</f>
        <v>4.0668475481451534</v>
      </c>
      <c r="N1020" s="2">
        <f>M1020*$N$2</f>
        <v>4.5514495571606801</v>
      </c>
    </row>
    <row r="1021" spans="2:14" x14ac:dyDescent="0.55000000000000004">
      <c r="C1021" s="2" t="s">
        <v>31</v>
      </c>
      <c r="D1021" s="2">
        <v>3.0221000000000001E-2</v>
      </c>
      <c r="E1021" s="2">
        <v>4.8544999999999998E-2</v>
      </c>
      <c r="F1021" s="2">
        <v>5.9519999999999998E-3</v>
      </c>
      <c r="G1021" s="2">
        <v>6.6658999999999996E-2</v>
      </c>
      <c r="H1021" s="2">
        <v>3.8913999999999997E-2</v>
      </c>
      <c r="I1021" s="2">
        <v>4.3943000000000003E-2</v>
      </c>
      <c r="J1021" s="2">
        <v>0.103016</v>
      </c>
      <c r="K1021" s="2">
        <v>4.2681999999999998E-2</v>
      </c>
      <c r="L1021" s="2">
        <f>(1/COUNT(D1021:K1021))*SQRT(SUMSQ(D1021:K1021))</f>
        <v>1.9214297441944108E-2</v>
      </c>
    </row>
    <row r="1022" spans="2:14" x14ac:dyDescent="0.55000000000000004">
      <c r="B1022" s="2" t="s">
        <v>45</v>
      </c>
      <c r="C1022" s="2" t="s">
        <v>22</v>
      </c>
      <c r="D1022" s="2">
        <v>0.94288400000000006</v>
      </c>
      <c r="E1022" s="2">
        <v>0.920068</v>
      </c>
      <c r="F1022" s="2">
        <v>0.91453300000000004</v>
      </c>
      <c r="G1022" s="2">
        <v>0.92293000000000003</v>
      </c>
      <c r="H1022" s="2">
        <v>0.95009100000000002</v>
      </c>
      <c r="I1022" s="2">
        <v>0.91764299999999999</v>
      </c>
      <c r="J1022" s="2">
        <v>0.93563799999999997</v>
      </c>
      <c r="K1022" s="2">
        <v>0.92863200000000001</v>
      </c>
      <c r="L1022" s="2">
        <f>AVERAGE(D1022:K1022)</f>
        <v>0.92905237500000004</v>
      </c>
      <c r="M1022" s="2">
        <f xml:space="preserve"> _xlfn.STDEV.S(D1022:K1022) / SQRT(COUNT(D1022:K1022))</f>
        <v>4.5053010876771604E-3</v>
      </c>
      <c r="N1022" s="2">
        <f>M1022*$N$2</f>
        <v>5.0421488382902764E-3</v>
      </c>
    </row>
    <row r="1023" spans="2:14" x14ac:dyDescent="0.55000000000000004">
      <c r="C1023" s="2" t="s">
        <v>23</v>
      </c>
      <c r="D1023" s="2">
        <v>7.6000000000000004E-4</v>
      </c>
      <c r="E1023" s="2">
        <v>1.8420000000000001E-3</v>
      </c>
      <c r="F1023" s="2">
        <v>1.9449999999999999E-3</v>
      </c>
      <c r="G1023" s="2">
        <v>3.705E-3</v>
      </c>
      <c r="H1023" s="2">
        <v>1.7200000000000001E-4</v>
      </c>
      <c r="I1023" s="2">
        <v>1.8190000000000001E-3</v>
      </c>
      <c r="J1023" s="2">
        <v>1.0920000000000001E-3</v>
      </c>
      <c r="K1023" s="2">
        <v>5.6800000000000004E-4</v>
      </c>
      <c r="L1023" s="2">
        <f>(1/COUNT(D1023:K1023))*SQRT(SUMSQ(D1023:K1023))</f>
        <v>6.4145887192788907E-4</v>
      </c>
    </row>
    <row r="1024" spans="2:14" x14ac:dyDescent="0.55000000000000004">
      <c r="C1024" s="2" t="s">
        <v>24</v>
      </c>
      <c r="D1024" s="2">
        <v>0.32745400000000002</v>
      </c>
      <c r="E1024" s="2">
        <v>0.37945600000000002</v>
      </c>
      <c r="F1024" s="2">
        <v>0.40098699999999998</v>
      </c>
      <c r="G1024" s="2">
        <v>0.38025300000000001</v>
      </c>
      <c r="H1024" s="2">
        <v>0.30931500000000001</v>
      </c>
      <c r="I1024" s="2">
        <v>0.39559899999999998</v>
      </c>
      <c r="J1024" s="2">
        <v>0.34252500000000002</v>
      </c>
      <c r="K1024" s="2">
        <v>0.368813</v>
      </c>
      <c r="L1024" s="2">
        <f>AVERAGE(D1024:K1024)</f>
        <v>0.36305024999999996</v>
      </c>
      <c r="M1024" s="2">
        <f xml:space="preserve"> _xlfn.STDEV.S(D1024:K1024) / SQRT(COUNT(D1024:K1024))</f>
        <v>1.1705284711173953E-2</v>
      </c>
      <c r="N1024" s="2">
        <f>M1024*$N$2</f>
        <v>1.3100076234579041E-2</v>
      </c>
    </row>
    <row r="1025" spans="2:14" x14ac:dyDescent="0.55000000000000004">
      <c r="C1025" s="2" t="s">
        <v>25</v>
      </c>
      <c r="D1025" s="2">
        <v>2.196E-3</v>
      </c>
      <c r="E1025" s="2">
        <v>3.5140000000000002E-3</v>
      </c>
      <c r="F1025" s="2">
        <v>4.4669999999999996E-3</v>
      </c>
      <c r="G1025" s="2">
        <v>8.4700000000000001E-3</v>
      </c>
      <c r="H1025" s="2">
        <v>5.2800000000000004E-4</v>
      </c>
      <c r="I1025" s="2">
        <v>4.1970000000000002E-3</v>
      </c>
      <c r="J1025" s="2">
        <v>3.2789999999999998E-3</v>
      </c>
      <c r="K1025" s="2">
        <v>1.305E-3</v>
      </c>
      <c r="L1025" s="2">
        <f>(1/COUNT(D1025:K1025))*SQRT(SUMSQ(D1025:K1025))</f>
        <v>1.47486259953258E-3</v>
      </c>
    </row>
    <row r="1026" spans="2:14" x14ac:dyDescent="0.55000000000000004">
      <c r="C1026" s="2" t="s">
        <v>26</v>
      </c>
      <c r="D1026" s="2">
        <v>0.62746900000000005</v>
      </c>
      <c r="E1026" s="2">
        <v>0.716337</v>
      </c>
      <c r="F1026" s="2">
        <v>0.57747700000000002</v>
      </c>
      <c r="G1026" s="2">
        <v>0.68109399999999998</v>
      </c>
      <c r="H1026" s="2">
        <v>0.639046</v>
      </c>
      <c r="I1026" s="2">
        <v>0.60501499999999997</v>
      </c>
      <c r="J1026" s="2">
        <v>0.68757900000000005</v>
      </c>
      <c r="K1026" s="2">
        <v>0.55551600000000001</v>
      </c>
      <c r="L1026" s="2">
        <f>AVERAGE(D1026:K1026)</f>
        <v>0.63619162500000004</v>
      </c>
      <c r="M1026" s="2">
        <f xml:space="preserve"> _xlfn.STDEV.S(D1026:K1026) / SQRT(COUNT(D1026:K1026))</f>
        <v>1.98621786910427E-2</v>
      </c>
      <c r="N1026" s="2">
        <f>M1026*$N$2</f>
        <v>2.2228938591225007E-2</v>
      </c>
    </row>
    <row r="1027" spans="2:14" x14ac:dyDescent="0.55000000000000004">
      <c r="C1027" s="2" t="s">
        <v>27</v>
      </c>
      <c r="D1027" s="2">
        <v>2.1280000000000001E-3</v>
      </c>
      <c r="E1027" s="2">
        <v>2.6210000000000001E-3</v>
      </c>
      <c r="F1027" s="2">
        <v>1.5939999999999999E-3</v>
      </c>
      <c r="G1027" s="2">
        <v>7.7409999999999996E-3</v>
      </c>
      <c r="H1027" s="2">
        <v>3.68E-4</v>
      </c>
      <c r="I1027" s="2">
        <v>3.1440000000000001E-3</v>
      </c>
      <c r="J1027" s="2">
        <v>2.4759999999999999E-3</v>
      </c>
      <c r="K1027" s="2">
        <v>5.8699999999999996E-4</v>
      </c>
      <c r="L1027" s="2">
        <f>(1/COUNT(D1027:K1027))*SQRT(SUMSQ(D1027:K1027))</f>
        <v>1.1882053628792457E-3</v>
      </c>
    </row>
    <row r="1028" spans="2:14" x14ac:dyDescent="0.55000000000000004">
      <c r="C1028" s="2" t="s">
        <v>28</v>
      </c>
      <c r="D1028" s="2">
        <v>2.8128799999999998</v>
      </c>
      <c r="E1028" s="2">
        <v>3.242346</v>
      </c>
      <c r="F1028" s="2">
        <v>3.3794390000000001</v>
      </c>
      <c r="G1028" s="2">
        <v>3.7307239999999999</v>
      </c>
      <c r="H1028" s="2">
        <v>1.8056589999999999</v>
      </c>
      <c r="I1028" s="2">
        <v>4.2362019999999996</v>
      </c>
      <c r="J1028" s="2">
        <v>3.4920749999999998</v>
      </c>
      <c r="K1028" s="2">
        <v>2.8068279999999999</v>
      </c>
      <c r="L1028" s="2">
        <f>AVERAGE(D1028:K1028)</f>
        <v>3.1882691249999997</v>
      </c>
      <c r="M1028" s="2">
        <f xml:space="preserve"> _xlfn.STDEV.S(D1028:K1028) / SQRT(COUNT(D1028:K1028))</f>
        <v>0.25781409158403545</v>
      </c>
      <c r="N1028" s="2">
        <f>M1028*$N$2</f>
        <v>0.28853499401646598</v>
      </c>
    </row>
    <row r="1029" spans="2:14" x14ac:dyDescent="0.55000000000000004">
      <c r="C1029" s="2" t="s">
        <v>29</v>
      </c>
      <c r="D1029" s="2">
        <v>3.6602000000000003E-2</v>
      </c>
      <c r="E1029" s="2">
        <v>8.4456000000000003E-2</v>
      </c>
      <c r="F1029" s="2">
        <v>3.4294999999999999E-2</v>
      </c>
      <c r="G1029" s="2">
        <v>0.19451399999999999</v>
      </c>
      <c r="H1029" s="2">
        <v>2.826E-3</v>
      </c>
      <c r="I1029" s="2">
        <v>0.13606699999999999</v>
      </c>
      <c r="J1029" s="2">
        <v>1.2121E-2</v>
      </c>
      <c r="K1029" s="2">
        <v>1.1919000000000001E-2</v>
      </c>
      <c r="L1029" s="2">
        <f>(1/COUNT(D1029:K1029))*SQRT(SUMSQ(D1029:K1029))</f>
        <v>3.2184905606122256E-2</v>
      </c>
    </row>
    <row r="1030" spans="2:14" x14ac:dyDescent="0.55000000000000004">
      <c r="C1030" s="2" t="s">
        <v>30</v>
      </c>
      <c r="D1030" s="2">
        <v>17.403437</v>
      </c>
      <c r="E1030" s="2">
        <v>22.164636000000002</v>
      </c>
      <c r="F1030" s="2">
        <v>22.127172000000002</v>
      </c>
      <c r="G1030" s="2">
        <v>29.138210000000001</v>
      </c>
      <c r="H1030" s="2">
        <v>13.344367</v>
      </c>
      <c r="I1030" s="2">
        <v>22.509209999999999</v>
      </c>
      <c r="J1030" s="2">
        <v>27.405068</v>
      </c>
      <c r="K1030" s="2">
        <v>41.146931000000002</v>
      </c>
      <c r="L1030" s="2">
        <f>AVERAGE(D1030:K1030)</f>
        <v>24.404878875000001</v>
      </c>
      <c r="M1030" s="2">
        <f xml:space="preserve"> _xlfn.STDEV.S(D1030:K1030) / SQRT(COUNT(D1030:K1030))</f>
        <v>2.9786657373069412</v>
      </c>
      <c r="N1030" s="2">
        <f>M1030*$N$2</f>
        <v>3.3336009502442958</v>
      </c>
    </row>
    <row r="1031" spans="2:14" x14ac:dyDescent="0.55000000000000004">
      <c r="C1031" s="2" t="s">
        <v>31</v>
      </c>
      <c r="D1031" s="2">
        <v>7.417E-2</v>
      </c>
      <c r="E1031" s="2">
        <v>0.70854099999999998</v>
      </c>
      <c r="F1031" s="2">
        <v>0.251025</v>
      </c>
      <c r="G1031" s="2">
        <v>0.27815000000000001</v>
      </c>
      <c r="H1031" s="2">
        <v>6.0873999999999998E-2</v>
      </c>
      <c r="I1031" s="2">
        <v>0.75131999999999999</v>
      </c>
      <c r="J1031" s="2">
        <v>0.28925299999999998</v>
      </c>
      <c r="K1031" s="2">
        <v>0.847638</v>
      </c>
      <c r="L1031" s="2">
        <f>(1/COUNT(D1031:K1031))*SQRT(SUMSQ(D1031:K1031))</f>
        <v>0.17758173180059056</v>
      </c>
    </row>
    <row r="1032" spans="2:14" x14ac:dyDescent="0.55000000000000004">
      <c r="B1032" s="2" t="s">
        <v>46</v>
      </c>
      <c r="C1032" s="2" t="s">
        <v>22</v>
      </c>
      <c r="L1032" s="2" t="e">
        <f>AVERAGE(D1032:K1032)</f>
        <v>#DIV/0!</v>
      </c>
      <c r="M1032" s="2" t="e">
        <f xml:space="preserve"> _xlfn.STDEV.S(D1032:K1032) / SQRT(COUNT(D1032:K1032))</f>
        <v>#DIV/0!</v>
      </c>
      <c r="N1032" s="2" t="e">
        <f>M1032*$N$2</f>
        <v>#DIV/0!</v>
      </c>
    </row>
    <row r="1033" spans="2:14" x14ac:dyDescent="0.55000000000000004">
      <c r="C1033" s="2" t="s">
        <v>23</v>
      </c>
      <c r="L1033" s="2" t="e">
        <f>(1/COUNT(D1033:K1033))*SQRT(SUMSQ(D1033:K1033))</f>
        <v>#DIV/0!</v>
      </c>
    </row>
    <row r="1034" spans="2:14" x14ac:dyDescent="0.55000000000000004">
      <c r="C1034" s="2" t="s">
        <v>24</v>
      </c>
      <c r="L1034" s="2" t="e">
        <f>AVERAGE(D1034:K1034)</f>
        <v>#DIV/0!</v>
      </c>
      <c r="M1034" s="2" t="e">
        <f xml:space="preserve"> _xlfn.STDEV.S(D1034:K1034) / SQRT(COUNT(D1034:K1034))</f>
        <v>#DIV/0!</v>
      </c>
      <c r="N1034" s="2" t="e">
        <f>M1034*$N$2</f>
        <v>#DIV/0!</v>
      </c>
    </row>
    <row r="1035" spans="2:14" x14ac:dyDescent="0.55000000000000004">
      <c r="C1035" s="2" t="s">
        <v>25</v>
      </c>
      <c r="L1035" s="2" t="e">
        <f>(1/COUNT(D1035:K1035))*SQRT(SUMSQ(D1035:K1035))</f>
        <v>#DIV/0!</v>
      </c>
    </row>
    <row r="1036" spans="2:14" x14ac:dyDescent="0.55000000000000004">
      <c r="C1036" s="2" t="s">
        <v>26</v>
      </c>
      <c r="L1036" s="2" t="e">
        <f>AVERAGE(D1036:K1036)</f>
        <v>#DIV/0!</v>
      </c>
      <c r="M1036" s="2" t="e">
        <f xml:space="preserve"> _xlfn.STDEV.S(D1036:K1036) / SQRT(COUNT(D1036:K1036))</f>
        <v>#DIV/0!</v>
      </c>
      <c r="N1036" s="2" t="e">
        <f>M1036*$N$2</f>
        <v>#DIV/0!</v>
      </c>
    </row>
    <row r="1037" spans="2:14" x14ac:dyDescent="0.55000000000000004">
      <c r="C1037" s="2" t="s">
        <v>27</v>
      </c>
      <c r="L1037" s="2" t="e">
        <f>(1/COUNT(D1037:K1037))*SQRT(SUMSQ(D1037:K1037))</f>
        <v>#DIV/0!</v>
      </c>
    </row>
    <row r="1038" spans="2:14" x14ac:dyDescent="0.55000000000000004">
      <c r="C1038" s="2" t="s">
        <v>28</v>
      </c>
      <c r="L1038" s="2" t="e">
        <f>AVERAGE(D1038:K1038)</f>
        <v>#DIV/0!</v>
      </c>
      <c r="M1038" s="2" t="e">
        <f xml:space="preserve"> _xlfn.STDEV.S(D1038:K1038) / SQRT(COUNT(D1038:K1038))</f>
        <v>#DIV/0!</v>
      </c>
      <c r="N1038" s="2" t="e">
        <f>M1038*$N$2</f>
        <v>#DIV/0!</v>
      </c>
    </row>
    <row r="1039" spans="2:14" x14ac:dyDescent="0.55000000000000004">
      <c r="C1039" s="2" t="s">
        <v>29</v>
      </c>
      <c r="L1039" s="2" t="e">
        <f>(1/COUNT(D1039:K1039))*SQRT(SUMSQ(D1039:K1039))</f>
        <v>#DIV/0!</v>
      </c>
    </row>
    <row r="1040" spans="2:14" x14ac:dyDescent="0.55000000000000004">
      <c r="C1040" s="2" t="s">
        <v>30</v>
      </c>
      <c r="L1040" s="2" t="e">
        <f>AVERAGE(D1040:K1040)</f>
        <v>#DIV/0!</v>
      </c>
      <c r="M1040" s="2" t="e">
        <f xml:space="preserve"> _xlfn.STDEV.S(D1040:K1040) / SQRT(COUNT(D1040:K1040))</f>
        <v>#DIV/0!</v>
      </c>
      <c r="N1040" s="2" t="e">
        <f>M1040*$N$2</f>
        <v>#DIV/0!</v>
      </c>
    </row>
    <row r="1041" spans="2:14" x14ac:dyDescent="0.55000000000000004">
      <c r="C1041" s="2" t="s">
        <v>31</v>
      </c>
      <c r="L1041" s="2" t="e">
        <f>(1/COUNT(D1041:K1041))*SQRT(SUMSQ(D1041:K1041))</f>
        <v>#DIV/0!</v>
      </c>
    </row>
    <row r="1042" spans="2:14" x14ac:dyDescent="0.55000000000000004">
      <c r="B1042" s="2" t="s">
        <v>36</v>
      </c>
      <c r="C1042" s="2" t="s">
        <v>22</v>
      </c>
      <c r="D1042" s="2">
        <v>0.935195</v>
      </c>
      <c r="E1042" s="2">
        <v>0.92105400000000004</v>
      </c>
      <c r="F1042" s="2">
        <v>0.92252299999999998</v>
      </c>
      <c r="G1042" s="2">
        <v>0.94351799999999997</v>
      </c>
      <c r="H1042" s="2">
        <v>0.95054000000000005</v>
      </c>
      <c r="I1042" s="2">
        <v>0.920686</v>
      </c>
      <c r="J1042" s="2">
        <v>0.93368899999999999</v>
      </c>
      <c r="K1042" s="2">
        <v>0.926172</v>
      </c>
      <c r="L1042" s="2">
        <f>AVERAGE(D1042:K1042)</f>
        <v>0.93167212500000007</v>
      </c>
      <c r="M1042" s="2">
        <f xml:space="preserve"> _xlfn.STDEV.S(D1042:K1042) / SQRT(COUNT(D1042:K1042))</f>
        <v>3.919268515194696E-3</v>
      </c>
      <c r="N1042" s="2">
        <f>M1042*$N$2</f>
        <v>4.3862851352794337E-3</v>
      </c>
    </row>
    <row r="1043" spans="2:14" x14ac:dyDescent="0.55000000000000004">
      <c r="C1043" s="2" t="s">
        <v>24</v>
      </c>
      <c r="D1043" s="2">
        <v>0.34834500000000002</v>
      </c>
      <c r="E1043" s="2">
        <v>0.381658</v>
      </c>
      <c r="F1043" s="2">
        <v>0.38219999999999998</v>
      </c>
      <c r="G1043" s="2">
        <v>0.32728699999999999</v>
      </c>
      <c r="H1043" s="2">
        <v>0.30846499999999999</v>
      </c>
      <c r="I1043" s="2">
        <v>0.389237</v>
      </c>
      <c r="J1043" s="2">
        <v>0.34740900000000002</v>
      </c>
      <c r="K1043" s="2">
        <v>0.37544</v>
      </c>
      <c r="L1043" s="2">
        <f t="shared" ref="L1043:L1051" si="46">AVERAGE(D1043:K1043)</f>
        <v>0.35750512499999998</v>
      </c>
      <c r="M1043" s="2">
        <f t="shared" ref="M1043:M1059" si="47" xml:space="preserve"> _xlfn.STDEV.S(D1043:K1043) / SQRT(COUNT(D1043:K1043))</f>
        <v>1.0373109485997057E-2</v>
      </c>
      <c r="N1043" s="2">
        <f t="shared" ref="N1043:N1059" si="48">M1043*$N$2</f>
        <v>1.1609160170745463E-2</v>
      </c>
    </row>
    <row r="1044" spans="2:14" x14ac:dyDescent="0.55000000000000004">
      <c r="C1044" s="2" t="s">
        <v>26</v>
      </c>
      <c r="D1044" s="2">
        <v>0.60663800000000001</v>
      </c>
      <c r="E1044" s="2">
        <v>0.71278900000000001</v>
      </c>
      <c r="F1044" s="2">
        <v>0.58284800000000003</v>
      </c>
      <c r="G1044" s="2">
        <v>0.72479899999999997</v>
      </c>
      <c r="H1044" s="2">
        <v>0.63996200000000003</v>
      </c>
      <c r="I1044" s="2">
        <v>0.60987100000000005</v>
      </c>
      <c r="J1044" s="2">
        <v>0.68492900000000001</v>
      </c>
      <c r="K1044" s="2">
        <v>0.54968399999999995</v>
      </c>
      <c r="L1044" s="2">
        <f t="shared" si="46"/>
        <v>0.63894000000000006</v>
      </c>
      <c r="M1044" s="2">
        <f t="shared" si="47"/>
        <v>2.2337847148153858E-2</v>
      </c>
      <c r="N1044" s="2">
        <f t="shared" si="48"/>
        <v>2.4999605543797251E-2</v>
      </c>
    </row>
    <row r="1045" spans="2:14" x14ac:dyDescent="0.55000000000000004">
      <c r="C1045" s="2" t="s">
        <v>28</v>
      </c>
      <c r="D1045" s="2">
        <v>3.2189019999999999</v>
      </c>
      <c r="E1045" s="2">
        <v>3.0616629999999998</v>
      </c>
      <c r="F1045" s="2">
        <v>3.277536</v>
      </c>
      <c r="G1045" s="2">
        <v>2.9550139999999998</v>
      </c>
      <c r="H1045" s="2">
        <v>1.786062</v>
      </c>
      <c r="I1045" s="2">
        <v>3.876789</v>
      </c>
      <c r="J1045" s="2">
        <v>3.5058609999999999</v>
      </c>
      <c r="K1045" s="2">
        <v>3.0153810000000001</v>
      </c>
      <c r="L1045" s="2">
        <f t="shared" si="46"/>
        <v>3.087151</v>
      </c>
      <c r="M1045" s="2">
        <f t="shared" si="47"/>
        <v>0.21416550480477944</v>
      </c>
      <c r="N1045" s="2">
        <f t="shared" si="48"/>
        <v>0.23968527968238848</v>
      </c>
    </row>
    <row r="1046" spans="2:14" x14ac:dyDescent="0.55000000000000004">
      <c r="C1046" s="2" t="s">
        <v>30</v>
      </c>
      <c r="D1046" s="2">
        <v>17.608443999999999</v>
      </c>
      <c r="E1046" s="2">
        <v>20.715416000000001</v>
      </c>
      <c r="F1046" s="2">
        <v>21.702759</v>
      </c>
      <c r="G1046" s="2">
        <v>26.422494</v>
      </c>
      <c r="H1046" s="2">
        <v>13.197100000000001</v>
      </c>
      <c r="I1046" s="2">
        <v>20.092144999999999</v>
      </c>
      <c r="J1046" s="2">
        <v>27.315594000000001</v>
      </c>
      <c r="K1046" s="2">
        <v>50.129209000000003</v>
      </c>
      <c r="L1046" s="2">
        <f t="shared" si="46"/>
        <v>24.647895125000002</v>
      </c>
      <c r="M1046" s="2">
        <f t="shared" si="47"/>
        <v>3.9756644423377745</v>
      </c>
      <c r="N1046" s="2">
        <f t="shared" si="48"/>
        <v>4.449401151944012</v>
      </c>
    </row>
    <row r="1047" spans="2:14" x14ac:dyDescent="0.55000000000000004">
      <c r="B1047" s="2" t="s">
        <v>37</v>
      </c>
      <c r="C1047" s="2" t="s">
        <v>22</v>
      </c>
      <c r="D1047" s="2">
        <v>0.92353499999999999</v>
      </c>
      <c r="E1047" s="2">
        <v>0.86843999999999999</v>
      </c>
      <c r="F1047" s="2">
        <v>0.88865300000000003</v>
      </c>
      <c r="G1047" s="2">
        <v>0.906138</v>
      </c>
      <c r="H1047" s="2">
        <v>0.91761599999999999</v>
      </c>
      <c r="I1047" s="2">
        <v>0.88922000000000001</v>
      </c>
      <c r="J1047" s="2">
        <v>0.90296900000000002</v>
      </c>
      <c r="K1047" s="2">
        <v>0.90317800000000004</v>
      </c>
      <c r="L1047" s="2">
        <f t="shared" si="46"/>
        <v>0.89996862499999986</v>
      </c>
      <c r="M1047" s="2">
        <f t="shared" si="47"/>
        <v>6.2131742288276314E-3</v>
      </c>
      <c r="N1047" s="2">
        <f t="shared" si="48"/>
        <v>6.9535306542920219E-3</v>
      </c>
    </row>
    <row r="1048" spans="2:14" x14ac:dyDescent="0.55000000000000004">
      <c r="C1048" s="2" t="s">
        <v>24</v>
      </c>
      <c r="D1048" s="2">
        <v>0.38078099999999998</v>
      </c>
      <c r="E1048" s="2">
        <v>0.49016599999999999</v>
      </c>
      <c r="F1048" s="2">
        <v>0.457067</v>
      </c>
      <c r="G1048" s="2">
        <v>0.42181600000000002</v>
      </c>
      <c r="H1048" s="2">
        <v>0.395094</v>
      </c>
      <c r="I1048" s="2">
        <v>0.46024900000000002</v>
      </c>
      <c r="J1048" s="2">
        <v>0.42448399999999997</v>
      </c>
      <c r="K1048" s="2">
        <v>0.430118</v>
      </c>
      <c r="L1048" s="2">
        <f t="shared" si="46"/>
        <v>0.43247187500000006</v>
      </c>
      <c r="M1048" s="2">
        <f t="shared" si="47"/>
        <v>1.2647026436842632E-2</v>
      </c>
      <c r="N1048" s="2">
        <f t="shared" si="48"/>
        <v>1.4154035083419928E-2</v>
      </c>
    </row>
    <row r="1049" spans="2:14" x14ac:dyDescent="0.55000000000000004">
      <c r="C1049" s="2" t="s">
        <v>26</v>
      </c>
      <c r="D1049" s="2">
        <v>0.57701199999999997</v>
      </c>
      <c r="E1049" s="2">
        <v>0.64020100000000002</v>
      </c>
      <c r="F1049" s="2">
        <v>0.54805199999999998</v>
      </c>
      <c r="G1049" s="2">
        <v>0.66614099999999998</v>
      </c>
      <c r="H1049" s="2">
        <v>0.56129300000000004</v>
      </c>
      <c r="I1049" s="2">
        <v>0.56843100000000002</v>
      </c>
      <c r="J1049" s="2">
        <v>0.62424999999999997</v>
      </c>
      <c r="K1049" s="2">
        <v>0.51697400000000004</v>
      </c>
      <c r="L1049" s="2">
        <f t="shared" si="46"/>
        <v>0.58779425000000007</v>
      </c>
      <c r="M1049" s="2">
        <f t="shared" si="47"/>
        <v>1.7929507428647566E-2</v>
      </c>
      <c r="N1049" s="2">
        <f t="shared" si="48"/>
        <v>2.006597190579381E-2</v>
      </c>
    </row>
    <row r="1050" spans="2:14" x14ac:dyDescent="0.55000000000000004">
      <c r="C1050" s="2" t="s">
        <v>28</v>
      </c>
      <c r="D1050" s="2">
        <v>3.705527</v>
      </c>
      <c r="E1050" s="2">
        <v>4.5627620000000002</v>
      </c>
      <c r="F1050" s="2">
        <v>3.8870499999999999</v>
      </c>
      <c r="G1050" s="2">
        <v>3.9140630000000001</v>
      </c>
      <c r="H1050" s="2">
        <v>2.6584310000000002</v>
      </c>
      <c r="I1050" s="2">
        <v>5.9514440000000004</v>
      </c>
      <c r="J1050" s="2">
        <v>4.6209449999999999</v>
      </c>
      <c r="K1050" s="2">
        <v>3.5202059999999999</v>
      </c>
      <c r="L1050" s="2">
        <f t="shared" si="46"/>
        <v>4.1025535</v>
      </c>
      <c r="M1050" s="2">
        <f t="shared" si="47"/>
        <v>0.34234320097731302</v>
      </c>
      <c r="N1050" s="2">
        <f t="shared" si="48"/>
        <v>0.38313651840620888</v>
      </c>
    </row>
    <row r="1051" spans="2:14" x14ac:dyDescent="0.55000000000000004">
      <c r="C1051" s="2" t="s">
        <v>30</v>
      </c>
      <c r="D1051" s="2">
        <v>18.791547999999999</v>
      </c>
      <c r="E1051" s="2">
        <v>30.883465000000001</v>
      </c>
      <c r="F1051" s="2">
        <v>23.156389999999998</v>
      </c>
      <c r="G1051" s="2">
        <v>35.834865000000001</v>
      </c>
      <c r="H1051" s="2">
        <v>19.253385999999999</v>
      </c>
      <c r="I1051" s="2">
        <v>27.739594</v>
      </c>
      <c r="J1051" s="2">
        <v>38.016142000000002</v>
      </c>
      <c r="K1051" s="2">
        <v>65.238697999999999</v>
      </c>
      <c r="L1051" s="2">
        <f t="shared" si="46"/>
        <v>32.364260999999999</v>
      </c>
      <c r="M1051" s="2">
        <f t="shared" si="47"/>
        <v>5.3271478406150328</v>
      </c>
      <c r="N1051" s="2">
        <f t="shared" si="48"/>
        <v>5.9619261339548428</v>
      </c>
    </row>
    <row r="1052" spans="2:14" x14ac:dyDescent="0.55000000000000004">
      <c r="B1052" s="2" t="s">
        <v>39</v>
      </c>
      <c r="C1052" s="2" t="s">
        <v>22</v>
      </c>
      <c r="D1052" s="2">
        <v>0.951183</v>
      </c>
      <c r="E1052" s="2">
        <v>0.94933199999999995</v>
      </c>
      <c r="F1052" s="2">
        <v>0.92532000000000003</v>
      </c>
      <c r="G1052" s="2">
        <v>0.91430900000000004</v>
      </c>
      <c r="H1052" s="2">
        <v>0.95321800000000001</v>
      </c>
      <c r="I1052" s="2">
        <v>0.93805099999999997</v>
      </c>
      <c r="J1052" s="2">
        <v>0.95032399999999995</v>
      </c>
      <c r="K1052" s="2">
        <v>0.93126799999999998</v>
      </c>
      <c r="L1052" s="2">
        <f t="shared" ref="L1052:L1060" si="49">AVERAGE(D1052:K1052)</f>
        <v>0.93912562499999996</v>
      </c>
      <c r="M1052" s="2">
        <f t="shared" si="47"/>
        <v>5.0760401219056908E-3</v>
      </c>
      <c r="N1052" s="2">
        <f t="shared" si="48"/>
        <v>5.6808966383592851E-3</v>
      </c>
    </row>
    <row r="1053" spans="2:14" x14ac:dyDescent="0.55000000000000004">
      <c r="C1053" s="2" t="s">
        <v>24</v>
      </c>
      <c r="D1053" s="2">
        <v>0.305284</v>
      </c>
      <c r="E1053" s="2">
        <v>0.31034</v>
      </c>
      <c r="F1053" s="2">
        <v>0.37815900000000002</v>
      </c>
      <c r="G1053" s="2">
        <v>0.40451199999999998</v>
      </c>
      <c r="H1053" s="2">
        <v>0.30109799999999998</v>
      </c>
      <c r="I1053" s="2">
        <v>0.34679900000000002</v>
      </c>
      <c r="J1053" s="2">
        <v>0.30649999999999999</v>
      </c>
      <c r="K1053" s="2">
        <v>0.36380200000000001</v>
      </c>
      <c r="L1053" s="2">
        <f t="shared" si="49"/>
        <v>0.33956175000000005</v>
      </c>
      <c r="M1053" s="2">
        <f t="shared" si="47"/>
        <v>1.3983194240574565E-2</v>
      </c>
      <c r="N1053" s="2">
        <f t="shared" si="48"/>
        <v>1.5649419477989077E-2</v>
      </c>
    </row>
    <row r="1054" spans="2:14" x14ac:dyDescent="0.55000000000000004">
      <c r="C1054" s="2" t="s">
        <v>26</v>
      </c>
      <c r="D1054" s="2">
        <v>0.64648000000000005</v>
      </c>
      <c r="E1054" s="2">
        <v>0.76751199999999997</v>
      </c>
      <c r="F1054" s="2">
        <v>0.58404100000000003</v>
      </c>
      <c r="G1054" s="2">
        <v>0.678979</v>
      </c>
      <c r="H1054" s="2">
        <v>0.64555099999999999</v>
      </c>
      <c r="I1054" s="2">
        <v>0.641096</v>
      </c>
      <c r="J1054" s="2">
        <v>0.71359399999999995</v>
      </c>
      <c r="K1054" s="2">
        <v>0.55711500000000003</v>
      </c>
      <c r="L1054" s="2">
        <f t="shared" si="49"/>
        <v>0.65429599999999999</v>
      </c>
      <c r="M1054" s="2">
        <f t="shared" si="47"/>
        <v>2.3767881469988615E-2</v>
      </c>
      <c r="N1054" s="2">
        <f t="shared" si="48"/>
        <v>2.6600041508948673E-2</v>
      </c>
    </row>
    <row r="1055" spans="2:14" x14ac:dyDescent="0.55000000000000004">
      <c r="C1055" s="2" t="s">
        <v>28</v>
      </c>
      <c r="D1055" s="2">
        <v>2.3399779999999999</v>
      </c>
      <c r="E1055" s="2">
        <v>2.6255660000000001</v>
      </c>
      <c r="F1055" s="2">
        <v>3.2636590000000001</v>
      </c>
      <c r="G1055" s="2">
        <v>3.711214</v>
      </c>
      <c r="H1055" s="2">
        <v>1.7461100000000001</v>
      </c>
      <c r="I1055" s="2">
        <v>3.1498550000000001</v>
      </c>
      <c r="J1055" s="2">
        <v>3.156857</v>
      </c>
      <c r="K1055" s="2">
        <v>2.838889</v>
      </c>
      <c r="L1055" s="2">
        <f t="shared" si="49"/>
        <v>2.8540159999999997</v>
      </c>
      <c r="M1055" s="2">
        <f t="shared" si="47"/>
        <v>0.21654503749484288</v>
      </c>
      <c r="N1055" s="2">
        <f t="shared" si="48"/>
        <v>0.24234835541370725</v>
      </c>
    </row>
    <row r="1056" spans="2:14" x14ac:dyDescent="0.55000000000000004">
      <c r="C1056" s="2" t="s">
        <v>30</v>
      </c>
      <c r="D1056" s="2">
        <v>15.840074</v>
      </c>
      <c r="E1056" s="2">
        <v>21.211763000000001</v>
      </c>
      <c r="F1056" s="2">
        <v>21.866726</v>
      </c>
      <c r="G1056" s="2">
        <v>34.174070999999998</v>
      </c>
      <c r="H1056" s="2">
        <v>12.631637</v>
      </c>
      <c r="I1056" s="2">
        <v>19.898637999999998</v>
      </c>
      <c r="J1056" s="2">
        <v>24.897853000000001</v>
      </c>
      <c r="K1056" s="2">
        <v>46.056344000000003</v>
      </c>
      <c r="L1056" s="2">
        <f t="shared" si="49"/>
        <v>24.572138249999998</v>
      </c>
      <c r="M1056" s="2">
        <f t="shared" si="47"/>
        <v>3.810586281662331</v>
      </c>
      <c r="N1056" s="2">
        <f t="shared" si="48"/>
        <v>4.2646524215309851</v>
      </c>
    </row>
    <row r="1057" spans="1:14" x14ac:dyDescent="0.55000000000000004">
      <c r="B1057" s="2" t="s">
        <v>61</v>
      </c>
      <c r="C1057" s="2" t="s">
        <v>22</v>
      </c>
      <c r="D1057" s="2">
        <v>0.91437000000000002</v>
      </c>
      <c r="E1057" s="2">
        <v>0.85397599999999996</v>
      </c>
      <c r="F1057" s="2">
        <v>0.86836599999999997</v>
      </c>
      <c r="G1057" s="2">
        <v>0.91978199999999999</v>
      </c>
      <c r="H1057" s="2">
        <v>0.89870899999999998</v>
      </c>
      <c r="I1057" s="2">
        <v>0.87637200000000004</v>
      </c>
      <c r="J1057" s="2">
        <v>0.89180599999999999</v>
      </c>
      <c r="K1057" s="2">
        <v>0.87784799999999996</v>
      </c>
      <c r="L1057" s="2">
        <f t="shared" si="49"/>
        <v>0.887653625</v>
      </c>
      <c r="M1057" s="2">
        <f t="shared" si="47"/>
        <v>8.0346136851249094E-3</v>
      </c>
      <c r="N1057" s="2">
        <f t="shared" si="48"/>
        <v>8.9920112485646804E-3</v>
      </c>
    </row>
    <row r="1058" spans="1:14" x14ac:dyDescent="0.55000000000000004">
      <c r="C1058" s="2" t="s">
        <v>24</v>
      </c>
      <c r="D1058" s="2">
        <v>0.40734100000000001</v>
      </c>
      <c r="E1058" s="2">
        <v>0.525119</v>
      </c>
      <c r="F1058" s="2">
        <v>0.50614199999999998</v>
      </c>
      <c r="G1058" s="2">
        <v>0.37897500000000001</v>
      </c>
      <c r="H1058" s="2">
        <v>0.44381199999999998</v>
      </c>
      <c r="I1058" s="2">
        <v>0.49312099999999998</v>
      </c>
      <c r="J1058" s="2">
        <v>0.45504499999999998</v>
      </c>
      <c r="K1058" s="2">
        <v>0.48949900000000002</v>
      </c>
      <c r="L1058" s="2">
        <f t="shared" si="49"/>
        <v>0.46238174999999998</v>
      </c>
      <c r="M1058" s="2">
        <f t="shared" si="47"/>
        <v>1.7886548406104763E-2</v>
      </c>
      <c r="N1058" s="2">
        <f t="shared" si="48"/>
        <v>2.0017893923569553E-2</v>
      </c>
    </row>
    <row r="1059" spans="1:14" x14ac:dyDescent="0.55000000000000004">
      <c r="C1059" s="2" t="s">
        <v>26</v>
      </c>
      <c r="D1059" s="2">
        <v>0.56020499999999995</v>
      </c>
      <c r="E1059" s="2">
        <v>0.62607199999999996</v>
      </c>
      <c r="F1059" s="2">
        <v>0.52431899999999998</v>
      </c>
      <c r="G1059" s="2">
        <v>0.69287900000000002</v>
      </c>
      <c r="H1059" s="2">
        <v>0.52547200000000005</v>
      </c>
      <c r="I1059" s="2">
        <v>0.55973300000000004</v>
      </c>
      <c r="J1059" s="2">
        <v>0.60755199999999998</v>
      </c>
      <c r="K1059" s="2">
        <v>0.470024</v>
      </c>
      <c r="L1059" s="2">
        <f t="shared" si="49"/>
        <v>0.57078200000000012</v>
      </c>
      <c r="M1059" s="2">
        <f t="shared" si="47"/>
        <v>2.4609314718792064E-2</v>
      </c>
      <c r="N1059" s="2">
        <f t="shared" si="48"/>
        <v>2.7541739210253813E-2</v>
      </c>
    </row>
    <row r="1060" spans="1:14" x14ac:dyDescent="0.55000000000000004">
      <c r="A1060" s="2" t="s">
        <v>20</v>
      </c>
      <c r="B1060" s="2" t="s">
        <v>21</v>
      </c>
      <c r="C1060" s="2" t="s">
        <v>22</v>
      </c>
      <c r="D1060" s="2">
        <v>0.95474400000000004</v>
      </c>
      <c r="E1060" s="2">
        <v>0.94932899999999998</v>
      </c>
      <c r="F1060" s="2">
        <v>0.93282500000000002</v>
      </c>
      <c r="G1060" s="2">
        <v>0.93075399999999997</v>
      </c>
      <c r="H1060" s="2">
        <v>0.953546</v>
      </c>
      <c r="I1060" s="2">
        <v>0.936338</v>
      </c>
      <c r="J1060" s="2">
        <v>0.94623800000000002</v>
      </c>
      <c r="K1060" s="2">
        <v>0.93023699999999998</v>
      </c>
      <c r="L1060" s="2">
        <f t="shared" si="49"/>
        <v>0.94175137499999995</v>
      </c>
      <c r="M1060" s="2">
        <f xml:space="preserve"> _xlfn.STDEV.S(D1060:K1060) / SQRT(COUNT(D1060:K1060))</f>
        <v>3.65469261917128E-3</v>
      </c>
      <c r="N1060" s="2">
        <f>M1060*$N$2</f>
        <v>4.0901826061004402E-3</v>
      </c>
    </row>
    <row r="1061" spans="1:14" x14ac:dyDescent="0.55000000000000004">
      <c r="A1061" s="2">
        <v>2.1669999999999998</v>
      </c>
      <c r="C1061" s="2" t="s">
        <v>23</v>
      </c>
      <c r="D1061" s="2">
        <v>9.2999999999999997E-5</v>
      </c>
      <c r="E1061" s="2">
        <v>6.4999999999999997E-4</v>
      </c>
      <c r="F1061" s="2">
        <v>1.2340000000000001E-3</v>
      </c>
      <c r="G1061" s="2">
        <v>1.2620000000000001E-3</v>
      </c>
      <c r="H1061" s="2">
        <v>7.2000000000000002E-5</v>
      </c>
      <c r="I1061" s="2">
        <v>5.1599999999999997E-4</v>
      </c>
      <c r="J1061" s="2">
        <v>4.2900000000000002E-4</v>
      </c>
      <c r="K1061" s="2">
        <v>9.3999999999999994E-5</v>
      </c>
      <c r="L1061" s="2">
        <f>(1/COUNT(D1061:K1061))*SQRT(SUMSQ(D1061:K1061))</f>
        <v>2.5033933220730613E-4</v>
      </c>
    </row>
    <row r="1062" spans="1:14" x14ac:dyDescent="0.55000000000000004">
      <c r="C1062" s="2" t="s">
        <v>24</v>
      </c>
      <c r="D1062" s="2">
        <v>0.29524</v>
      </c>
      <c r="E1062" s="2">
        <v>0.31091200000000002</v>
      </c>
      <c r="F1062" s="2">
        <v>0.359261</v>
      </c>
      <c r="G1062" s="2">
        <v>0.36575400000000002</v>
      </c>
      <c r="H1062" s="2">
        <v>0.30021700000000001</v>
      </c>
      <c r="I1062" s="2">
        <v>0.35130699999999998</v>
      </c>
      <c r="J1062" s="2">
        <v>0.315965</v>
      </c>
      <c r="K1062" s="2">
        <v>0.36658099999999999</v>
      </c>
      <c r="L1062" s="2">
        <f>AVERAGE(D1062:K1062)</f>
        <v>0.33315462500000004</v>
      </c>
      <c r="M1062" s="2">
        <f xml:space="preserve"> _xlfn.STDEV.S(D1062:K1062) / SQRT(COUNT(D1062:K1062))</f>
        <v>1.0776724948003018E-2</v>
      </c>
      <c r="N1062" s="2">
        <f>M1062*$N$2</f>
        <v>1.2060870099397223E-2</v>
      </c>
    </row>
    <row r="1063" spans="1:14" x14ac:dyDescent="0.55000000000000004">
      <c r="C1063" s="2" t="s">
        <v>25</v>
      </c>
      <c r="D1063" s="2">
        <v>2.23E-4</v>
      </c>
      <c r="E1063" s="2">
        <v>1.944E-3</v>
      </c>
      <c r="F1063" s="2">
        <v>2.97E-3</v>
      </c>
      <c r="G1063" s="2">
        <v>2.8700000000000002E-3</v>
      </c>
      <c r="H1063" s="2">
        <v>2.0000000000000001E-4</v>
      </c>
      <c r="I1063" s="2">
        <v>1.456E-3</v>
      </c>
      <c r="J1063" s="2">
        <v>1.2880000000000001E-3</v>
      </c>
      <c r="K1063" s="2">
        <v>2.3599999999999999E-4</v>
      </c>
      <c r="L1063" s="2">
        <f>(1/COUNT(D1063:K1063))*SQRT(SUMSQ(D1063:K1063))</f>
        <v>6.2200835253636258E-4</v>
      </c>
    </row>
    <row r="1064" spans="1:14" x14ac:dyDescent="0.55000000000000004">
      <c r="C1064" s="2" t="s">
        <v>26</v>
      </c>
      <c r="D1064" s="2">
        <v>0.65478800000000004</v>
      </c>
      <c r="E1064" s="2">
        <v>0.76697300000000002</v>
      </c>
      <c r="F1064" s="2">
        <v>0.59344799999999998</v>
      </c>
      <c r="G1064" s="2">
        <v>0.71779700000000002</v>
      </c>
      <c r="H1064" s="2">
        <v>0.64725100000000002</v>
      </c>
      <c r="I1064" s="2">
        <v>0.63649100000000003</v>
      </c>
      <c r="J1064" s="2">
        <v>0.70622700000000005</v>
      </c>
      <c r="K1064" s="2">
        <v>0.55453200000000002</v>
      </c>
      <c r="L1064" s="2">
        <f>AVERAGE(D1064:K1064)</f>
        <v>0.6596883750000001</v>
      </c>
      <c r="M1064" s="2">
        <f xml:space="preserve"> _xlfn.STDEV.S(D1064:K1064) / SQRT(COUNT(D1064:K1064))</f>
        <v>2.4354127451549957E-2</v>
      </c>
      <c r="N1064" s="2">
        <f>M1064*$N$2</f>
        <v>2.7256144050678218E-2</v>
      </c>
    </row>
    <row r="1065" spans="1:14" x14ac:dyDescent="0.55000000000000004">
      <c r="C1065" s="2" t="s">
        <v>27</v>
      </c>
      <c r="D1065" s="2">
        <v>1.7799999999999999E-4</v>
      </c>
      <c r="E1065" s="2">
        <v>1.4139999999999999E-3</v>
      </c>
      <c r="F1065" s="2">
        <v>1.047E-3</v>
      </c>
      <c r="G1065" s="2">
        <v>3.3029999999999999E-3</v>
      </c>
      <c r="H1065" s="2">
        <v>3.3100000000000002E-4</v>
      </c>
      <c r="I1065" s="2">
        <v>1.1640000000000001E-3</v>
      </c>
      <c r="J1065" s="2">
        <v>9.8299999999999993E-4</v>
      </c>
      <c r="K1065" s="2">
        <v>1.6699999999999999E-4</v>
      </c>
      <c r="L1065" s="2">
        <f>(1/COUNT(D1065:K1065))*SQRT(SUMSQ(D1065:K1065))</f>
        <v>5.0768674212057184E-4</v>
      </c>
    </row>
    <row r="1066" spans="1:14" x14ac:dyDescent="0.55000000000000004">
      <c r="C1066" s="2" t="s">
        <v>28</v>
      </c>
      <c r="D1066" s="2">
        <v>2.2075749999999998</v>
      </c>
      <c r="E1066" s="2">
        <v>2.5722209999999999</v>
      </c>
      <c r="F1066" s="2">
        <v>3.1638739999999999</v>
      </c>
      <c r="G1066" s="2">
        <v>3.2204920000000001</v>
      </c>
      <c r="H1066" s="2">
        <v>1.7292350000000001</v>
      </c>
      <c r="I1066" s="2">
        <v>3.078729</v>
      </c>
      <c r="J1066" s="2">
        <v>3.1794349999999998</v>
      </c>
      <c r="K1066" s="2">
        <v>2.8661219999999998</v>
      </c>
      <c r="L1066" s="2">
        <f>AVERAGE(D1066:K1066)</f>
        <v>2.7522103750000002</v>
      </c>
      <c r="M1066" s="2">
        <f xml:space="preserve"> _xlfn.STDEV.S(D1066:K1066) / SQRT(COUNT(D1066:K1066))</f>
        <v>0.1920922516526824</v>
      </c>
      <c r="N1066" s="2">
        <f>M1066*$N$2</f>
        <v>0.21498179692458783</v>
      </c>
    </row>
    <row r="1067" spans="1:14" x14ac:dyDescent="0.55000000000000004">
      <c r="C1067" s="2" t="s">
        <v>29</v>
      </c>
      <c r="D1067" s="2">
        <v>3.14E-3</v>
      </c>
      <c r="E1067" s="2">
        <v>9.5479999999999992E-3</v>
      </c>
      <c r="F1067" s="2">
        <v>1.1585E-2</v>
      </c>
      <c r="G1067" s="2">
        <v>5.2025000000000002E-2</v>
      </c>
      <c r="H1067" s="2">
        <v>2.7239999999999999E-3</v>
      </c>
      <c r="I1067" s="2">
        <v>1.9268E-2</v>
      </c>
      <c r="J1067" s="2">
        <v>1.0983E-2</v>
      </c>
      <c r="K1067" s="2">
        <v>1.7750000000000001E-3</v>
      </c>
      <c r="L1067" s="2">
        <f>(1/COUNT(D1067:K1067))*SQRT(SUMSQ(D1067:K1067))</f>
        <v>7.3360088646688536E-3</v>
      </c>
    </row>
    <row r="1068" spans="1:14" x14ac:dyDescent="0.55000000000000004">
      <c r="C1068" s="2" t="s">
        <v>30</v>
      </c>
      <c r="D1068" s="2">
        <v>15.595058</v>
      </c>
      <c r="E1068" s="2">
        <v>19.783688000000001</v>
      </c>
      <c r="F1068" s="2">
        <v>21.626836999999998</v>
      </c>
      <c r="G1068" s="2">
        <v>35.710515999999998</v>
      </c>
      <c r="H1068" s="2">
        <v>12.428003</v>
      </c>
      <c r="I1068" s="2">
        <v>18.133900000000001</v>
      </c>
      <c r="J1068" s="2">
        <v>24.635639000000001</v>
      </c>
      <c r="K1068" s="2">
        <v>46.756599000000001</v>
      </c>
      <c r="L1068" s="2">
        <f>AVERAGE(D1068:K1068)</f>
        <v>24.333780000000001</v>
      </c>
      <c r="M1068" s="2">
        <f xml:space="preserve"> _xlfn.STDEV.S(D1068:K1068) / SQRT(COUNT(D1068:K1068))</f>
        <v>4.0463524813171983</v>
      </c>
      <c r="N1068" s="2">
        <f>M1068*$N$2</f>
        <v>4.5285123160337983</v>
      </c>
    </row>
    <row r="1069" spans="1:14" x14ac:dyDescent="0.55000000000000004">
      <c r="C1069" s="2" t="s">
        <v>31</v>
      </c>
      <c r="D1069" s="2">
        <v>6.1089999999999998E-3</v>
      </c>
      <c r="E1069" s="2">
        <v>7.1390999999999996E-2</v>
      </c>
      <c r="F1069" s="2">
        <v>5.2413000000000001E-2</v>
      </c>
      <c r="G1069" s="2">
        <v>3.1660000000000001E-2</v>
      </c>
      <c r="H1069" s="2">
        <v>2.3675000000000002E-2</v>
      </c>
      <c r="I1069" s="2">
        <v>5.3876E-2</v>
      </c>
      <c r="J1069" s="2">
        <v>8.4823999999999997E-2</v>
      </c>
      <c r="K1069" s="2">
        <v>2.8051E-2</v>
      </c>
      <c r="L1069" s="2">
        <f>(1/COUNT(D1069:K1069))*SQRT(SUMSQ(D1069:K1069))</f>
        <v>1.7822287446568833E-2</v>
      </c>
    </row>
    <row r="1070" spans="1:14" x14ac:dyDescent="0.55000000000000004">
      <c r="B1070" s="2" t="s">
        <v>32</v>
      </c>
      <c r="C1070" s="2" t="s">
        <v>22</v>
      </c>
      <c r="D1070" s="2">
        <v>0.95140000000000002</v>
      </c>
      <c r="E1070" s="2">
        <v>0.94171899999999997</v>
      </c>
      <c r="F1070" s="2">
        <v>0.93035999999999996</v>
      </c>
      <c r="G1070" s="2">
        <v>0.92373799999999995</v>
      </c>
      <c r="H1070" s="2">
        <v>0.95204699999999998</v>
      </c>
      <c r="I1070" s="2">
        <v>0.93602200000000002</v>
      </c>
      <c r="J1070" s="2">
        <v>0.94843100000000002</v>
      </c>
      <c r="K1070" s="2">
        <v>0.93207300000000004</v>
      </c>
      <c r="L1070" s="2">
        <f>AVERAGE(D1070:K1070)</f>
        <v>0.93947375000000011</v>
      </c>
      <c r="M1070" s="2">
        <f xml:space="preserve"> _xlfn.STDEV.S(D1070:K1070) / SQRT(COUNT(D1070:K1070))</f>
        <v>3.7391640478569195E-3</v>
      </c>
      <c r="N1070" s="2">
        <f>M1070*$N$2</f>
        <v>4.1847195765996993E-3</v>
      </c>
    </row>
    <row r="1071" spans="1:14" x14ac:dyDescent="0.55000000000000004">
      <c r="C1071" s="2" t="s">
        <v>23</v>
      </c>
      <c r="D1071" s="2">
        <v>4.7399999999999997E-4</v>
      </c>
      <c r="E1071" s="2">
        <v>1.3649999999999999E-3</v>
      </c>
      <c r="F1071" s="2">
        <v>8.1899999999999996E-4</v>
      </c>
      <c r="G1071" s="2">
        <v>1.4549999999999999E-3</v>
      </c>
      <c r="H1071" s="2">
        <v>1.8799999999999999E-4</v>
      </c>
      <c r="I1071" s="2">
        <v>5.6999999999999998E-4</v>
      </c>
      <c r="J1071" s="2">
        <v>1.505E-3</v>
      </c>
      <c r="K1071" s="2">
        <v>1.1900000000000001E-4</v>
      </c>
      <c r="L1071" s="2">
        <f>(1/COUNT(D1071:K1071))*SQRT(SUMSQ(D1071:K1071))</f>
        <v>3.4267142151775653E-4</v>
      </c>
    </row>
    <row r="1072" spans="1:14" x14ac:dyDescent="0.55000000000000004">
      <c r="C1072" s="2" t="s">
        <v>24</v>
      </c>
      <c r="D1072" s="2">
        <v>0.30611899999999997</v>
      </c>
      <c r="E1072" s="2">
        <v>0.33226899999999998</v>
      </c>
      <c r="F1072" s="2">
        <v>0.365207</v>
      </c>
      <c r="G1072" s="2">
        <v>0.38316099999999997</v>
      </c>
      <c r="H1072" s="2">
        <v>0.30485800000000002</v>
      </c>
      <c r="I1072" s="2">
        <v>0.35169699999999998</v>
      </c>
      <c r="J1072" s="2">
        <v>0.30856899999999998</v>
      </c>
      <c r="K1072" s="2">
        <v>0.361487</v>
      </c>
      <c r="L1072" s="2">
        <f>AVERAGE(D1072:K1072)</f>
        <v>0.33917087499999998</v>
      </c>
      <c r="M1072" s="2">
        <f xml:space="preserve"> _xlfn.STDEV.S(D1072:K1072) / SQRT(COUNT(D1072:K1072))</f>
        <v>1.0791725177252211E-2</v>
      </c>
      <c r="N1072" s="2">
        <f>M1072*$N$2</f>
        <v>1.2077657742888971E-2</v>
      </c>
    </row>
    <row r="1073" spans="2:14" x14ac:dyDescent="0.55000000000000004">
      <c r="C1073" s="2" t="s">
        <v>25</v>
      </c>
      <c r="D1073" s="2">
        <v>1.335E-3</v>
      </c>
      <c r="E1073" s="2">
        <v>3.689E-3</v>
      </c>
      <c r="F1073" s="2">
        <v>1.91E-3</v>
      </c>
      <c r="G1073" s="2">
        <v>3.307E-3</v>
      </c>
      <c r="H1073" s="2">
        <v>5.71E-4</v>
      </c>
      <c r="I1073" s="2">
        <v>1.4239999999999999E-3</v>
      </c>
      <c r="J1073" s="2">
        <v>3.6020000000000002E-3</v>
      </c>
      <c r="K1073" s="2">
        <v>3.0699999999999998E-4</v>
      </c>
      <c r="L1073" s="2">
        <f>(1/COUNT(D1073:K1073))*SQRT(SUMSQ(D1073:K1073))</f>
        <v>8.4222329469387154E-4</v>
      </c>
    </row>
    <row r="1074" spans="2:14" x14ac:dyDescent="0.55000000000000004">
      <c r="C1074" s="2" t="s">
        <v>26</v>
      </c>
      <c r="D1074" s="2">
        <v>0.64841199999999999</v>
      </c>
      <c r="E1074" s="2">
        <v>0.75115200000000004</v>
      </c>
      <c r="F1074" s="2">
        <v>0.59147099999999997</v>
      </c>
      <c r="G1074" s="2">
        <v>0.70726199999999995</v>
      </c>
      <c r="H1074" s="2">
        <v>0.64305400000000001</v>
      </c>
      <c r="I1074" s="2">
        <v>0.63806300000000005</v>
      </c>
      <c r="J1074" s="2">
        <v>0.71314100000000002</v>
      </c>
      <c r="K1074" s="2">
        <v>0.55837300000000001</v>
      </c>
      <c r="L1074" s="2">
        <f>AVERAGE(D1074:K1074)</f>
        <v>0.656366</v>
      </c>
      <c r="M1074" s="2">
        <f xml:space="preserve"> _xlfn.STDEV.S(D1074:K1074) / SQRT(COUNT(D1074:K1074))</f>
        <v>2.2829982471365525E-2</v>
      </c>
      <c r="N1074" s="2">
        <f>M1074*$N$2</f>
        <v>2.5550383283158659E-2</v>
      </c>
    </row>
    <row r="1075" spans="2:14" x14ac:dyDescent="0.55000000000000004">
      <c r="C1075" s="2" t="s">
        <v>27</v>
      </c>
      <c r="D1075" s="2">
        <v>1.328E-3</v>
      </c>
      <c r="E1075" s="2">
        <v>2.8630000000000001E-3</v>
      </c>
      <c r="F1075" s="2">
        <v>7.9799999999999999E-4</v>
      </c>
      <c r="G1075" s="2">
        <v>3.8649999999999999E-3</v>
      </c>
      <c r="H1075" s="2">
        <v>4.5399999999999998E-4</v>
      </c>
      <c r="I1075" s="2">
        <v>1.0499999999999999E-3</v>
      </c>
      <c r="J1075" s="2">
        <v>2.4069999999999999E-3</v>
      </c>
      <c r="K1075" s="2">
        <v>1.84E-4</v>
      </c>
      <c r="L1075" s="2">
        <f>(1/COUNT(D1075:K1075))*SQRT(SUMSQ(D1075:K1075))</f>
        <v>7.1448739273341966E-4</v>
      </c>
    </row>
    <row r="1076" spans="2:14" x14ac:dyDescent="0.55000000000000004">
      <c r="C1076" s="2" t="s">
        <v>28</v>
      </c>
      <c r="D1076" s="2">
        <v>2.361847</v>
      </c>
      <c r="E1076" s="2">
        <v>2.6780179999999998</v>
      </c>
      <c r="F1076" s="2">
        <v>3.2180759999999999</v>
      </c>
      <c r="G1076" s="2">
        <v>3.4065979999999998</v>
      </c>
      <c r="H1076" s="2">
        <v>1.763358</v>
      </c>
      <c r="I1076" s="2">
        <v>3.2383679999999999</v>
      </c>
      <c r="J1076" s="2">
        <v>3.243077</v>
      </c>
      <c r="K1076" s="2">
        <v>2.8320059999999998</v>
      </c>
      <c r="L1076" s="2">
        <f>AVERAGE(D1076:K1076)</f>
        <v>2.8426684999999998</v>
      </c>
      <c r="M1076" s="2">
        <f xml:space="preserve"> _xlfn.STDEV.S(D1076:K1076) / SQRT(COUNT(D1076:K1076))</f>
        <v>0.19816913228747685</v>
      </c>
      <c r="N1076" s="2">
        <f>M1076*$N$2</f>
        <v>0.22178279335898043</v>
      </c>
    </row>
    <row r="1077" spans="2:14" x14ac:dyDescent="0.55000000000000004">
      <c r="C1077" s="2" t="s">
        <v>29</v>
      </c>
      <c r="D1077" s="2">
        <v>2.0353E-2</v>
      </c>
      <c r="E1077" s="2">
        <v>2.0324999999999999E-2</v>
      </c>
      <c r="F1077" s="2">
        <v>9.8429999999999993E-3</v>
      </c>
      <c r="G1077" s="2">
        <v>4.8765000000000003E-2</v>
      </c>
      <c r="H1077" s="2">
        <v>4.496E-3</v>
      </c>
      <c r="I1077" s="2">
        <v>2.5186E-2</v>
      </c>
      <c r="J1077" s="2">
        <v>4.5941000000000003E-2</v>
      </c>
      <c r="K1077" s="2">
        <v>3.6449999999999998E-3</v>
      </c>
      <c r="L1077" s="2">
        <f>(1/COUNT(D1077:K1077))*SQRT(SUMSQ(D1077:K1077))</f>
        <v>9.7473315466977926E-3</v>
      </c>
    </row>
    <row r="1078" spans="2:14" x14ac:dyDescent="0.55000000000000004">
      <c r="C1078" s="2" t="s">
        <v>30</v>
      </c>
      <c r="D1078" s="2">
        <v>16.720279999999999</v>
      </c>
      <c r="E1078" s="2">
        <v>19.908370999999999</v>
      </c>
      <c r="F1078" s="2">
        <v>22.312007000000001</v>
      </c>
      <c r="G1078" s="2">
        <v>35.605704000000003</v>
      </c>
      <c r="H1078" s="2">
        <v>12.791520999999999</v>
      </c>
      <c r="I1078" s="2">
        <v>20.100992999999999</v>
      </c>
      <c r="J1078" s="2">
        <v>25.976614000000001</v>
      </c>
      <c r="K1078" s="2">
        <v>46.298636999999999</v>
      </c>
      <c r="L1078" s="2">
        <f>AVERAGE(D1078:K1078)</f>
        <v>24.964265875000002</v>
      </c>
      <c r="M1078" s="2">
        <f xml:space="preserve"> _xlfn.STDEV.S(D1078:K1078) / SQRT(COUNT(D1078:K1078))</f>
        <v>3.8771478827788459</v>
      </c>
      <c r="N1078" s="2">
        <f>M1078*$N$2</f>
        <v>4.3391454450188807</v>
      </c>
    </row>
    <row r="1079" spans="2:14" x14ac:dyDescent="0.55000000000000004">
      <c r="C1079" s="2" t="s">
        <v>31</v>
      </c>
      <c r="D1079" s="2">
        <v>3.0929000000000002E-2</v>
      </c>
      <c r="E1079" s="2">
        <v>0.100589</v>
      </c>
      <c r="F1079" s="2">
        <v>3.2301000000000003E-2</v>
      </c>
      <c r="G1079" s="2">
        <v>0.16271099999999999</v>
      </c>
      <c r="H1079" s="2">
        <v>4.1245999999999998E-2</v>
      </c>
      <c r="I1079" s="2">
        <v>9.7044000000000005E-2</v>
      </c>
      <c r="J1079" s="2">
        <v>0.426093</v>
      </c>
      <c r="K1079" s="2">
        <v>0.12851000000000001</v>
      </c>
      <c r="L1079" s="2">
        <f>(1/COUNT(D1079:K1079))*SQRT(SUMSQ(D1079:K1079))</f>
        <v>6.2222108370563307E-2</v>
      </c>
    </row>
    <row r="1080" spans="2:14" x14ac:dyDescent="0.55000000000000004">
      <c r="B1080" s="2" t="s">
        <v>33</v>
      </c>
      <c r="C1080" s="2" t="s">
        <v>22</v>
      </c>
      <c r="D1080" s="2">
        <v>0.954565</v>
      </c>
      <c r="E1080" s="2">
        <v>0.94799500000000003</v>
      </c>
      <c r="F1080" s="2">
        <v>0.931593</v>
      </c>
      <c r="G1080" s="2">
        <v>0.92691800000000002</v>
      </c>
      <c r="H1080" s="2">
        <v>0.95338500000000004</v>
      </c>
      <c r="I1080" s="2">
        <v>0.93762999999999996</v>
      </c>
      <c r="J1080" s="2">
        <v>0.94337300000000002</v>
      </c>
      <c r="K1080" s="2">
        <v>0.93023100000000003</v>
      </c>
      <c r="L1080" s="2">
        <f>AVERAGE(D1080:K1080)</f>
        <v>0.94071125000000011</v>
      </c>
      <c r="M1080" s="2">
        <f xml:space="preserve"> _xlfn.STDEV.S(D1080:K1080) / SQRT(COUNT(D1080:K1080))</f>
        <v>3.7924130687371827E-3</v>
      </c>
      <c r="N1080" s="2">
        <f>M1080*$N$2</f>
        <v>4.2443137043941511E-3</v>
      </c>
    </row>
    <row r="1081" spans="2:14" x14ac:dyDescent="0.55000000000000004">
      <c r="C1081" s="2" t="s">
        <v>23</v>
      </c>
      <c r="D1081" s="2">
        <v>5.8999999999999998E-5</v>
      </c>
      <c r="E1081" s="2">
        <v>1.36E-4</v>
      </c>
      <c r="F1081" s="2">
        <v>1.25E-4</v>
      </c>
      <c r="G1081" s="2">
        <v>2.4699999999999999E-4</v>
      </c>
      <c r="H1081" s="2">
        <v>7.3999999999999996E-5</v>
      </c>
      <c r="I1081" s="2">
        <v>1.0399999999999999E-4</v>
      </c>
      <c r="J1081" s="2">
        <v>2.52E-4</v>
      </c>
      <c r="K1081" s="2">
        <v>2.9E-5</v>
      </c>
      <c r="L1081" s="2">
        <f>(1/COUNT(D1081:K1081))*SQRT(SUMSQ(D1081:K1081))</f>
        <v>5.2922112580659516E-5</v>
      </c>
    </row>
    <row r="1082" spans="2:14" x14ac:dyDescent="0.55000000000000004">
      <c r="C1082" s="2" t="s">
        <v>24</v>
      </c>
      <c r="D1082" s="2">
        <v>0.29574</v>
      </c>
      <c r="E1082" s="2">
        <v>0.315135</v>
      </c>
      <c r="F1082" s="2">
        <v>0.36229</v>
      </c>
      <c r="G1082" s="2">
        <v>0.375143</v>
      </c>
      <c r="H1082" s="2">
        <v>0.30074400000000001</v>
      </c>
      <c r="I1082" s="2">
        <v>0.34834199999999998</v>
      </c>
      <c r="J1082" s="2">
        <v>0.32623400000000002</v>
      </c>
      <c r="K1082" s="2">
        <v>0.36662899999999998</v>
      </c>
      <c r="L1082" s="2">
        <f>AVERAGE(D1082:K1082)</f>
        <v>0.33628212500000004</v>
      </c>
      <c r="M1082" s="2">
        <f xml:space="preserve"> _xlfn.STDEV.S(D1082:K1082) / SQRT(COUNT(D1082:K1082))</f>
        <v>1.0944452700271589E-2</v>
      </c>
      <c r="N1082" s="2">
        <f>M1082*$N$2</f>
        <v>1.2248584144428129E-2</v>
      </c>
    </row>
    <row r="1083" spans="2:14" x14ac:dyDescent="0.55000000000000004">
      <c r="C1083" s="2" t="s">
        <v>25</v>
      </c>
      <c r="D1083" s="2">
        <v>1.7200000000000001E-4</v>
      </c>
      <c r="E1083" s="2">
        <v>4.0900000000000002E-4</v>
      </c>
      <c r="F1083" s="2">
        <v>3.0200000000000002E-4</v>
      </c>
      <c r="G1083" s="2">
        <v>5.7600000000000001E-4</v>
      </c>
      <c r="H1083" s="2">
        <v>2.2000000000000001E-4</v>
      </c>
      <c r="I1083" s="2">
        <v>2.99E-4</v>
      </c>
      <c r="J1083" s="2">
        <v>7.0699999999999995E-4</v>
      </c>
      <c r="K1083" s="2">
        <v>6.7999999999999999E-5</v>
      </c>
      <c r="L1083" s="2">
        <f>(1/COUNT(D1083:K1083))*SQRT(SUMSQ(D1083:K1083))</f>
        <v>1.4043008714303355E-4</v>
      </c>
    </row>
    <row r="1084" spans="2:14" x14ac:dyDescent="0.55000000000000004">
      <c r="C1084" s="2" t="s">
        <v>26</v>
      </c>
      <c r="D1084" s="2">
        <v>0.65435699999999997</v>
      </c>
      <c r="E1084" s="2">
        <v>0.76254999999999995</v>
      </c>
      <c r="F1084" s="2">
        <v>0.59179099999999996</v>
      </c>
      <c r="G1084" s="2">
        <v>0.70747400000000005</v>
      </c>
      <c r="H1084" s="2">
        <v>0.64655600000000002</v>
      </c>
      <c r="I1084" s="2">
        <v>0.63896399999999998</v>
      </c>
      <c r="J1084" s="2">
        <v>0.69743999999999995</v>
      </c>
      <c r="K1084" s="2">
        <v>0.55445500000000003</v>
      </c>
      <c r="L1084" s="2">
        <f>AVERAGE(D1084:K1084)</f>
        <v>0.65669837499999995</v>
      </c>
      <c r="M1084" s="2">
        <f xml:space="preserve"> _xlfn.STDEV.S(D1084:K1084) / SQRT(COUNT(D1084:K1084))</f>
        <v>2.3349878992449905E-2</v>
      </c>
      <c r="N1084" s="2">
        <f>M1084*$N$2</f>
        <v>2.613223022053356E-2</v>
      </c>
    </row>
    <row r="1085" spans="2:14" x14ac:dyDescent="0.55000000000000004">
      <c r="C1085" s="2" t="s">
        <v>27</v>
      </c>
      <c r="D1085" s="2">
        <v>1.65E-4</v>
      </c>
      <c r="E1085" s="2">
        <v>2.92E-4</v>
      </c>
      <c r="F1085" s="2">
        <v>1.01E-4</v>
      </c>
      <c r="G1085" s="2">
        <v>6.5300000000000004E-4</v>
      </c>
      <c r="H1085" s="2">
        <v>1.56E-4</v>
      </c>
      <c r="I1085" s="2">
        <v>2.61E-4</v>
      </c>
      <c r="J1085" s="2">
        <v>5.0799999999999999E-4</v>
      </c>
      <c r="K1085" s="2">
        <v>4.5000000000000003E-5</v>
      </c>
      <c r="L1085" s="2">
        <f>(1/COUNT(D1085:K1085))*SQRT(SUMSQ(D1085:K1085))</f>
        <v>1.1869373667131725E-4</v>
      </c>
    </row>
    <row r="1086" spans="2:14" x14ac:dyDescent="0.55000000000000004">
      <c r="C1086" s="2" t="s">
        <v>28</v>
      </c>
      <c r="D1086" s="2">
        <v>2.2140689999999998</v>
      </c>
      <c r="E1086" s="2">
        <v>2.581026</v>
      </c>
      <c r="F1086" s="2">
        <v>3.1790349999999998</v>
      </c>
      <c r="G1086" s="2">
        <v>3.3298109999999999</v>
      </c>
      <c r="H1086" s="2">
        <v>1.7360500000000001</v>
      </c>
      <c r="I1086" s="2">
        <v>3.016578</v>
      </c>
      <c r="J1086" s="2">
        <v>3.225082</v>
      </c>
      <c r="K1086" s="2">
        <v>2.8671959999999999</v>
      </c>
      <c r="L1086" s="2">
        <f>AVERAGE(D1086:K1086)</f>
        <v>2.768605875</v>
      </c>
      <c r="M1086" s="2">
        <f xml:space="preserve"> _xlfn.STDEV.S(D1086:K1086) / SQRT(COUNT(D1086:K1086))</f>
        <v>0.19693422077248462</v>
      </c>
      <c r="N1086" s="2">
        <f>M1086*$N$2</f>
        <v>0.22040073086425832</v>
      </c>
    </row>
    <row r="1087" spans="2:14" x14ac:dyDescent="0.55000000000000004">
      <c r="C1087" s="2" t="s">
        <v>29</v>
      </c>
      <c r="D1087" s="2">
        <v>2.0100000000000001E-3</v>
      </c>
      <c r="E1087" s="2">
        <v>1.872E-3</v>
      </c>
      <c r="F1087" s="2">
        <v>1.292E-3</v>
      </c>
      <c r="G1087" s="2">
        <v>7.2350000000000001E-3</v>
      </c>
      <c r="H1087" s="2">
        <v>1.2390000000000001E-3</v>
      </c>
      <c r="I1087" s="2">
        <v>3.9890000000000004E-3</v>
      </c>
      <c r="J1087" s="2">
        <v>5.3189999999999999E-3</v>
      </c>
      <c r="K1087" s="2">
        <v>6.2299999999999996E-4</v>
      </c>
      <c r="L1087" s="2">
        <f>(1/COUNT(D1087:K1087))*SQRT(SUMSQ(D1087:K1087))</f>
        <v>1.2971489469698536E-3</v>
      </c>
    </row>
    <row r="1088" spans="2:14" x14ac:dyDescent="0.55000000000000004">
      <c r="C1088" s="2" t="s">
        <v>30</v>
      </c>
      <c r="D1088" s="2">
        <v>15.624409</v>
      </c>
      <c r="E1088" s="2">
        <v>19.928239000000001</v>
      </c>
      <c r="F1088" s="2">
        <v>21.814160999999999</v>
      </c>
      <c r="G1088" s="2">
        <v>35.29007</v>
      </c>
      <c r="H1088" s="2">
        <v>12.445238</v>
      </c>
      <c r="I1088" s="2">
        <v>18.029081999999999</v>
      </c>
      <c r="J1088" s="2">
        <v>24.913461999999999</v>
      </c>
      <c r="K1088" s="2">
        <v>46.809002</v>
      </c>
      <c r="L1088" s="2">
        <f>AVERAGE(D1088:K1088)</f>
        <v>24.356707875000001</v>
      </c>
      <c r="M1088" s="2">
        <f xml:space="preserve"> _xlfn.STDEV.S(D1088:K1088) / SQRT(COUNT(D1088:K1088))</f>
        <v>4.0271506734541882</v>
      </c>
      <c r="N1088" s="2">
        <f>M1088*$N$2</f>
        <v>4.5070224374828696</v>
      </c>
    </row>
    <row r="1089" spans="2:14" x14ac:dyDescent="0.55000000000000004">
      <c r="C1089" s="2" t="s">
        <v>31</v>
      </c>
      <c r="D1089" s="2">
        <v>5.6490000000000004E-3</v>
      </c>
      <c r="E1089" s="2">
        <v>1.5219E-2</v>
      </c>
      <c r="F1089" s="2">
        <v>8.7279999999999996E-3</v>
      </c>
      <c r="G1089" s="2">
        <v>3.4854000000000003E-2</v>
      </c>
      <c r="H1089" s="2">
        <v>1.0435E-2</v>
      </c>
      <c r="I1089" s="2">
        <v>1.2536E-2</v>
      </c>
      <c r="J1089" s="2">
        <v>4.7837999999999999E-2</v>
      </c>
      <c r="K1089" s="2">
        <v>1.9096999999999999E-2</v>
      </c>
      <c r="L1089" s="2">
        <f>(1/COUNT(D1089:K1089))*SQRT(SUMSQ(D1089:K1089))</f>
        <v>8.3607328439258242E-3</v>
      </c>
    </row>
    <row r="1090" spans="2:14" x14ac:dyDescent="0.55000000000000004">
      <c r="B1090" s="2" t="s">
        <v>34</v>
      </c>
      <c r="C1090" s="2" t="s">
        <v>22</v>
      </c>
      <c r="D1090" s="2">
        <v>0.948106</v>
      </c>
      <c r="E1090" s="2">
        <v>0.94669899999999996</v>
      </c>
      <c r="F1090" s="2">
        <v>0.93336399999999997</v>
      </c>
      <c r="G1090" s="2">
        <v>0.91908400000000001</v>
      </c>
      <c r="H1090" s="2">
        <v>0.95090600000000003</v>
      </c>
      <c r="I1090" s="2">
        <v>0.93675900000000001</v>
      </c>
      <c r="J1090" s="2">
        <v>0.94888499999999998</v>
      </c>
      <c r="K1090" s="2">
        <v>0.931002</v>
      </c>
      <c r="L1090" s="2">
        <f>AVERAGE(D1090:K1090)</f>
        <v>0.93935062499999999</v>
      </c>
      <c r="M1090" s="2">
        <f xml:space="preserve"> _xlfn.STDEV.S(D1090:K1090) / SQRT(COUNT(D1090:K1090))</f>
        <v>3.9597935369045066E-3</v>
      </c>
      <c r="N1090" s="2">
        <f>M1090*$N$2</f>
        <v>4.4316390832530106E-3</v>
      </c>
    </row>
    <row r="1091" spans="2:14" x14ac:dyDescent="0.55000000000000004">
      <c r="C1091" s="2" t="s">
        <v>23</v>
      </c>
      <c r="D1091" s="2">
        <v>1.603E-3</v>
      </c>
      <c r="E1091" s="2">
        <v>5.7200000000000003E-4</v>
      </c>
      <c r="F1091" s="2">
        <v>5.8799999999999998E-4</v>
      </c>
      <c r="G1091" s="2">
        <v>2.8709999999999999E-3</v>
      </c>
      <c r="H1091" s="2">
        <v>3.0800000000000001E-4</v>
      </c>
      <c r="I1091" s="2">
        <v>8.1300000000000003E-4</v>
      </c>
      <c r="J1091" s="2">
        <v>2.2880000000000001E-3</v>
      </c>
      <c r="K1091" s="2">
        <v>1.8599999999999999E-4</v>
      </c>
      <c r="L1091" s="2">
        <f>(1/COUNT(D1091:K1091))*SQRT(SUMSQ(D1091:K1091))</f>
        <v>5.2307012854396491E-4</v>
      </c>
    </row>
    <row r="1092" spans="2:14" x14ac:dyDescent="0.55000000000000004">
      <c r="C1092" s="2" t="s">
        <v>24</v>
      </c>
      <c r="D1092" s="2">
        <v>0.31538100000000002</v>
      </c>
      <c r="E1092" s="2">
        <v>0.31848700000000002</v>
      </c>
      <c r="F1092" s="2">
        <v>0.358047</v>
      </c>
      <c r="G1092" s="2">
        <v>0.39340199999999997</v>
      </c>
      <c r="H1092" s="2">
        <v>0.30802600000000002</v>
      </c>
      <c r="I1092" s="2">
        <v>0.34953600000000001</v>
      </c>
      <c r="J1092" s="2">
        <v>0.30973600000000001</v>
      </c>
      <c r="K1092" s="2">
        <v>0.36422599999999999</v>
      </c>
      <c r="L1092" s="2">
        <f>AVERAGE(D1092:K1092)</f>
        <v>0.33960512500000001</v>
      </c>
      <c r="M1092" s="2">
        <f xml:space="preserve"> _xlfn.STDEV.S(D1092:K1092) / SQRT(COUNT(D1092:K1092))</f>
        <v>1.1068944230267297E-2</v>
      </c>
      <c r="N1092" s="2">
        <f>M1092*$N$2</f>
        <v>1.2387909976626497E-2</v>
      </c>
    </row>
    <row r="1093" spans="2:14" x14ac:dyDescent="0.55000000000000004">
      <c r="C1093" s="2" t="s">
        <v>25</v>
      </c>
      <c r="D1093" s="2">
        <v>4.313E-3</v>
      </c>
      <c r="E1093" s="2">
        <v>1.6360000000000001E-3</v>
      </c>
      <c r="F1093" s="2">
        <v>1.4450000000000001E-3</v>
      </c>
      <c r="G1093" s="2">
        <v>6.2880000000000002E-3</v>
      </c>
      <c r="H1093" s="2">
        <v>8.7699999999999996E-4</v>
      </c>
      <c r="I1093" s="2">
        <v>2.1549999999999998E-3</v>
      </c>
      <c r="J1093" s="2">
        <v>5.9430000000000004E-3</v>
      </c>
      <c r="K1093" s="2">
        <v>4.84E-4</v>
      </c>
      <c r="L1093" s="2">
        <f>(1/COUNT(D1093:K1093))*SQRT(SUMSQ(D1093:K1093))</f>
        <v>1.2739707426487473E-3</v>
      </c>
    </row>
    <row r="1094" spans="2:14" x14ac:dyDescent="0.55000000000000004">
      <c r="C1094" s="2" t="s">
        <v>26</v>
      </c>
      <c r="D1094" s="2">
        <v>0.63912400000000003</v>
      </c>
      <c r="E1094" s="2">
        <v>0.762181</v>
      </c>
      <c r="F1094" s="2">
        <v>0.593634</v>
      </c>
      <c r="G1094" s="2">
        <v>0.686778</v>
      </c>
      <c r="H1094" s="2">
        <v>0.64027999999999996</v>
      </c>
      <c r="I1094" s="2">
        <v>0.637791</v>
      </c>
      <c r="J1094" s="2">
        <v>0.71078799999999998</v>
      </c>
      <c r="K1094" s="2">
        <v>0.55706</v>
      </c>
      <c r="L1094" s="2">
        <f>AVERAGE(D1094:K1094)</f>
        <v>0.65345449999999994</v>
      </c>
      <c r="M1094" s="2">
        <f xml:space="preserve"> _xlfn.STDEV.S(D1094:K1094) / SQRT(COUNT(D1094:K1094))</f>
        <v>2.3034797217625833E-2</v>
      </c>
      <c r="N1094" s="2">
        <f>M1094*$N$2</f>
        <v>2.57796035760589E-2</v>
      </c>
    </row>
    <row r="1095" spans="2:14" x14ac:dyDescent="0.55000000000000004">
      <c r="C1095" s="2" t="s">
        <v>27</v>
      </c>
      <c r="D1095" s="2">
        <v>4.1700000000000001E-3</v>
      </c>
      <c r="E1095" s="2">
        <v>1.1800000000000001E-3</v>
      </c>
      <c r="F1095" s="2">
        <v>6.8999999999999997E-4</v>
      </c>
      <c r="G1095" s="2">
        <v>6.2379999999999996E-3</v>
      </c>
      <c r="H1095" s="2">
        <v>7.1299999999999998E-4</v>
      </c>
      <c r="I1095" s="2">
        <v>1.7240000000000001E-3</v>
      </c>
      <c r="J1095" s="2">
        <v>4.4050000000000001E-3</v>
      </c>
      <c r="K1095" s="2">
        <v>2.9100000000000003E-4</v>
      </c>
      <c r="L1095" s="2">
        <f>(1/COUNT(D1095:K1095))*SQRT(SUMSQ(D1095:K1095))</f>
        <v>1.125966910870386E-3</v>
      </c>
    </row>
    <row r="1096" spans="2:14" x14ac:dyDescent="0.55000000000000004">
      <c r="C1096" s="2" t="s">
        <v>28</v>
      </c>
      <c r="D1096" s="2">
        <v>2.506281</v>
      </c>
      <c r="E1096" s="2">
        <v>2.654785</v>
      </c>
      <c r="F1096" s="2">
        <v>3.1719279999999999</v>
      </c>
      <c r="G1096" s="2">
        <v>3.6732239999999998</v>
      </c>
      <c r="H1096" s="2">
        <v>1.797307</v>
      </c>
      <c r="I1096" s="2">
        <v>3.0185430000000002</v>
      </c>
      <c r="J1096" s="2">
        <v>3.2029649999999998</v>
      </c>
      <c r="K1096" s="2">
        <v>2.839709</v>
      </c>
      <c r="L1096" s="2">
        <f>AVERAGE(D1096:K1096)</f>
        <v>2.8580927499999995</v>
      </c>
      <c r="M1096" s="2">
        <f xml:space="preserve"> _xlfn.STDEV.S(D1096:K1096) / SQRT(COUNT(D1096:K1096))</f>
        <v>0.19813066525156375</v>
      </c>
      <c r="N1096" s="2">
        <f>M1096*$N$2</f>
        <v>0.22173974262459728</v>
      </c>
    </row>
    <row r="1097" spans="2:14" x14ac:dyDescent="0.55000000000000004">
      <c r="C1097" s="2" t="s">
        <v>29</v>
      </c>
      <c r="D1097" s="2">
        <v>7.1988999999999997E-2</v>
      </c>
      <c r="E1097" s="2">
        <v>8.4960000000000001E-3</v>
      </c>
      <c r="F1097" s="2">
        <v>6.1240000000000001E-3</v>
      </c>
      <c r="G1097" s="2">
        <v>0.118117</v>
      </c>
      <c r="H1097" s="2">
        <v>6.8900000000000003E-3</v>
      </c>
      <c r="I1097" s="2">
        <v>3.6372000000000002E-2</v>
      </c>
      <c r="J1097" s="2">
        <v>6.055E-2</v>
      </c>
      <c r="K1097" s="2">
        <v>3.3050000000000002E-3</v>
      </c>
      <c r="L1097" s="2">
        <f>(1/COUNT(D1097:K1097))*SQRT(SUMSQ(D1097:K1097))</f>
        <v>1.9482102047055267E-2</v>
      </c>
    </row>
    <row r="1098" spans="2:14" x14ac:dyDescent="0.55000000000000004">
      <c r="C1098" s="2" t="s">
        <v>30</v>
      </c>
      <c r="D1098" s="2">
        <v>16.857849000000002</v>
      </c>
      <c r="E1098" s="2">
        <v>20.826979000000001</v>
      </c>
      <c r="F1098" s="2">
        <v>21.743507999999999</v>
      </c>
      <c r="G1098" s="2">
        <v>36.226709999999997</v>
      </c>
      <c r="H1098" s="2">
        <v>12.921666</v>
      </c>
      <c r="I1098" s="2">
        <v>18.046102999999999</v>
      </c>
      <c r="J1098" s="2">
        <v>25.601858</v>
      </c>
      <c r="K1098" s="2">
        <v>45.990012</v>
      </c>
      <c r="L1098" s="2">
        <f>AVERAGE(D1098:K1098)</f>
        <v>24.776835625</v>
      </c>
      <c r="M1098" s="2">
        <f xml:space="preserve"> _xlfn.STDEV.S(D1098:K1098) / SQRT(COUNT(D1098:K1098))</f>
        <v>3.9077298363804451</v>
      </c>
      <c r="N1098" s="2">
        <f>M1098*$N$2</f>
        <v>4.3733715175552348</v>
      </c>
    </row>
    <row r="1099" spans="2:14" x14ac:dyDescent="0.55000000000000004">
      <c r="C1099" s="2" t="s">
        <v>31</v>
      </c>
      <c r="D1099" s="2">
        <v>9.2191999999999996E-2</v>
      </c>
      <c r="E1099" s="2">
        <v>6.4157000000000006E-2</v>
      </c>
      <c r="F1099" s="2">
        <v>1.627E-2</v>
      </c>
      <c r="G1099" s="2">
        <v>0.31181799999999998</v>
      </c>
      <c r="H1099" s="2">
        <v>6.8635000000000002E-2</v>
      </c>
      <c r="I1099" s="2">
        <v>0.104588</v>
      </c>
      <c r="J1099" s="2">
        <v>0.51698599999999995</v>
      </c>
      <c r="K1099" s="2">
        <v>6.1772000000000001E-2</v>
      </c>
      <c r="L1099" s="2">
        <f>(1/COUNT(D1099:K1099))*SQRT(SUMSQ(D1099:K1099))</f>
        <v>7.8745077295147459E-2</v>
      </c>
    </row>
    <row r="1100" spans="2:14" x14ac:dyDescent="0.55000000000000004">
      <c r="B1100" s="2" t="s">
        <v>35</v>
      </c>
      <c r="C1100" s="2" t="s">
        <v>22</v>
      </c>
      <c r="D1100" s="2">
        <v>0.94749499999999998</v>
      </c>
      <c r="E1100" s="2">
        <v>0.93363099999999999</v>
      </c>
      <c r="F1100" s="2">
        <v>0.923736</v>
      </c>
      <c r="G1100" s="2">
        <v>0.91961099999999996</v>
      </c>
      <c r="H1100" s="2">
        <v>0.94688799999999995</v>
      </c>
      <c r="I1100" s="2">
        <v>0.92779699999999998</v>
      </c>
      <c r="J1100" s="2">
        <v>0.93841200000000002</v>
      </c>
      <c r="K1100" s="2">
        <v>0.92999500000000002</v>
      </c>
      <c r="L1100" s="2">
        <f>AVERAGE(D1100:K1100)</f>
        <v>0.93344562499999983</v>
      </c>
      <c r="M1100" s="2">
        <f xml:space="preserve"> _xlfn.STDEV.S(D1100:K1100) / SQRT(COUNT(D1100:K1100))</f>
        <v>3.6161074965132432E-3</v>
      </c>
      <c r="N1100" s="2">
        <f>M1100*$N$2</f>
        <v>4.046999713858755E-3</v>
      </c>
    </row>
    <row r="1101" spans="2:14" x14ac:dyDescent="0.55000000000000004">
      <c r="C1101" s="2" t="s">
        <v>23</v>
      </c>
      <c r="D1101" s="2">
        <v>2.32E-4</v>
      </c>
      <c r="E1101" s="2">
        <v>4.15E-4</v>
      </c>
      <c r="F1101" s="2">
        <v>2.2699999999999999E-4</v>
      </c>
      <c r="G1101" s="2">
        <v>2.8899999999999998E-4</v>
      </c>
      <c r="H1101" s="2">
        <v>2.41E-4</v>
      </c>
      <c r="I1101" s="2">
        <v>3.86E-4</v>
      </c>
      <c r="J1101" s="2">
        <v>3.5500000000000001E-4</v>
      </c>
      <c r="K1101" s="2">
        <v>5.5000000000000002E-5</v>
      </c>
      <c r="L1101" s="2">
        <f>(1/COUNT(D1101:K1101))*SQRT(SUMSQ(D1101:K1101))</f>
        <v>1.0437507485027255E-4</v>
      </c>
    </row>
    <row r="1102" spans="2:14" x14ac:dyDescent="0.55000000000000004">
      <c r="C1102" s="2" t="s">
        <v>24</v>
      </c>
      <c r="D1102" s="2">
        <v>0.31479299999999999</v>
      </c>
      <c r="E1102" s="2">
        <v>0.35150500000000001</v>
      </c>
      <c r="F1102" s="2">
        <v>0.38014199999999998</v>
      </c>
      <c r="G1102" s="2">
        <v>0.39244800000000002</v>
      </c>
      <c r="H1102" s="2">
        <v>0.31917200000000001</v>
      </c>
      <c r="I1102" s="2">
        <v>0.37390299999999999</v>
      </c>
      <c r="J1102" s="2">
        <v>0.33737400000000001</v>
      </c>
      <c r="K1102" s="2">
        <v>0.366873</v>
      </c>
      <c r="L1102" s="2">
        <f>AVERAGE(D1102:K1102)</f>
        <v>0.35452624999999999</v>
      </c>
      <c r="M1102" s="2">
        <f xml:space="preserve"> _xlfn.STDEV.S(D1102:K1102) / SQRT(COUNT(D1102:K1102))</f>
        <v>1.0136662795709865E-2</v>
      </c>
      <c r="N1102" s="2">
        <f>M1102*$N$2</f>
        <v>1.134453869893972E-2</v>
      </c>
    </row>
    <row r="1103" spans="2:14" x14ac:dyDescent="0.55000000000000004">
      <c r="C1103" s="2" t="s">
        <v>25</v>
      </c>
      <c r="D1103" s="2">
        <v>6.5099999999999999E-4</v>
      </c>
      <c r="E1103" s="2">
        <v>1.15E-3</v>
      </c>
      <c r="F1103" s="2">
        <v>5.31E-4</v>
      </c>
      <c r="G1103" s="2">
        <v>7.0799999999999997E-4</v>
      </c>
      <c r="H1103" s="2">
        <v>6.5399999999999996E-4</v>
      </c>
      <c r="I1103" s="2">
        <v>9.6400000000000001E-4</v>
      </c>
      <c r="J1103" s="2">
        <v>9.68E-4</v>
      </c>
      <c r="K1103" s="2">
        <v>1.5300000000000001E-4</v>
      </c>
      <c r="L1103" s="2">
        <f>(1/COUNT(D1103:K1103))*SQRT(SUMSQ(D1103:K1103))</f>
        <v>2.7519796851539438E-4</v>
      </c>
    </row>
    <row r="1104" spans="2:14" x14ac:dyDescent="0.55000000000000004">
      <c r="C1104" s="2" t="s">
        <v>26</v>
      </c>
      <c r="D1104" s="2">
        <v>0.63743700000000003</v>
      </c>
      <c r="E1104" s="2">
        <v>0.73675400000000002</v>
      </c>
      <c r="F1104" s="2">
        <v>0.58384999999999998</v>
      </c>
      <c r="G1104" s="2">
        <v>0.68597900000000001</v>
      </c>
      <c r="H1104" s="2">
        <v>0.630382</v>
      </c>
      <c r="I1104" s="2">
        <v>0.61874200000000001</v>
      </c>
      <c r="J1104" s="2">
        <v>0.68909500000000001</v>
      </c>
      <c r="K1104" s="2">
        <v>0.55406999999999995</v>
      </c>
      <c r="L1104" s="2">
        <f>AVERAGE(D1104:K1104)</f>
        <v>0.64203862500000008</v>
      </c>
      <c r="M1104" s="2">
        <f xml:space="preserve"> _xlfn.STDEV.S(D1104:K1104) / SQRT(COUNT(D1104:K1104))</f>
        <v>2.1103588432113952E-2</v>
      </c>
      <c r="N1104" s="2">
        <f>M1104*$N$2</f>
        <v>2.3618273634981615E-2</v>
      </c>
    </row>
    <row r="1105" spans="2:14" x14ac:dyDescent="0.55000000000000004">
      <c r="C1105" s="2" t="s">
        <v>27</v>
      </c>
      <c r="D1105" s="2">
        <v>6.2399999999999999E-4</v>
      </c>
      <c r="E1105" s="2">
        <v>8.6700000000000004E-4</v>
      </c>
      <c r="F1105" s="2">
        <v>2.3599999999999999E-4</v>
      </c>
      <c r="G1105" s="2">
        <v>8.9499999999999996E-4</v>
      </c>
      <c r="H1105" s="2">
        <v>5.4900000000000001E-4</v>
      </c>
      <c r="I1105" s="2">
        <v>7.0899999999999999E-4</v>
      </c>
      <c r="J1105" s="2">
        <v>7.4200000000000004E-4</v>
      </c>
      <c r="K1105" s="2">
        <v>1.21E-4</v>
      </c>
      <c r="L1105" s="2">
        <f>(1/COUNT(D1105:K1105))*SQRT(SUMSQ(D1105:K1105))</f>
        <v>2.29369822829857E-4</v>
      </c>
    </row>
    <row r="1106" spans="2:14" x14ac:dyDescent="0.55000000000000004">
      <c r="C1106" s="2" t="s">
        <v>28</v>
      </c>
      <c r="D1106" s="2">
        <v>2.531936</v>
      </c>
      <c r="E1106" s="2">
        <v>2.8274499999999998</v>
      </c>
      <c r="F1106" s="2">
        <v>3.277746</v>
      </c>
      <c r="G1106" s="2">
        <v>3.5680149999999999</v>
      </c>
      <c r="H1106" s="2">
        <v>1.8909670000000001</v>
      </c>
      <c r="I1106" s="2">
        <v>3.4479440000000001</v>
      </c>
      <c r="J1106" s="2">
        <v>3.3864320000000001</v>
      </c>
      <c r="K1106" s="2">
        <v>2.9019849999999998</v>
      </c>
      <c r="L1106" s="2">
        <f>AVERAGE(D1106:K1106)</f>
        <v>2.9790593749999998</v>
      </c>
      <c r="M1106" s="2">
        <f xml:space="preserve"> _xlfn.STDEV.S(D1106:K1106) / SQRT(COUNT(D1106:K1106))</f>
        <v>0.19976226344474937</v>
      </c>
      <c r="N1106" s="2">
        <f>M1106*$N$2</f>
        <v>0.22356576063631886</v>
      </c>
    </row>
    <row r="1107" spans="2:14" x14ac:dyDescent="0.55000000000000004">
      <c r="C1107" s="2" t="s">
        <v>29</v>
      </c>
      <c r="D1107" s="2">
        <v>1.1861999999999999E-2</v>
      </c>
      <c r="E1107" s="2">
        <v>6.3140000000000002E-3</v>
      </c>
      <c r="F1107" s="2">
        <v>2.7160000000000001E-3</v>
      </c>
      <c r="G1107" s="2">
        <v>1.0631E-2</v>
      </c>
      <c r="H1107" s="2">
        <v>5.2969999999999996E-3</v>
      </c>
      <c r="I1107" s="2">
        <v>1.6048E-2</v>
      </c>
      <c r="J1107" s="2">
        <v>9.0620000000000006E-3</v>
      </c>
      <c r="K1107" s="2">
        <v>1.2849999999999999E-3</v>
      </c>
      <c r="L1107" s="2">
        <f>(1/COUNT(D1107:K1107))*SQRT(SUMSQ(D1107:K1107))</f>
        <v>3.2363560696213574E-3</v>
      </c>
    </row>
    <row r="1108" spans="2:14" x14ac:dyDescent="0.55000000000000004">
      <c r="C1108" s="2" t="s">
        <v>30</v>
      </c>
      <c r="D1108" s="2">
        <v>16.238620999999998</v>
      </c>
      <c r="E1108" s="2">
        <v>20.499865</v>
      </c>
      <c r="F1108" s="2">
        <v>21.737181</v>
      </c>
      <c r="G1108" s="2">
        <v>33.877614999999999</v>
      </c>
      <c r="H1108" s="2">
        <v>13.736332000000001</v>
      </c>
      <c r="I1108" s="2">
        <v>19.340399000000001</v>
      </c>
      <c r="J1108" s="2">
        <v>27.023410999999999</v>
      </c>
      <c r="K1108" s="2">
        <v>49.293914000000001</v>
      </c>
      <c r="L1108" s="2">
        <f>AVERAGE(D1108:K1108)</f>
        <v>25.218417250000002</v>
      </c>
      <c r="M1108" s="2">
        <f xml:space="preserve"> _xlfn.STDEV.S(D1108:K1108) / SQRT(COUNT(D1108:K1108))</f>
        <v>4.0954659467204291</v>
      </c>
      <c r="N1108" s="2">
        <f>M1108*$N$2</f>
        <v>4.5834780991652835</v>
      </c>
    </row>
    <row r="1109" spans="2:14" x14ac:dyDescent="0.55000000000000004">
      <c r="C1109" s="2" t="s">
        <v>31</v>
      </c>
      <c r="D1109" s="2">
        <v>1.7891000000000001E-2</v>
      </c>
      <c r="E1109" s="2">
        <v>5.3925000000000001E-2</v>
      </c>
      <c r="F1109" s="2">
        <v>1.7437000000000001E-2</v>
      </c>
      <c r="G1109" s="2">
        <v>6.3500000000000001E-2</v>
      </c>
      <c r="H1109" s="2">
        <v>3.3188000000000002E-2</v>
      </c>
      <c r="I1109" s="2">
        <v>4.9489999999999999E-2</v>
      </c>
      <c r="J1109" s="2">
        <v>0.105763</v>
      </c>
      <c r="K1109" s="2">
        <v>5.2971999999999998E-2</v>
      </c>
      <c r="L1109" s="2">
        <f>(1/COUNT(D1109:K1109))*SQRT(SUMSQ(D1109:K1109))</f>
        <v>1.980642291341372E-2</v>
      </c>
    </row>
    <row r="1110" spans="2:14" x14ac:dyDescent="0.55000000000000004">
      <c r="B1110" s="2" t="s">
        <v>45</v>
      </c>
      <c r="C1110" s="2" t="s">
        <v>22</v>
      </c>
      <c r="D1110" s="2">
        <v>0.94329499999999999</v>
      </c>
      <c r="E1110" s="2">
        <v>0.92176100000000005</v>
      </c>
      <c r="F1110" s="2">
        <v>0.91020900000000005</v>
      </c>
      <c r="G1110" s="2">
        <v>0.91911200000000004</v>
      </c>
      <c r="H1110" s="2">
        <v>0.949631</v>
      </c>
      <c r="I1110" s="2">
        <v>0.91274900000000003</v>
      </c>
      <c r="J1110" s="2">
        <v>0.93552100000000005</v>
      </c>
      <c r="K1110" s="2">
        <v>0.92827400000000004</v>
      </c>
      <c r="L1110" s="2">
        <f>AVERAGE(D1110:K1110)</f>
        <v>0.92756900000000009</v>
      </c>
      <c r="M1110" s="2">
        <f xml:space="preserve"> _xlfn.STDEV.S(D1110:K1110) / SQRT(COUNT(D1110:K1110))</f>
        <v>5.0427209952280949E-3</v>
      </c>
      <c r="N1110" s="2">
        <f>M1110*$N$2</f>
        <v>5.643607233589025E-3</v>
      </c>
    </row>
    <row r="1111" spans="2:14" x14ac:dyDescent="0.55000000000000004">
      <c r="C1111" s="2" t="s">
        <v>23</v>
      </c>
      <c r="D1111" s="2">
        <v>7.1900000000000002E-4</v>
      </c>
      <c r="E1111" s="2">
        <v>1.6620000000000001E-3</v>
      </c>
      <c r="F1111" s="2">
        <v>3.9370000000000004E-3</v>
      </c>
      <c r="G1111" s="2">
        <v>4.052E-3</v>
      </c>
      <c r="H1111" s="2">
        <v>3.48E-4</v>
      </c>
      <c r="I1111" s="2">
        <v>1.8270000000000001E-3</v>
      </c>
      <c r="J1111" s="2">
        <v>9.3300000000000002E-4</v>
      </c>
      <c r="K1111" s="2">
        <v>7.4399999999999998E-4</v>
      </c>
      <c r="L1111" s="2">
        <f>(1/COUNT(D1111:K1111))*SQRT(SUMSQ(D1111:K1111))</f>
        <v>7.9136882993961798E-4</v>
      </c>
    </row>
    <row r="1112" spans="2:14" x14ac:dyDescent="0.55000000000000004">
      <c r="C1112" s="2" t="s">
        <v>24</v>
      </c>
      <c r="D1112" s="2">
        <v>0.32639400000000002</v>
      </c>
      <c r="E1112" s="2">
        <v>0.375946</v>
      </c>
      <c r="F1112" s="2">
        <v>0.41060099999999999</v>
      </c>
      <c r="G1112" s="2">
        <v>0.38882899999999998</v>
      </c>
      <c r="H1112" s="2">
        <v>0.31065500000000001</v>
      </c>
      <c r="I1112" s="2">
        <v>0.40644000000000002</v>
      </c>
      <c r="J1112" s="2">
        <v>0.34168599999999999</v>
      </c>
      <c r="K1112" s="2">
        <v>0.36963299999999999</v>
      </c>
      <c r="L1112" s="2">
        <f>AVERAGE(D1112:K1112)</f>
        <v>0.36627300000000002</v>
      </c>
      <c r="M1112" s="2">
        <f xml:space="preserve"> _xlfn.STDEV.S(D1112:K1112) / SQRT(COUNT(D1112:K1112))</f>
        <v>1.3011125920314726E-2</v>
      </c>
      <c r="N1112" s="2">
        <f>M1112*$N$2</f>
        <v>1.4561520343979378E-2</v>
      </c>
    </row>
    <row r="1113" spans="2:14" x14ac:dyDescent="0.55000000000000004">
      <c r="C1113" s="2" t="s">
        <v>25</v>
      </c>
      <c r="D1113" s="2">
        <v>2.0449999999999999E-3</v>
      </c>
      <c r="E1113" s="2">
        <v>3.7039999999999998E-3</v>
      </c>
      <c r="F1113" s="2">
        <v>8.8199999999999997E-3</v>
      </c>
      <c r="G1113" s="2">
        <v>9.0530000000000003E-3</v>
      </c>
      <c r="H1113" s="2">
        <v>9.7999999999999997E-4</v>
      </c>
      <c r="I1113" s="2">
        <v>3.8119999999999999E-3</v>
      </c>
      <c r="J1113" s="2">
        <v>2.7330000000000002E-3</v>
      </c>
      <c r="K1113" s="2">
        <v>1.671E-3</v>
      </c>
      <c r="L1113" s="2">
        <f>(1/COUNT(D1113:K1113))*SQRT(SUMSQ(D1113:K1113))</f>
        <v>1.7827477212157641E-3</v>
      </c>
    </row>
    <row r="1114" spans="2:14" x14ac:dyDescent="0.55000000000000004">
      <c r="C1114" s="2" t="s">
        <v>26</v>
      </c>
      <c r="D1114" s="2">
        <v>0.62880000000000003</v>
      </c>
      <c r="E1114" s="2">
        <v>0.71905699999999995</v>
      </c>
      <c r="F1114" s="2">
        <v>0.57398199999999999</v>
      </c>
      <c r="G1114" s="2">
        <v>0.67339400000000005</v>
      </c>
      <c r="H1114" s="2">
        <v>0.63780300000000001</v>
      </c>
      <c r="I1114" s="2">
        <v>0.59745499999999996</v>
      </c>
      <c r="J1114" s="2">
        <v>0.68982900000000003</v>
      </c>
      <c r="K1114" s="2">
        <v>0.55488599999999999</v>
      </c>
      <c r="L1114" s="2">
        <f>AVERAGE(D1114:K1114)</f>
        <v>0.63440074999999996</v>
      </c>
      <c r="M1114" s="2">
        <f xml:space="preserve"> _xlfn.STDEV.S(D1114:K1114) / SQRT(COUNT(D1114:K1114))</f>
        <v>2.0327847751430973E-2</v>
      </c>
      <c r="N1114" s="2">
        <f>M1114*$N$2</f>
        <v>2.2750096370954001E-2</v>
      </c>
    </row>
    <row r="1115" spans="2:14" x14ac:dyDescent="0.55000000000000004">
      <c r="C1115" s="2" t="s">
        <v>27</v>
      </c>
      <c r="D1115" s="2">
        <v>2.14E-3</v>
      </c>
      <c r="E1115" s="2">
        <v>2.447E-3</v>
      </c>
      <c r="F1115" s="2">
        <v>2.9359999999999998E-3</v>
      </c>
      <c r="G1115" s="2">
        <v>8.0090000000000005E-3</v>
      </c>
      <c r="H1115" s="2">
        <v>7.6199999999999998E-4</v>
      </c>
      <c r="I1115" s="2">
        <v>2.6199999999999999E-3</v>
      </c>
      <c r="J1115" s="2">
        <v>2.3400000000000001E-3</v>
      </c>
      <c r="K1115" s="2">
        <v>9.1600000000000004E-4</v>
      </c>
      <c r="L1115" s="2">
        <f>(1/COUNT(D1115:K1115))*SQRT(SUMSQ(D1115:K1115))</f>
        <v>1.2316863820591669E-3</v>
      </c>
    </row>
    <row r="1116" spans="2:14" x14ac:dyDescent="0.55000000000000004">
      <c r="C1116" s="2" t="s">
        <v>28</v>
      </c>
      <c r="D1116" s="2">
        <v>2.7877740000000002</v>
      </c>
      <c r="E1116" s="2">
        <v>3.192218</v>
      </c>
      <c r="F1116" s="2">
        <v>3.4404520000000001</v>
      </c>
      <c r="G1116" s="2">
        <v>3.9362499999999998</v>
      </c>
      <c r="H1116" s="2">
        <v>1.817785</v>
      </c>
      <c r="I1116" s="2">
        <v>4.6140460000000001</v>
      </c>
      <c r="J1116" s="2">
        <v>3.5043120000000001</v>
      </c>
      <c r="K1116" s="2">
        <v>2.8229000000000002</v>
      </c>
      <c r="L1116" s="2">
        <f>AVERAGE(D1116:K1116)</f>
        <v>3.2644671249999999</v>
      </c>
      <c r="M1116" s="2">
        <f xml:space="preserve"> _xlfn.STDEV.S(D1116:K1116) / SQRT(COUNT(D1116:K1116))</f>
        <v>0.29524440781697181</v>
      </c>
      <c r="N1116" s="2">
        <f>M1116*$N$2</f>
        <v>0.33042547410600925</v>
      </c>
    </row>
    <row r="1117" spans="2:14" x14ac:dyDescent="0.55000000000000004">
      <c r="C1117" s="2" t="s">
        <v>29</v>
      </c>
      <c r="D1117" s="2">
        <v>3.4833000000000003E-2</v>
      </c>
      <c r="E1117" s="2">
        <v>2.8556999999999999E-2</v>
      </c>
      <c r="F1117" s="2">
        <v>5.9693000000000003E-2</v>
      </c>
      <c r="G1117" s="2">
        <v>0.21090999999999999</v>
      </c>
      <c r="H1117" s="2">
        <v>5.9740000000000001E-3</v>
      </c>
      <c r="I1117" s="2">
        <v>0.16731399999999999</v>
      </c>
      <c r="J1117" s="2">
        <v>3.3356999999999998E-2</v>
      </c>
      <c r="K1117" s="2">
        <v>1.6889999999999999E-2</v>
      </c>
      <c r="L1117" s="2">
        <f>(1/COUNT(D1117:K1117))*SQRT(SUMSQ(D1117:K1117))</f>
        <v>3.5245289425503375E-2</v>
      </c>
    </row>
    <row r="1118" spans="2:14" x14ac:dyDescent="0.55000000000000004">
      <c r="C1118" s="2" t="s">
        <v>30</v>
      </c>
      <c r="D1118" s="2">
        <v>17.338108999999999</v>
      </c>
      <c r="E1118" s="2">
        <v>22.202797</v>
      </c>
      <c r="F1118" s="2">
        <v>22.122758999999999</v>
      </c>
      <c r="G1118" s="2">
        <v>29.495982999999999</v>
      </c>
      <c r="H1118" s="2">
        <v>13.476768</v>
      </c>
      <c r="I1118" s="2">
        <v>23.944158000000002</v>
      </c>
      <c r="J1118" s="2">
        <v>27.883426</v>
      </c>
      <c r="K1118" s="2">
        <v>41.398105999999999</v>
      </c>
      <c r="L1118" s="2">
        <f>AVERAGE(D1118:K1118)</f>
        <v>24.732763249999998</v>
      </c>
      <c r="M1118" s="2">
        <f xml:space="preserve"> _xlfn.STDEV.S(D1118:K1118) / SQRT(COUNT(D1118:K1118))</f>
        <v>3.0046442543245724</v>
      </c>
      <c r="N1118" s="2">
        <f>M1118*$N$2</f>
        <v>3.3626750447058691</v>
      </c>
    </row>
    <row r="1119" spans="2:14" x14ac:dyDescent="0.55000000000000004">
      <c r="C1119" s="2" t="s">
        <v>31</v>
      </c>
      <c r="D1119" s="2">
        <v>8.5084000000000007E-2</v>
      </c>
      <c r="E1119" s="2">
        <v>0.34667500000000001</v>
      </c>
      <c r="F1119" s="2">
        <v>0.13153400000000001</v>
      </c>
      <c r="G1119" s="2">
        <v>0.59257499999999996</v>
      </c>
      <c r="H1119" s="2">
        <v>2.2706E-2</v>
      </c>
      <c r="I1119" s="2">
        <v>0.55204900000000001</v>
      </c>
      <c r="J1119" s="2">
        <v>0.382942</v>
      </c>
      <c r="K1119" s="2">
        <v>0.58860400000000002</v>
      </c>
      <c r="L1119" s="2">
        <f>(1/COUNT(D1119:K1119))*SQRT(SUMSQ(D1119:K1119))</f>
        <v>0.14220595053252649</v>
      </c>
    </row>
    <row r="1120" spans="2:14" x14ac:dyDescent="0.55000000000000004">
      <c r="B1120" s="2" t="s">
        <v>46</v>
      </c>
      <c r="C1120" s="2" t="s">
        <v>22</v>
      </c>
      <c r="L1120" s="2" t="e">
        <f>AVERAGE(D1120:K1120)</f>
        <v>#DIV/0!</v>
      </c>
      <c r="M1120" s="2" t="e">
        <f xml:space="preserve"> _xlfn.STDEV.S(D1120:K1120) / SQRT(COUNT(D1120:K1120))</f>
        <v>#DIV/0!</v>
      </c>
      <c r="N1120" s="2" t="e">
        <f>M1120*$N$2</f>
        <v>#DIV/0!</v>
      </c>
    </row>
    <row r="1121" spans="2:14" x14ac:dyDescent="0.55000000000000004">
      <c r="C1121" s="2" t="s">
        <v>23</v>
      </c>
      <c r="L1121" s="2" t="e">
        <f>(1/COUNT(D1121:K1121))*SQRT(SUMSQ(D1121:K1121))</f>
        <v>#DIV/0!</v>
      </c>
    </row>
    <row r="1122" spans="2:14" x14ac:dyDescent="0.55000000000000004">
      <c r="C1122" s="2" t="s">
        <v>24</v>
      </c>
      <c r="L1122" s="2" t="e">
        <f>AVERAGE(D1122:K1122)</f>
        <v>#DIV/0!</v>
      </c>
      <c r="M1122" s="2" t="e">
        <f xml:space="preserve"> _xlfn.STDEV.S(D1122:K1122) / SQRT(COUNT(D1122:K1122))</f>
        <v>#DIV/0!</v>
      </c>
      <c r="N1122" s="2" t="e">
        <f>M1122*$N$2</f>
        <v>#DIV/0!</v>
      </c>
    </row>
    <row r="1123" spans="2:14" x14ac:dyDescent="0.55000000000000004">
      <c r="C1123" s="2" t="s">
        <v>25</v>
      </c>
      <c r="L1123" s="2" t="e">
        <f>(1/COUNT(D1123:K1123))*SQRT(SUMSQ(D1123:K1123))</f>
        <v>#DIV/0!</v>
      </c>
    </row>
    <row r="1124" spans="2:14" x14ac:dyDescent="0.55000000000000004">
      <c r="C1124" s="2" t="s">
        <v>26</v>
      </c>
      <c r="L1124" s="2" t="e">
        <f>AVERAGE(D1124:K1124)</f>
        <v>#DIV/0!</v>
      </c>
      <c r="M1124" s="2" t="e">
        <f xml:space="preserve"> _xlfn.STDEV.S(D1124:K1124) / SQRT(COUNT(D1124:K1124))</f>
        <v>#DIV/0!</v>
      </c>
      <c r="N1124" s="2" t="e">
        <f>M1124*$N$2</f>
        <v>#DIV/0!</v>
      </c>
    </row>
    <row r="1125" spans="2:14" x14ac:dyDescent="0.55000000000000004">
      <c r="C1125" s="2" t="s">
        <v>27</v>
      </c>
      <c r="L1125" s="2" t="e">
        <f>(1/COUNT(D1125:K1125))*SQRT(SUMSQ(D1125:K1125))</f>
        <v>#DIV/0!</v>
      </c>
    </row>
    <row r="1126" spans="2:14" x14ac:dyDescent="0.55000000000000004">
      <c r="C1126" s="2" t="s">
        <v>28</v>
      </c>
      <c r="L1126" s="2" t="e">
        <f>AVERAGE(D1126:K1126)</f>
        <v>#DIV/0!</v>
      </c>
      <c r="M1126" s="2" t="e">
        <f xml:space="preserve"> _xlfn.STDEV.S(D1126:K1126) / SQRT(COUNT(D1126:K1126))</f>
        <v>#DIV/0!</v>
      </c>
      <c r="N1126" s="2" t="e">
        <f>M1126*$N$2</f>
        <v>#DIV/0!</v>
      </c>
    </row>
    <row r="1127" spans="2:14" x14ac:dyDescent="0.55000000000000004">
      <c r="C1127" s="2" t="s">
        <v>29</v>
      </c>
      <c r="L1127" s="2" t="e">
        <f>(1/COUNT(D1127:K1127))*SQRT(SUMSQ(D1127:K1127))</f>
        <v>#DIV/0!</v>
      </c>
    </row>
    <row r="1128" spans="2:14" x14ac:dyDescent="0.55000000000000004">
      <c r="C1128" s="2" t="s">
        <v>30</v>
      </c>
      <c r="L1128" s="2" t="e">
        <f>AVERAGE(D1128:K1128)</f>
        <v>#DIV/0!</v>
      </c>
      <c r="M1128" s="2" t="e">
        <f xml:space="preserve"> _xlfn.STDEV.S(D1128:K1128) / SQRT(COUNT(D1128:K1128))</f>
        <v>#DIV/0!</v>
      </c>
      <c r="N1128" s="2" t="e">
        <f>M1128*$N$2</f>
        <v>#DIV/0!</v>
      </c>
    </row>
    <row r="1129" spans="2:14" x14ac:dyDescent="0.55000000000000004">
      <c r="C1129" s="2" t="s">
        <v>31</v>
      </c>
      <c r="L1129" s="2" t="e">
        <f>(1/COUNT(D1129:K1129))*SQRT(SUMSQ(D1129:K1129))</f>
        <v>#DIV/0!</v>
      </c>
    </row>
    <row r="1130" spans="2:14" x14ac:dyDescent="0.55000000000000004">
      <c r="B1130" s="2" t="s">
        <v>36</v>
      </c>
      <c r="C1130" s="2" t="s">
        <v>22</v>
      </c>
      <c r="D1130" s="2">
        <v>0.93490799999999996</v>
      </c>
      <c r="E1130" s="2">
        <v>0.92715000000000003</v>
      </c>
      <c r="F1130" s="2">
        <v>0.92186699999999999</v>
      </c>
      <c r="G1130" s="2">
        <v>0.94348799999999999</v>
      </c>
      <c r="H1130" s="2">
        <v>0.95100300000000004</v>
      </c>
      <c r="I1130" s="2">
        <v>0.92023600000000005</v>
      </c>
      <c r="J1130" s="2">
        <v>0.93294900000000003</v>
      </c>
      <c r="K1130" s="2">
        <v>0.92594699999999996</v>
      </c>
      <c r="L1130" s="2">
        <f>AVERAGE(D1130:K1130)</f>
        <v>0.93219350000000001</v>
      </c>
      <c r="M1130" s="2">
        <f xml:space="preserve"> _xlfn.STDEV.S(D1130:K1130) / SQRT(COUNT(D1130:K1130))</f>
        <v>3.787612266134356E-3</v>
      </c>
      <c r="N1130" s="2">
        <f>M1130*$N$2</f>
        <v>4.2389408423377361E-3</v>
      </c>
    </row>
    <row r="1131" spans="2:14" x14ac:dyDescent="0.55000000000000004">
      <c r="C1131" s="2" t="s">
        <v>24</v>
      </c>
      <c r="D1131" s="2">
        <v>0.34898299999999999</v>
      </c>
      <c r="E1131" s="2">
        <v>0.36604700000000001</v>
      </c>
      <c r="F1131" s="2">
        <v>0.38374200000000003</v>
      </c>
      <c r="G1131" s="2">
        <v>0.32737100000000002</v>
      </c>
      <c r="H1131" s="2">
        <v>0.30714999999999998</v>
      </c>
      <c r="I1131" s="2">
        <v>0.39026100000000002</v>
      </c>
      <c r="J1131" s="2">
        <v>0.34976299999999999</v>
      </c>
      <c r="K1131" s="2">
        <v>0.37595600000000001</v>
      </c>
      <c r="L1131" s="2">
        <f t="shared" ref="L1131:L1139" si="50">AVERAGE(D1131:K1131)</f>
        <v>0.35615912500000002</v>
      </c>
      <c r="M1131" s="2">
        <f t="shared" ref="M1131:M1147" si="51" xml:space="preserve"> _xlfn.STDEV.S(D1131:K1131) / SQRT(COUNT(D1131:K1131))</f>
        <v>1.0121138472519324E-2</v>
      </c>
      <c r="N1131" s="2">
        <f t="shared" ref="N1131:N1147" si="52">M1131*$N$2</f>
        <v>1.1327164510929393E-2</v>
      </c>
    </row>
    <row r="1132" spans="2:14" x14ac:dyDescent="0.55000000000000004">
      <c r="C1132" s="2" t="s">
        <v>26</v>
      </c>
      <c r="D1132" s="2">
        <v>0.60658000000000001</v>
      </c>
      <c r="E1132" s="2">
        <v>0.72576799999999997</v>
      </c>
      <c r="F1132" s="2">
        <v>0.58215799999999995</v>
      </c>
      <c r="G1132" s="2">
        <v>0.72472899999999996</v>
      </c>
      <c r="H1132" s="2">
        <v>0.64086299999999996</v>
      </c>
      <c r="I1132" s="2">
        <v>0.60910799999999998</v>
      </c>
      <c r="J1132" s="2">
        <v>0.683222</v>
      </c>
      <c r="K1132" s="2">
        <v>0.54923999999999995</v>
      </c>
      <c r="L1132" s="2">
        <f t="shared" si="50"/>
        <v>0.64020850000000007</v>
      </c>
      <c r="M1132" s="2">
        <f t="shared" si="51"/>
        <v>2.3167857262657181E-2</v>
      </c>
      <c r="N1132" s="2">
        <f t="shared" si="52"/>
        <v>2.5928518940075907E-2</v>
      </c>
    </row>
    <row r="1133" spans="2:14" x14ac:dyDescent="0.55000000000000004">
      <c r="C1133" s="2" t="s">
        <v>28</v>
      </c>
      <c r="D1133" s="2">
        <v>3.2371319999999999</v>
      </c>
      <c r="E1133" s="2">
        <v>3.0019390000000001</v>
      </c>
      <c r="F1133" s="2">
        <v>3.2736019999999999</v>
      </c>
      <c r="G1133" s="2">
        <v>2.9558840000000002</v>
      </c>
      <c r="H1133" s="2">
        <v>1.7824770000000001</v>
      </c>
      <c r="I1133" s="2">
        <v>3.90869</v>
      </c>
      <c r="J1133" s="2">
        <v>3.5241189999999998</v>
      </c>
      <c r="K1133" s="2">
        <v>3.0159799999999999</v>
      </c>
      <c r="L1133" s="2">
        <f t="shared" si="50"/>
        <v>3.0874778749999998</v>
      </c>
      <c r="M1133" s="2">
        <f t="shared" si="51"/>
        <v>0.21773412892295327</v>
      </c>
      <c r="N1133" s="2">
        <f t="shared" si="52"/>
        <v>0.24367913793993323</v>
      </c>
    </row>
    <row r="1134" spans="2:14" x14ac:dyDescent="0.55000000000000004">
      <c r="C1134" s="2" t="s">
        <v>30</v>
      </c>
      <c r="D1134" s="2">
        <v>17.927396999999999</v>
      </c>
      <c r="E1134" s="2">
        <v>21.502735000000001</v>
      </c>
      <c r="F1134" s="2">
        <v>21.611782000000002</v>
      </c>
      <c r="G1134" s="2">
        <v>26.561308</v>
      </c>
      <c r="H1134" s="2">
        <v>13.284596000000001</v>
      </c>
      <c r="I1134" s="2">
        <v>20.43655</v>
      </c>
      <c r="J1134" s="2">
        <v>27.331674</v>
      </c>
      <c r="K1134" s="2">
        <v>49.970149999999997</v>
      </c>
      <c r="L1134" s="2">
        <f t="shared" si="50"/>
        <v>24.828274</v>
      </c>
      <c r="M1134" s="2">
        <f t="shared" si="51"/>
        <v>3.9255464188807649</v>
      </c>
      <c r="N1134" s="2">
        <f t="shared" si="52"/>
        <v>4.3933111084966709</v>
      </c>
    </row>
    <row r="1135" spans="2:14" ht="14.25" customHeight="1" x14ac:dyDescent="0.55000000000000004">
      <c r="B1135" s="2" t="s">
        <v>37</v>
      </c>
      <c r="C1135" s="2" t="s">
        <v>22</v>
      </c>
      <c r="D1135" s="2">
        <v>0.92496100000000003</v>
      </c>
      <c r="E1135" s="2">
        <v>0.86478600000000005</v>
      </c>
      <c r="F1135" s="2">
        <v>0.88933099999999998</v>
      </c>
      <c r="G1135" s="2">
        <v>0.90790700000000002</v>
      </c>
      <c r="H1135" s="2">
        <v>0.92036499999999999</v>
      </c>
      <c r="I1135" s="2">
        <v>0.88992400000000005</v>
      </c>
      <c r="J1135" s="2">
        <v>0.90124199999999999</v>
      </c>
      <c r="K1135" s="2">
        <v>0.90273899999999996</v>
      </c>
      <c r="L1135" s="2">
        <f t="shared" si="50"/>
        <v>0.90015687499999997</v>
      </c>
      <c r="M1135" s="2">
        <f t="shared" si="51"/>
        <v>6.7672165818469963E-3</v>
      </c>
      <c r="N1135" s="2">
        <f t="shared" si="52"/>
        <v>7.5735922111724533E-3</v>
      </c>
    </row>
    <row r="1136" spans="2:14" x14ac:dyDescent="0.55000000000000004">
      <c r="C1136" s="2" t="s">
        <v>24</v>
      </c>
      <c r="D1136" s="2">
        <v>0.377137</v>
      </c>
      <c r="E1136" s="2">
        <v>0.49737700000000001</v>
      </c>
      <c r="F1136" s="2">
        <v>0.45541900000000002</v>
      </c>
      <c r="G1136" s="2">
        <v>0.41788599999999998</v>
      </c>
      <c r="H1136" s="2">
        <v>0.389102</v>
      </c>
      <c r="I1136" s="2">
        <v>0.45880700000000002</v>
      </c>
      <c r="J1136" s="2">
        <v>0.42858800000000002</v>
      </c>
      <c r="K1136" s="2">
        <v>0.43104399999999998</v>
      </c>
      <c r="L1136" s="2">
        <f t="shared" si="50"/>
        <v>0.43192000000000003</v>
      </c>
      <c r="M1136" s="2">
        <f t="shared" si="51"/>
        <v>1.3760134958329029E-2</v>
      </c>
      <c r="N1136" s="2">
        <f t="shared" si="52"/>
        <v>1.539978064609825E-2</v>
      </c>
    </row>
    <row r="1137" spans="1:14" x14ac:dyDescent="0.55000000000000004">
      <c r="C1137" s="2" t="s">
        <v>26</v>
      </c>
      <c r="D1137" s="2">
        <v>0.58032799999999995</v>
      </c>
      <c r="E1137" s="2">
        <v>0.63500000000000001</v>
      </c>
      <c r="F1137" s="2">
        <v>0.54866599999999999</v>
      </c>
      <c r="G1137" s="2">
        <v>0.67038299999999995</v>
      </c>
      <c r="H1137" s="2">
        <v>0.56683799999999995</v>
      </c>
      <c r="I1137" s="2">
        <v>0.56936200000000003</v>
      </c>
      <c r="J1137" s="2">
        <v>0.62139</v>
      </c>
      <c r="K1137" s="2">
        <v>0.51644299999999999</v>
      </c>
      <c r="L1137" s="2">
        <f t="shared" si="50"/>
        <v>0.58855124999999986</v>
      </c>
      <c r="M1137" s="2">
        <f t="shared" si="51"/>
        <v>1.7743234351184998E-2</v>
      </c>
      <c r="N1137" s="2">
        <f t="shared" si="52"/>
        <v>1.9857502690783613E-2</v>
      </c>
    </row>
    <row r="1138" spans="1:14" x14ac:dyDescent="0.55000000000000004">
      <c r="C1138" s="2" t="s">
        <v>28</v>
      </c>
      <c r="D1138" s="2">
        <v>3.6357210000000002</v>
      </c>
      <c r="E1138" s="2">
        <v>4.6643780000000001</v>
      </c>
      <c r="F1138" s="2">
        <v>3.8703639999999999</v>
      </c>
      <c r="G1138" s="2">
        <v>3.8572510000000002</v>
      </c>
      <c r="H1138" s="2">
        <v>2.5637850000000002</v>
      </c>
      <c r="I1138" s="2">
        <v>5.8953470000000001</v>
      </c>
      <c r="J1138" s="2">
        <v>4.6907180000000004</v>
      </c>
      <c r="K1138" s="2">
        <v>3.5240499999999999</v>
      </c>
      <c r="L1138" s="2">
        <f t="shared" si="50"/>
        <v>4.0877017499999999</v>
      </c>
      <c r="M1138" s="2">
        <f t="shared" si="51"/>
        <v>0.35123305361396678</v>
      </c>
      <c r="N1138" s="2">
        <f t="shared" si="52"/>
        <v>0.39308567813430728</v>
      </c>
    </row>
    <row r="1139" spans="1:14" x14ac:dyDescent="0.55000000000000004">
      <c r="C1139" s="2" t="s">
        <v>30</v>
      </c>
      <c r="D1139" s="2">
        <v>18.743068999999998</v>
      </c>
      <c r="E1139" s="2">
        <v>31.941755000000001</v>
      </c>
      <c r="F1139" s="2">
        <v>23.079148</v>
      </c>
      <c r="G1139" s="2">
        <v>35.740696</v>
      </c>
      <c r="H1139" s="2">
        <v>18.538813999999999</v>
      </c>
      <c r="I1139" s="2">
        <v>27.864186</v>
      </c>
      <c r="J1139" s="2">
        <v>39.289530999999997</v>
      </c>
      <c r="K1139" s="2">
        <v>64.927436999999998</v>
      </c>
      <c r="L1139" s="2">
        <f t="shared" si="50"/>
        <v>32.515579499999994</v>
      </c>
      <c r="M1139" s="2">
        <f t="shared" si="51"/>
        <v>5.3499988264028566</v>
      </c>
      <c r="N1139" s="2">
        <f t="shared" si="52"/>
        <v>5.9875000232913411</v>
      </c>
    </row>
    <row r="1140" spans="1:14" x14ac:dyDescent="0.55000000000000004">
      <c r="B1140" s="2" t="s">
        <v>39</v>
      </c>
      <c r="C1140" s="2" t="s">
        <v>22</v>
      </c>
      <c r="D1140" s="2">
        <v>0.95168399999999997</v>
      </c>
      <c r="E1140" s="2">
        <v>0.94845900000000005</v>
      </c>
      <c r="F1140" s="2">
        <v>0.92621299999999995</v>
      </c>
      <c r="G1140" s="2">
        <v>0.91437900000000005</v>
      </c>
      <c r="H1140" s="2">
        <v>0.95347700000000002</v>
      </c>
      <c r="I1140" s="2">
        <v>0.93790700000000005</v>
      </c>
      <c r="J1140" s="2">
        <v>0.94966399999999995</v>
      </c>
      <c r="K1140" s="2">
        <v>0.93131600000000003</v>
      </c>
      <c r="L1140" s="2">
        <f t="shared" ref="L1140:L1148" si="53">AVERAGE(D1140:K1140)</f>
        <v>0.93913737500000005</v>
      </c>
      <c r="M1140" s="2">
        <f t="shared" si="51"/>
        <v>5.0061560350999667E-3</v>
      </c>
      <c r="N1140" s="2">
        <f t="shared" si="52"/>
        <v>5.6026852246834607E-3</v>
      </c>
    </row>
    <row r="1141" spans="1:14" x14ac:dyDescent="0.55000000000000004">
      <c r="C1141" s="2" t="s">
        <v>24</v>
      </c>
      <c r="D1141" s="2">
        <v>0.30376999999999998</v>
      </c>
      <c r="E1141" s="2">
        <v>0.31287399999999999</v>
      </c>
      <c r="F1141" s="2">
        <v>0.37598700000000002</v>
      </c>
      <c r="G1141" s="2">
        <v>0.40431400000000001</v>
      </c>
      <c r="H1141" s="2">
        <v>0.300346</v>
      </c>
      <c r="I1141" s="2">
        <v>0.347248</v>
      </c>
      <c r="J1141" s="2">
        <v>0.30872500000000003</v>
      </c>
      <c r="K1141" s="2">
        <v>0.36355599999999999</v>
      </c>
      <c r="L1141" s="2">
        <f t="shared" si="53"/>
        <v>0.33960250000000003</v>
      </c>
      <c r="M1141" s="2">
        <f t="shared" si="51"/>
        <v>1.3781786293095923E-2</v>
      </c>
      <c r="N1141" s="2">
        <f t="shared" si="52"/>
        <v>1.5424011935043827E-2</v>
      </c>
    </row>
    <row r="1142" spans="1:14" x14ac:dyDescent="0.55000000000000004">
      <c r="C1142" s="2" t="s">
        <v>26</v>
      </c>
      <c r="D1142" s="2">
        <v>0.64775199999999999</v>
      </c>
      <c r="E1142" s="2">
        <v>0.76570199999999999</v>
      </c>
      <c r="F1142" s="2">
        <v>0.58511500000000005</v>
      </c>
      <c r="G1142" s="2">
        <v>0.67895300000000003</v>
      </c>
      <c r="H1142" s="2">
        <v>0.64645200000000003</v>
      </c>
      <c r="I1142" s="2">
        <v>0.64076699999999998</v>
      </c>
      <c r="J1142" s="2">
        <v>0.71174300000000001</v>
      </c>
      <c r="K1142" s="2">
        <v>0.55727099999999996</v>
      </c>
      <c r="L1142" s="2">
        <f t="shared" si="53"/>
        <v>0.65421937500000005</v>
      </c>
      <c r="M1142" s="2">
        <f t="shared" si="51"/>
        <v>2.3454600074960547E-2</v>
      </c>
      <c r="N1142" s="2">
        <f t="shared" si="52"/>
        <v>2.624942977595723E-2</v>
      </c>
    </row>
    <row r="1143" spans="1:14" x14ac:dyDescent="0.55000000000000004">
      <c r="C1143" s="2" t="s">
        <v>28</v>
      </c>
      <c r="D1143" s="2">
        <v>2.3231350000000002</v>
      </c>
      <c r="E1143" s="2">
        <v>2.6361680000000001</v>
      </c>
      <c r="F1143" s="2">
        <v>3.2533470000000002</v>
      </c>
      <c r="G1143" s="2">
        <v>3.7175769999999999</v>
      </c>
      <c r="H1143" s="2">
        <v>1.740483</v>
      </c>
      <c r="I1143" s="2">
        <v>3.1503700000000001</v>
      </c>
      <c r="J1143" s="2">
        <v>3.1686610000000002</v>
      </c>
      <c r="K1143" s="2">
        <v>2.8391549999999999</v>
      </c>
      <c r="L1143" s="2">
        <f t="shared" si="53"/>
        <v>2.853612</v>
      </c>
      <c r="M1143" s="2">
        <f t="shared" si="51"/>
        <v>0.21800629457532716</v>
      </c>
      <c r="N1143" s="2">
        <f t="shared" si="52"/>
        <v>0.24398373461421391</v>
      </c>
    </row>
    <row r="1144" spans="1:14" x14ac:dyDescent="0.55000000000000004">
      <c r="C1144" s="2" t="s">
        <v>30</v>
      </c>
      <c r="D1144" s="2">
        <v>15.793374</v>
      </c>
      <c r="E1144" s="2">
        <v>21.184011999999999</v>
      </c>
      <c r="F1144" s="2">
        <v>21.865919000000002</v>
      </c>
      <c r="G1144" s="2">
        <v>34.084237000000002</v>
      </c>
      <c r="H1144" s="2">
        <v>12.579491000000001</v>
      </c>
      <c r="I1144" s="2">
        <v>19.865573000000001</v>
      </c>
      <c r="J1144" s="2">
        <v>25.020327999999999</v>
      </c>
      <c r="K1144" s="2">
        <v>45.932977999999999</v>
      </c>
      <c r="L1144" s="2">
        <f t="shared" si="53"/>
        <v>24.540738999999999</v>
      </c>
      <c r="M1144" s="2">
        <f t="shared" si="51"/>
        <v>3.8003842676743624</v>
      </c>
      <c r="N1144" s="2">
        <f t="shared" si="52"/>
        <v>4.2532347444486804</v>
      </c>
    </row>
    <row r="1145" spans="1:14" x14ac:dyDescent="0.55000000000000004">
      <c r="B1145" s="2" t="s">
        <v>61</v>
      </c>
      <c r="C1145" s="2" t="s">
        <v>22</v>
      </c>
      <c r="D1145" s="2">
        <v>0.91728900000000002</v>
      </c>
      <c r="E1145" s="2">
        <v>0.85133400000000004</v>
      </c>
      <c r="F1145" s="2">
        <v>0.86990000000000001</v>
      </c>
      <c r="G1145" s="2">
        <v>0.92600499999999997</v>
      </c>
      <c r="H1145" s="2">
        <v>0.90401100000000001</v>
      </c>
      <c r="I1145" s="2">
        <v>0.87734500000000004</v>
      </c>
      <c r="J1145" s="2">
        <v>0.88974500000000001</v>
      </c>
      <c r="K1145" s="2">
        <v>0.87719499999999995</v>
      </c>
      <c r="L1145" s="2">
        <f t="shared" si="53"/>
        <v>0.88910299999999998</v>
      </c>
      <c r="M1145" s="2">
        <f t="shared" si="51"/>
        <v>8.9184524061873254E-3</v>
      </c>
      <c r="N1145" s="2">
        <f t="shared" si="52"/>
        <v>9.9811674212409163E-3</v>
      </c>
    </row>
    <row r="1146" spans="1:14" x14ac:dyDescent="0.55000000000000004">
      <c r="C1146" s="2" t="s">
        <v>24</v>
      </c>
      <c r="D1146" s="2">
        <v>0.39923900000000001</v>
      </c>
      <c r="E1146" s="2">
        <v>0.52859800000000001</v>
      </c>
      <c r="F1146" s="2">
        <v>0.50268500000000005</v>
      </c>
      <c r="G1146" s="2">
        <v>0.359234</v>
      </c>
      <c r="H1146" s="2">
        <v>0.43206699999999998</v>
      </c>
      <c r="I1146" s="2">
        <v>0.49085499999999999</v>
      </c>
      <c r="J1146" s="2">
        <v>0.45996700000000001</v>
      </c>
      <c r="K1146" s="2">
        <v>0.49085299999999998</v>
      </c>
      <c r="L1146" s="2">
        <f t="shared" si="53"/>
        <v>0.45793725000000002</v>
      </c>
      <c r="M1146" s="2">
        <f t="shared" si="51"/>
        <v>2.0276452483422622E-2</v>
      </c>
      <c r="N1146" s="2">
        <f t="shared" si="52"/>
        <v>2.2692576887607875E-2</v>
      </c>
    </row>
    <row r="1147" spans="1:14" x14ac:dyDescent="0.55000000000000004">
      <c r="C1147" s="2" t="s">
        <v>26</v>
      </c>
      <c r="D1147" s="2">
        <v>0.56583099999999997</v>
      </c>
      <c r="E1147" s="2">
        <v>0.62158199999999997</v>
      </c>
      <c r="F1147" s="2">
        <v>0.52632900000000005</v>
      </c>
      <c r="G1147" s="2">
        <v>0.70525700000000002</v>
      </c>
      <c r="H1147" s="2">
        <v>0.53497300000000003</v>
      </c>
      <c r="I1147" s="2">
        <v>0.56130999999999998</v>
      </c>
      <c r="J1147" s="2">
        <v>0.60462700000000003</v>
      </c>
      <c r="K1147" s="2">
        <v>0.468862</v>
      </c>
      <c r="L1147" s="2">
        <f t="shared" si="53"/>
        <v>0.57359637499999994</v>
      </c>
      <c r="M1147" s="2">
        <f t="shared" si="51"/>
        <v>2.5180262704247818E-2</v>
      </c>
      <c r="N1147" s="2">
        <f t="shared" si="52"/>
        <v>2.818072085999615E-2</v>
      </c>
    </row>
    <row r="1148" spans="1:14" x14ac:dyDescent="0.55000000000000004">
      <c r="A1148" s="2" t="s">
        <v>40</v>
      </c>
      <c r="B1148" s="2" t="s">
        <v>21</v>
      </c>
      <c r="C1148" s="2" t="s">
        <v>22</v>
      </c>
      <c r="D1148" s="2">
        <f t="shared" ref="D1148:K1148" si="54">AVERAGE(D4,D92,D180,D268,D356,D444,D532,D620,D708,D796,D884,D972,D1060)</f>
        <v>0.9553298461538462</v>
      </c>
      <c r="E1148" s="2">
        <f t="shared" si="54"/>
        <v>0.94969792307692313</v>
      </c>
      <c r="F1148" s="2">
        <f t="shared" si="54"/>
        <v>0.93182553846153848</v>
      </c>
      <c r="G1148" s="2">
        <f t="shared" si="54"/>
        <v>0.92598453846153839</v>
      </c>
      <c r="H1148" s="2">
        <f t="shared" si="54"/>
        <v>0.95403592307692309</v>
      </c>
      <c r="I1148" s="2">
        <f t="shared" si="54"/>
        <v>0.93777484615384621</v>
      </c>
      <c r="J1148" s="2">
        <f t="shared" si="54"/>
        <v>0.94866576923076917</v>
      </c>
      <c r="K1148" s="2">
        <f t="shared" si="54"/>
        <v>0.93214753846153842</v>
      </c>
      <c r="L1148" s="2">
        <f t="shared" si="53"/>
        <v>0.94193274038461539</v>
      </c>
      <c r="M1148" s="2">
        <f xml:space="preserve"> _xlfn.STDEV.S(D1148:K1148) / SQRT(COUNT(D1148:K1148))</f>
        <v>4.0114571416625085E-3</v>
      </c>
      <c r="N1148" s="2">
        <f>M1148*$N$2</f>
        <v>4.4894588781219814E-3</v>
      </c>
    </row>
    <row r="1149" spans="1:14" x14ac:dyDescent="0.55000000000000004">
      <c r="C1149" s="2" t="s">
        <v>23</v>
      </c>
      <c r="D1149" s="2">
        <f t="shared" ref="D1149:K1149" si="55">(1/COUNT(D5,D93,D181,D269,D357,D445,D533,D621,D709,D797,D885,D973,D1061))*SQRT(SUMSQ(D5,D93,D181,D269,D357,D445,D533,D621,D709,D797,D885,D973,D1061))</f>
        <v>2.8202354175938732E-5</v>
      </c>
      <c r="E1149" s="2">
        <f t="shared" si="55"/>
        <v>1.6387823810096606E-4</v>
      </c>
      <c r="F1149" s="2">
        <f t="shared" si="55"/>
        <v>8.4759501047088992E-4</v>
      </c>
      <c r="G1149" s="2">
        <f t="shared" si="55"/>
        <v>1.9679265512824923E-4</v>
      </c>
      <c r="H1149" s="2">
        <f t="shared" si="55"/>
        <v>3.9434013492394392E-5</v>
      </c>
      <c r="I1149" s="2">
        <f t="shared" si="55"/>
        <v>1.1061835344256031E-4</v>
      </c>
      <c r="J1149" s="2">
        <f t="shared" si="55"/>
        <v>1.4757288841941703E-4</v>
      </c>
      <c r="K1149" s="2">
        <f t="shared" si="55"/>
        <v>2.1743801401969347E-5</v>
      </c>
      <c r="L1149" s="2">
        <f>(1/COUNT(D1149:K1149))*SQRT(SUMSQ(D1149:K1149))</f>
        <v>1.1325014572466034E-4</v>
      </c>
    </row>
    <row r="1150" spans="1:14" x14ac:dyDescent="0.55000000000000004">
      <c r="C1150" s="2" t="s">
        <v>24</v>
      </c>
      <c r="D1150" s="2">
        <f t="shared" ref="D1150:K1150" si="56">AVERAGE(D6,D94,D182,D270,D358,D446,D534,D622,D710,D798,D886,D974,D1062)</f>
        <v>0.29350461538461536</v>
      </c>
      <c r="E1150" s="2">
        <f t="shared" si="56"/>
        <v>0.31003838461538458</v>
      </c>
      <c r="F1150" s="2">
        <f t="shared" si="56"/>
        <v>0.36156123076923075</v>
      </c>
      <c r="G1150" s="2">
        <f t="shared" si="56"/>
        <v>0.3775130769230769</v>
      </c>
      <c r="H1150" s="2">
        <f t="shared" si="56"/>
        <v>0.29872915384615378</v>
      </c>
      <c r="I1150" s="2">
        <f t="shared" si="56"/>
        <v>0.34764976923076918</v>
      </c>
      <c r="J1150" s="2">
        <f t="shared" si="56"/>
        <v>0.31042830769230773</v>
      </c>
      <c r="K1150" s="2">
        <f t="shared" si="56"/>
        <v>0.3607923846153846</v>
      </c>
      <c r="L1150" s="2">
        <f>AVERAGE(D1150:K1150)</f>
        <v>0.33252711538461532</v>
      </c>
      <c r="M1150" s="2">
        <f xml:space="preserve"> _xlfn.STDEV.S(D1150:K1150) / SQRT(COUNT(D1150:K1150))</f>
        <v>1.1613949985734083E-2</v>
      </c>
      <c r="N1150" s="2">
        <f>M1150*$N$2</f>
        <v>1.2997858142866633E-2</v>
      </c>
    </row>
    <row r="1151" spans="1:14" x14ac:dyDescent="0.55000000000000004">
      <c r="C1151" s="2" t="s">
        <v>25</v>
      </c>
      <c r="D1151" s="2">
        <f t="shared" ref="D1151:K1151" si="57">(1/COUNT(D7,D95,D183,D271,D359,D447,D535,D623,D711,D799,D887,D975,D1063))*SQRT(SUMSQ(D7,D95,D183,D271,D359,D447,D535,D623,D711,D799,D887,D975,D1063))</f>
        <v>8.4073931961714283E-5</v>
      </c>
      <c r="E1151" s="2">
        <f t="shared" si="57"/>
        <v>5.0528406094841412E-4</v>
      </c>
      <c r="F1151" s="2">
        <f t="shared" si="57"/>
        <v>1.9267188376330213E-3</v>
      </c>
      <c r="G1151" s="2">
        <f t="shared" si="57"/>
        <v>4.6687525417243939E-4</v>
      </c>
      <c r="H1151" s="2">
        <f t="shared" si="57"/>
        <v>1.2220423781377212E-4</v>
      </c>
      <c r="I1151" s="2">
        <f t="shared" si="57"/>
        <v>3.1060118266767144E-4</v>
      </c>
      <c r="J1151" s="2">
        <f t="shared" si="57"/>
        <v>4.3000887564804372E-4</v>
      </c>
      <c r="K1151" s="2">
        <f t="shared" si="57"/>
        <v>5.5834073709360021E-5</v>
      </c>
      <c r="L1151" s="2">
        <f>(1/COUNT(D1151:K1151))*SQRT(SUMSQ(D1151:K1151))</f>
        <v>2.6493013341580453E-4</v>
      </c>
    </row>
    <row r="1152" spans="1:14" x14ac:dyDescent="0.55000000000000004">
      <c r="C1152" s="2" t="s">
        <v>26</v>
      </c>
      <c r="D1152" s="2">
        <f t="shared" ref="D1152:K1152" si="58">AVERAGE(D8,D96,D184,D272,D360,D448,D536,D624,D712,D800,D888,D976,D1064)</f>
        <v>0.6563358461538461</v>
      </c>
      <c r="E1152" s="2">
        <f t="shared" si="58"/>
        <v>0.76787153846153855</v>
      </c>
      <c r="F1152" s="2">
        <f t="shared" si="58"/>
        <v>0.59188199999999991</v>
      </c>
      <c r="G1152" s="2">
        <f t="shared" si="58"/>
        <v>0.70746715384615377</v>
      </c>
      <c r="H1152" s="2">
        <f t="shared" si="58"/>
        <v>0.64831100000000019</v>
      </c>
      <c r="I1152" s="2">
        <f t="shared" si="58"/>
        <v>0.63945230769230776</v>
      </c>
      <c r="J1152" s="2">
        <f t="shared" si="58"/>
        <v>0.7101407692307693</v>
      </c>
      <c r="K1152" s="2">
        <f t="shared" si="58"/>
        <v>0.5612324615384614</v>
      </c>
      <c r="L1152" s="2">
        <f>AVERAGE(D1152:K1152)</f>
        <v>0.6603366346153845</v>
      </c>
      <c r="M1152" s="2">
        <f xml:space="preserve"> _xlfn.STDEV.S(D1152:K1152) / SQRT(COUNT(D1152:K1152))</f>
        <v>2.3668070958339657E-2</v>
      </c>
      <c r="N1152" s="2">
        <f>M1152*$N$2</f>
        <v>2.6488337663730325E-2</v>
      </c>
    </row>
    <row r="1153" spans="2:14" x14ac:dyDescent="0.55000000000000004">
      <c r="C1153" s="2" t="s">
        <v>27</v>
      </c>
      <c r="D1153" s="2">
        <f t="shared" ref="D1153:K1153" si="59">(1/COUNT(D9,D97,D185,D273,D361,D449,D537,D625,D713,D801,D889,D977,D1065))*SQRT(SUMSQ(D9,D97,D185,D273,D361,D449,D537,D625,D713,D801,D889,D977,D1065))</f>
        <v>7.7172096928739082E-5</v>
      </c>
      <c r="E1153" s="2">
        <f t="shared" si="59"/>
        <v>3.5782400387827435E-4</v>
      </c>
      <c r="F1153" s="2">
        <f t="shared" si="59"/>
        <v>8.7978285715263019E-4</v>
      </c>
      <c r="G1153" s="2">
        <f t="shared" si="59"/>
        <v>5.4653132675470712E-4</v>
      </c>
      <c r="H1153" s="2">
        <f t="shared" si="59"/>
        <v>1.0497435584282184E-4</v>
      </c>
      <c r="I1153" s="2">
        <f t="shared" si="59"/>
        <v>2.6450849809057209E-4</v>
      </c>
      <c r="J1153" s="2">
        <f t="shared" si="59"/>
        <v>3.2442760700863472E-4</v>
      </c>
      <c r="K1153" s="2">
        <f t="shared" si="59"/>
        <v>4.329245530563648E-5</v>
      </c>
      <c r="L1153" s="2">
        <f>(1/COUNT(D1153:K1153))*SQRT(SUMSQ(D1153:K1153))</f>
        <v>1.4762811104798991E-4</v>
      </c>
    </row>
    <row r="1154" spans="2:14" x14ac:dyDescent="0.55000000000000004">
      <c r="C1154" s="2" t="s">
        <v>28</v>
      </c>
      <c r="D1154" s="2">
        <f t="shared" ref="D1154:K1154" si="60">AVERAGE(D10,D98,D186,D274,D362,D450,D538,D626,D714,D802,D890,D978,D1066)</f>
        <v>2.1871783076923075</v>
      </c>
      <c r="E1154" s="2">
        <f t="shared" si="60"/>
        <v>2.5647832307692306</v>
      </c>
      <c r="F1154" s="2">
        <f t="shared" si="60"/>
        <v>3.1830896153846151</v>
      </c>
      <c r="G1154" s="2">
        <f t="shared" si="60"/>
        <v>3.3589082307692308</v>
      </c>
      <c r="H1154" s="2">
        <f t="shared" si="60"/>
        <v>1.7222014615384611</v>
      </c>
      <c r="I1154" s="2">
        <f t="shared" si="60"/>
        <v>2.9708857692307697</v>
      </c>
      <c r="J1154" s="2">
        <f t="shared" si="60"/>
        <v>3.1220293846153848</v>
      </c>
      <c r="K1154" s="2">
        <f t="shared" si="60"/>
        <v>2.7055094615384614</v>
      </c>
      <c r="L1154" s="2">
        <f>AVERAGE(D1154:K1154)</f>
        <v>2.7268231826923075</v>
      </c>
      <c r="M1154" s="2">
        <f xml:space="preserve"> _xlfn.STDEV.S(D1154:K1154) / SQRT(COUNT(D1154:K1154))</f>
        <v>0.19597091931890473</v>
      </c>
      <c r="N1154" s="2">
        <f>M1154*$N$2</f>
        <v>0.2193226432491206</v>
      </c>
    </row>
    <row r="1155" spans="2:14" x14ac:dyDescent="0.55000000000000004">
      <c r="C1155" s="2" t="s">
        <v>29</v>
      </c>
      <c r="D1155" s="2">
        <f t="shared" ref="D1155:K1155" si="61">(1/COUNT(D11,D99,D187,D275,D363,D451,D539,D627,D715,D803,D891,D979,D1067))*SQRT(SUMSQ(D11,D99,D187,D275,D363,D451,D539,D627,D715,D803,D891,D979,D1067))</f>
        <v>9.5298132009484005E-4</v>
      </c>
      <c r="E1155" s="2">
        <f t="shared" si="61"/>
        <v>2.2087842528729796E-3</v>
      </c>
      <c r="F1155" s="2">
        <f t="shared" si="61"/>
        <v>1.1700236534806216E-2</v>
      </c>
      <c r="G1155" s="2">
        <f t="shared" si="61"/>
        <v>7.7701256704709254E-3</v>
      </c>
      <c r="H1155" s="2">
        <f t="shared" si="61"/>
        <v>9.8525743789880187E-4</v>
      </c>
      <c r="I1155" s="2">
        <f t="shared" si="61"/>
        <v>4.0642721321900981E-3</v>
      </c>
      <c r="J1155" s="2">
        <f t="shared" si="61"/>
        <v>3.3064392492340969E-3</v>
      </c>
      <c r="K1155" s="2">
        <f t="shared" si="61"/>
        <v>6.7625967492450281E-4</v>
      </c>
      <c r="L1155" s="2">
        <f>(1/COUNT(D1155:K1155))*SQRT(SUMSQ(D1155:K1155))</f>
        <v>1.9036814540259529E-3</v>
      </c>
    </row>
    <row r="1156" spans="2:14" x14ac:dyDescent="0.55000000000000004">
      <c r="C1156" s="2" t="s">
        <v>30</v>
      </c>
      <c r="D1156" s="2">
        <f t="shared" ref="D1156:K1156" si="62">AVERAGE(D12,D100,D188,D276,D364,D452,D540,D628,D716,D804,D892,D980,D1068)</f>
        <v>15.536259384615384</v>
      </c>
      <c r="E1156" s="2">
        <f t="shared" si="62"/>
        <v>19.864365538461541</v>
      </c>
      <c r="F1156" s="2">
        <f t="shared" si="62"/>
        <v>21.746186846153844</v>
      </c>
      <c r="G1156" s="2">
        <f t="shared" si="62"/>
        <v>35.08106161538462</v>
      </c>
      <c r="H1156" s="2">
        <f t="shared" si="62"/>
        <v>12.384643692307693</v>
      </c>
      <c r="I1156" s="2">
        <f t="shared" si="62"/>
        <v>17.788220615384617</v>
      </c>
      <c r="J1156" s="2">
        <f t="shared" si="62"/>
        <v>23.95704946153846</v>
      </c>
      <c r="K1156" s="2">
        <f t="shared" si="62"/>
        <v>33.648921153846153</v>
      </c>
      <c r="L1156" s="2">
        <f>AVERAGE(D1156:K1156)</f>
        <v>22.500838538461537</v>
      </c>
      <c r="M1156" s="2">
        <f xml:space="preserve"> _xlfn.STDEV.S(D1156:K1156) / SQRT(COUNT(D1156:K1156))</f>
        <v>2.8823177882501927</v>
      </c>
      <c r="N1156" s="2">
        <f>M1156*$N$2</f>
        <v>3.22577226355854</v>
      </c>
    </row>
    <row r="1157" spans="2:14" x14ac:dyDescent="0.55000000000000004">
      <c r="C1157" s="2" t="s">
        <v>31</v>
      </c>
      <c r="D1157" s="2">
        <f t="shared" ref="D1157:K1157" si="63">(1/COUNT(D13,D101,D189,D277,D365,D453,D541,D629,D717,D805,D893,D981,D1069))*SQRT(SUMSQ(D13,D101,D189,D277,D365,D453,D541,D629,D717,D805,D893,D981,D1069))</f>
        <v>3.2424959868675358E-3</v>
      </c>
      <c r="E1157" s="2">
        <f t="shared" si="63"/>
        <v>1.3102627090119062E-2</v>
      </c>
      <c r="F1157" s="2">
        <f t="shared" si="63"/>
        <v>2.7753183862983082E-2</v>
      </c>
      <c r="G1157" s="2">
        <f t="shared" si="63"/>
        <v>3.0383083505201112E-2</v>
      </c>
      <c r="H1157" s="2">
        <f t="shared" si="63"/>
        <v>8.9632264791848128E-3</v>
      </c>
      <c r="I1157" s="2">
        <f t="shared" si="63"/>
        <v>1.1014166272062495E-2</v>
      </c>
      <c r="J1157" s="2">
        <f t="shared" si="63"/>
        <v>2.4775178381244507E-2</v>
      </c>
      <c r="K1157" s="2">
        <f t="shared" si="63"/>
        <v>6.7364701469163998E-2</v>
      </c>
      <c r="L1157" s="2">
        <f>(1/COUNT(D1157:K1157))*SQRT(SUMSQ(D1157:K1157))</f>
        <v>1.0627960874314928E-2</v>
      </c>
    </row>
    <row r="1158" spans="2:14" x14ac:dyDescent="0.55000000000000004">
      <c r="B1158" s="2" t="s">
        <v>32</v>
      </c>
      <c r="C1158" s="2" t="s">
        <v>22</v>
      </c>
      <c r="D1158" s="2">
        <f>AVERAGE(D14,D102,D190,D278,D366,D454,D542,D630,D718,D806,D894,D982,D1070)</f>
        <v>0.95088376923076923</v>
      </c>
      <c r="E1158" s="2">
        <f t="shared" ref="E1158:K1158" si="64">AVERAGE(E14,E102,E190,E278,E366,E454,E542,E630,E718,E806,E894,E982,E1070)</f>
        <v>0.93980676923076945</v>
      </c>
      <c r="F1158" s="2">
        <f t="shared" si="64"/>
        <v>0.93145830769230764</v>
      </c>
      <c r="G1158" s="2">
        <f t="shared" si="64"/>
        <v>0.92252115384615385</v>
      </c>
      <c r="H1158" s="2">
        <f t="shared" si="64"/>
        <v>0.95091392307692302</v>
      </c>
      <c r="I1158" s="2">
        <f t="shared" si="64"/>
        <v>0.93587784615384606</v>
      </c>
      <c r="J1158" s="2">
        <f t="shared" si="64"/>
        <v>0.95112599999999992</v>
      </c>
      <c r="K1158" s="2">
        <f t="shared" si="64"/>
        <v>0.93216553846153849</v>
      </c>
      <c r="L1158" s="2">
        <f>AVERAGE(D1158:K1158)</f>
        <v>0.93934416346153859</v>
      </c>
      <c r="M1158" s="2">
        <f xml:space="preserve"> _xlfn.STDEV.S(D1158:K1158) / SQRT(COUNT(D1158:K1158))</f>
        <v>3.8144366310403671E-3</v>
      </c>
      <c r="N1158" s="2">
        <f>M1158*$N$2</f>
        <v>4.2689615751847947E-3</v>
      </c>
    </row>
    <row r="1159" spans="2:14" x14ac:dyDescent="0.55000000000000004">
      <c r="C1159" s="2" t="s">
        <v>23</v>
      </c>
      <c r="D1159" s="2">
        <f>(1/COUNT(D15,D103,D191,D279,D367,D455,D543,D631,D719,D807,D895,D983,D1071))*SQRT(SUMSQ(D15,D103,D191,D279,D367,D455,D543,D631,D719,D807,D895,D983,D1071))</f>
        <v>1.3430304424065634E-4</v>
      </c>
      <c r="E1159" s="2">
        <f t="shared" ref="E1159:K1159" si="65">(1/COUNT(E15,E103,E191,E279,E367,E455,E543,E631,E719,E807,E895,E983,E1071))*SQRT(SUMSQ(E15,E103,E191,E279,E367,E455,E543,E631,E719,E807,E895,E983,E1071))</f>
        <v>4.8403836221385857E-4</v>
      </c>
      <c r="F1159" s="2">
        <f t="shared" si="65"/>
        <v>1.7840839726038053E-4</v>
      </c>
      <c r="G1159" s="2">
        <f t="shared" si="65"/>
        <v>3.5098808961737498E-4</v>
      </c>
      <c r="H1159" s="2">
        <f t="shared" si="65"/>
        <v>5.325744107245295E-5</v>
      </c>
      <c r="I1159" s="2">
        <f t="shared" si="65"/>
        <v>1.7899254554574819E-4</v>
      </c>
      <c r="J1159" s="2">
        <f t="shared" si="65"/>
        <v>3.0252501485891151E-4</v>
      </c>
      <c r="K1159" s="2">
        <f t="shared" si="65"/>
        <v>3.5502395952149418E-5</v>
      </c>
      <c r="L1159" s="2">
        <f>(1/COUNT(D1159:K1159))*SQRT(SUMSQ(D1159:K1159))</f>
        <v>9.1430397893827787E-5</v>
      </c>
    </row>
    <row r="1160" spans="2:14" x14ac:dyDescent="0.55000000000000004">
      <c r="C1160" s="2" t="s">
        <v>24</v>
      </c>
      <c r="D1160" s="2">
        <f>AVERAGE(D16,D104,D192,D280,D368,D456,D544,D632,D720,D808,D896,D984,D1072)</f>
        <v>0.30740423076923079</v>
      </c>
      <c r="E1160" s="2">
        <f t="shared" ref="E1160:K1160" si="66">AVERAGE(E16,E104,E192,E280,E368,E456,E544,E632,E720,E808,E896,E984,E1072)</f>
        <v>0.3374068461538462</v>
      </c>
      <c r="F1160" s="2">
        <f t="shared" si="66"/>
        <v>0.36250776923076927</v>
      </c>
      <c r="G1160" s="2">
        <f t="shared" si="66"/>
        <v>0.38605115384615385</v>
      </c>
      <c r="H1160" s="2">
        <f t="shared" si="66"/>
        <v>0.30795507692307689</v>
      </c>
      <c r="I1160" s="2">
        <f t="shared" si="66"/>
        <v>0.35220123076923077</v>
      </c>
      <c r="J1160" s="2">
        <f t="shared" si="66"/>
        <v>0.30381746153846156</v>
      </c>
      <c r="K1160" s="2">
        <f t="shared" si="66"/>
        <v>0.36096423076923079</v>
      </c>
      <c r="L1160" s="2">
        <f>AVERAGE(D1160:K1160)</f>
        <v>0.33978850000000005</v>
      </c>
      <c r="M1160" s="2">
        <f xml:space="preserve"> _xlfn.STDEV.S(D1160:K1160) / SQRT(COUNT(D1160:K1160))</f>
        <v>1.0873116746196369E-2</v>
      </c>
      <c r="N1160" s="2">
        <f>M1160*$N$2</f>
        <v>1.2168747860244479E-2</v>
      </c>
    </row>
    <row r="1161" spans="2:14" x14ac:dyDescent="0.55000000000000004">
      <c r="C1161" s="2" t="s">
        <v>25</v>
      </c>
      <c r="D1161" s="2">
        <f>(1/COUNT(D17,D105,D193,D281,D369,D457,D545,D633,D721,D809,D897,D985,D1073))*SQRT(SUMSQ(D17,D105,D193,D281,D369,D457,D545,D633,D721,D809,D897,D985,D1073))</f>
        <v>3.5396829831641386E-4</v>
      </c>
      <c r="E1161" s="2">
        <f t="shared" ref="E1161:K1161" si="67">(1/COUNT(E17,E105,E193,E281,E369,E457,E545,E633,E721,E809,E897,E985,E1073))*SQRT(SUMSQ(E17,E105,E193,E281,E369,E457,E545,E633,E721,E809,E897,E985,E1073))</f>
        <v>1.2384444504315618E-3</v>
      </c>
      <c r="F1161" s="2">
        <f t="shared" si="67"/>
        <v>4.2312687816964048E-4</v>
      </c>
      <c r="G1161" s="2">
        <f t="shared" si="67"/>
        <v>7.9101320690057027E-4</v>
      </c>
      <c r="H1161" s="2">
        <f t="shared" si="67"/>
        <v>1.5715619938747933E-4</v>
      </c>
      <c r="I1161" s="2">
        <f t="shared" si="67"/>
        <v>4.6090830699350749E-4</v>
      </c>
      <c r="J1161" s="2">
        <f t="shared" si="67"/>
        <v>8.2065855356442958E-4</v>
      </c>
      <c r="K1161" s="2">
        <f t="shared" si="67"/>
        <v>9.389103592579504E-5</v>
      </c>
      <c r="L1161" s="2">
        <f>(1/COUNT(D1161:K1161))*SQRT(SUMSQ(D1161:K1161))</f>
        <v>2.2991870126218256E-4</v>
      </c>
    </row>
    <row r="1162" spans="2:14" x14ac:dyDescent="0.55000000000000004">
      <c r="C1162" s="2" t="s">
        <v>26</v>
      </c>
      <c r="D1162" s="2">
        <f>AVERAGE(D18,D106,D194,D282,D370,D458,D546,D634,D722,D810,D898,D986,D1074)</f>
        <v>0.64733461538461534</v>
      </c>
      <c r="E1162" s="2">
        <f t="shared" ref="E1162:K1162" si="68">AVERAGE(E18,E106,E194,E282,E370,E458,E546,E634,E722,E810,E898,E986,E1074)</f>
        <v>0.748</v>
      </c>
      <c r="F1162" s="2">
        <f t="shared" si="68"/>
        <v>0.59190153846153859</v>
      </c>
      <c r="G1162" s="2">
        <f t="shared" si="68"/>
        <v>0.70380815384615381</v>
      </c>
      <c r="H1162" s="2">
        <f t="shared" si="68"/>
        <v>0.64025923076923064</v>
      </c>
      <c r="I1162" s="2">
        <f t="shared" si="68"/>
        <v>0.63676730769230772</v>
      </c>
      <c r="J1162" s="2">
        <f t="shared" si="68"/>
        <v>0.71511215384615379</v>
      </c>
      <c r="K1162" s="2">
        <f t="shared" si="68"/>
        <v>0.56029476923076915</v>
      </c>
      <c r="L1162" s="2">
        <f>AVERAGE(D1162:K1162)</f>
        <v>0.65543472115384627</v>
      </c>
      <c r="M1162" s="2">
        <f xml:space="preserve"> _xlfn.STDEV.S(D1162:K1162) / SQRT(COUNT(D1162:K1162))</f>
        <v>2.2441261070856169E-2</v>
      </c>
      <c r="N1162" s="2">
        <f>M1162*$N$2</f>
        <v>2.51153421793892E-2</v>
      </c>
    </row>
    <row r="1163" spans="2:14" x14ac:dyDescent="0.55000000000000004">
      <c r="C1163" s="2" t="s">
        <v>27</v>
      </c>
      <c r="D1163" s="2">
        <f>(1/COUNT(D19,D107,D195,D283,D371,D459,D547,D635,D723,D811,D899,D987,D1075))*SQRT(SUMSQ(D19,D107,D195,D283,D371,D459,D547,D635,D723,D811,D899,D987,D1075))</f>
        <v>3.3764411781616753E-4</v>
      </c>
      <c r="E1163" s="2">
        <f t="shared" ref="E1163:K1163" si="69">(1/COUNT(E19,E107,E195,E283,E371,E459,E547,E635,E723,E811,E899,E987,E1075))*SQRT(SUMSQ(E19,E107,E195,E283,E371,E459,E547,E635,E723,E811,E899,E987,E1075))</f>
        <v>9.468117818742319E-4</v>
      </c>
      <c r="F1163" s="2">
        <f t="shared" si="69"/>
        <v>1.6686517960821088E-4</v>
      </c>
      <c r="G1163" s="2">
        <f t="shared" si="69"/>
        <v>9.4429156000456669E-4</v>
      </c>
      <c r="H1163" s="2">
        <f t="shared" si="69"/>
        <v>1.2454725107957738E-4</v>
      </c>
      <c r="I1163" s="2">
        <f t="shared" si="69"/>
        <v>3.593294297065778E-4</v>
      </c>
      <c r="J1163" s="2">
        <f t="shared" si="69"/>
        <v>6.1761017271721411E-4</v>
      </c>
      <c r="K1163" s="2">
        <f t="shared" si="69"/>
        <v>6.3028452295900203E-5</v>
      </c>
      <c r="L1163" s="2">
        <f>(1/COUNT(D1163:K1163))*SQRT(SUMSQ(D1163:K1163))</f>
        <v>1.960560828205714E-4</v>
      </c>
    </row>
    <row r="1164" spans="2:14" ht="14.5" customHeight="1" x14ac:dyDescent="0.55000000000000004">
      <c r="C1164" s="2" t="s">
        <v>28</v>
      </c>
      <c r="D1164" s="2">
        <f>AVERAGE(D20,D108,D196,D284,D372,D460,D548,D636,D724,D812,D900,D988,D1076)</f>
        <v>2.4035684615384616</v>
      </c>
      <c r="E1164" s="2">
        <f t="shared" ref="E1164:K1164" si="70">AVERAGE(E20,E108,E196,E284,E372,E460,E548,E636,E724,E812,E900,E988,E1076)</f>
        <v>2.7404030769230774</v>
      </c>
      <c r="F1164" s="2">
        <f t="shared" si="70"/>
        <v>3.1964802307692306</v>
      </c>
      <c r="G1164" s="2">
        <f t="shared" si="70"/>
        <v>3.4425961538461536</v>
      </c>
      <c r="H1164" s="2">
        <f t="shared" si="70"/>
        <v>1.7866706153846152</v>
      </c>
      <c r="I1164" s="2">
        <f t="shared" si="70"/>
        <v>3.1132443846153843</v>
      </c>
      <c r="J1164" s="2">
        <f t="shared" si="70"/>
        <v>3.1503163846153845</v>
      </c>
      <c r="K1164" s="2">
        <f t="shared" si="70"/>
        <v>2.7554763846153847</v>
      </c>
      <c r="L1164" s="2">
        <f>AVERAGE(D1164:K1164)</f>
        <v>2.8235944615384612</v>
      </c>
      <c r="M1164" s="2">
        <f xml:space="preserve"> _xlfn.STDEV.S(D1164:K1164) / SQRT(COUNT(D1164:K1164))</f>
        <v>0.18784705819251407</v>
      </c>
      <c r="N1164" s="2">
        <f>M1164*$N$2</f>
        <v>0.21023074991198046</v>
      </c>
    </row>
    <row r="1165" spans="2:14" x14ac:dyDescent="0.55000000000000004">
      <c r="C1165" s="2" t="s">
        <v>29</v>
      </c>
      <c r="D1165" s="2">
        <f>(1/COUNT(D21,D109,D197,D285,D373,D461,D549,D637,D725,D813,D901,D989,D1077))*SQRT(SUMSQ(D21,D109,D197,D285,D373,D461,D549,D637,D725,D813,D901,D989,D1077))</f>
        <v>8.0973303486487416E-3</v>
      </c>
      <c r="E1165" s="2">
        <f t="shared" ref="E1165:K1165" si="71">(1/COUNT(E21,E109,E197,E285,E373,E461,E549,E637,E725,E813,E901,E989,E1077))*SQRT(SUMSQ(E21,E109,E197,E285,E373,E461,E549,E637,E725,E813,E901,E989,E1077))</f>
        <v>8.3444121213472906E-3</v>
      </c>
      <c r="F1165" s="2">
        <f t="shared" si="71"/>
        <v>2.1065561058796738E-3</v>
      </c>
      <c r="G1165" s="2">
        <f t="shared" si="71"/>
        <v>1.2714828231347161E-2</v>
      </c>
      <c r="H1165" s="2">
        <f t="shared" si="71"/>
        <v>1.1275449688614347E-3</v>
      </c>
      <c r="I1165" s="2">
        <f t="shared" si="71"/>
        <v>7.5143024352735104E-3</v>
      </c>
      <c r="J1165" s="2">
        <f t="shared" si="71"/>
        <v>7.5286289769246409E-3</v>
      </c>
      <c r="K1165" s="2">
        <f t="shared" si="71"/>
        <v>1.0083819337237034E-3</v>
      </c>
      <c r="L1165" s="2">
        <f>(1/COUNT(D1165:K1165))*SQRT(SUMSQ(D1165:K1165))</f>
        <v>2.5517567329560223E-3</v>
      </c>
    </row>
    <row r="1166" spans="2:14" x14ac:dyDescent="0.55000000000000004">
      <c r="C1166" s="2" t="s">
        <v>30</v>
      </c>
      <c r="D1166" s="2">
        <f>AVERAGE(D22,D110,D198,D286,D374,D462,D550,D638,D726,D814,D902,D990,D1078)</f>
        <v>16.751965384615382</v>
      </c>
      <c r="E1166" s="2">
        <f t="shared" ref="E1166:K1166" si="72">AVERAGE(E22,E110,E198,E286,E374,E462,E550,E638,E726,E814,E902,E990,E1078)</f>
        <v>20.173716846153848</v>
      </c>
      <c r="F1166" s="2">
        <f t="shared" si="72"/>
        <v>21.850175384615383</v>
      </c>
      <c r="G1166" s="2">
        <f t="shared" si="72"/>
        <v>35.706277846153846</v>
      </c>
      <c r="H1166" s="2">
        <f t="shared" si="72"/>
        <v>12.920027230769229</v>
      </c>
      <c r="I1166" s="2">
        <f t="shared" si="72"/>
        <v>18.606807</v>
      </c>
      <c r="J1166" s="2">
        <f t="shared" si="72"/>
        <v>25.207583153846148</v>
      </c>
      <c r="K1166" s="2">
        <f t="shared" si="72"/>
        <v>38.595187692307697</v>
      </c>
      <c r="L1166" s="2">
        <f>AVERAGE(D1166:K1166)</f>
        <v>23.72646756730769</v>
      </c>
      <c r="M1166" s="2">
        <f xml:space="preserve"> _xlfn.STDEV.S(D1166:K1166) / SQRT(COUNT(D1166:K1166))</f>
        <v>3.2031364753464078</v>
      </c>
      <c r="N1166" s="2">
        <f>M1166*$N$2</f>
        <v>3.5848194257711774</v>
      </c>
    </row>
    <row r="1167" spans="2:14" x14ac:dyDescent="0.55000000000000004">
      <c r="C1167" s="2" t="s">
        <v>31</v>
      </c>
      <c r="D1167" s="2">
        <f>(1/COUNT(D23,D111,D199,D287,D375,D463,D551,D639,D727,D815,D903,D991,D1079))*SQRT(SUMSQ(D23,D111,D199,D287,D375,D463,D551,D639,D727,D815,D903,D991,D1079))</f>
        <v>1.7698753975464592E-2</v>
      </c>
      <c r="E1167" s="2">
        <f t="shared" ref="E1167:K1167" si="73">(1/COUNT(E23,E111,E199,E287,E375,E463,E551,E639,E727,E815,E903,E991,E1079))*SQRT(SUMSQ(E23,E111,E199,E287,E375,E463,E551,E639,E727,E815,E903,E991,E1079))</f>
        <v>4.016555141296696E-2</v>
      </c>
      <c r="F1167" s="2">
        <f t="shared" si="73"/>
        <v>6.8094866401054903E-3</v>
      </c>
      <c r="G1167" s="2">
        <f t="shared" si="73"/>
        <v>4.3541917335465606E-2</v>
      </c>
      <c r="H1167" s="2">
        <f t="shared" si="73"/>
        <v>9.7703971435758579E-3</v>
      </c>
      <c r="I1167" s="2">
        <f t="shared" si="73"/>
        <v>2.3815603232697637E-2</v>
      </c>
      <c r="J1167" s="2">
        <f t="shared" si="73"/>
        <v>6.2537321460797504E-2</v>
      </c>
      <c r="K1167" s="2">
        <f t="shared" si="73"/>
        <v>6.8980503562440093E-2</v>
      </c>
      <c r="L1167" s="2">
        <f>(1/COUNT(D1167:K1167))*SQRT(SUMSQ(D1167:K1167))</f>
        <v>1.4361763009290405E-2</v>
      </c>
    </row>
    <row r="1168" spans="2:14" x14ac:dyDescent="0.55000000000000004">
      <c r="B1168" s="2" t="s">
        <v>33</v>
      </c>
      <c r="C1168" s="2" t="s">
        <v>22</v>
      </c>
      <c r="D1168" s="2">
        <f>AVERAGE(D24,D112,D200,D288,D376,D464,D552,D640,D728,D816,D904,D992,D1080)</f>
        <v>0.95526353846153866</v>
      </c>
      <c r="E1168" s="2">
        <f t="shared" ref="E1168:K1168" si="74">AVERAGE(E24,E112,E200,E288,E376,E464,E552,E640,E728,E816,E904,E992,E1080)</f>
        <v>0.94912269230769231</v>
      </c>
      <c r="F1168" s="2">
        <f t="shared" si="74"/>
        <v>0.93226607692307695</v>
      </c>
      <c r="G1168" s="2">
        <f t="shared" si="74"/>
        <v>0.92540261538461555</v>
      </c>
      <c r="H1168" s="2">
        <f t="shared" si="74"/>
        <v>0.95389515384615386</v>
      </c>
      <c r="I1168" s="2">
        <f t="shared" si="74"/>
        <v>0.9384673076923078</v>
      </c>
      <c r="J1168" s="2">
        <f t="shared" si="74"/>
        <v>0.94691492307692293</v>
      </c>
      <c r="K1168" s="2">
        <f t="shared" si="74"/>
        <v>0.9324658461538462</v>
      </c>
      <c r="L1168" s="2">
        <f>AVERAGE(D1168:K1168)</f>
        <v>0.94172476923076931</v>
      </c>
      <c r="M1168" s="2">
        <f xml:space="preserve"> _xlfn.STDEV.S(D1168:K1168) / SQRT(COUNT(D1168:K1168))</f>
        <v>3.9308799799455925E-3</v>
      </c>
      <c r="N1168" s="2">
        <f>M1168*$N$2</f>
        <v>4.3992802120490452E-3</v>
      </c>
    </row>
    <row r="1169" spans="2:14" x14ac:dyDescent="0.55000000000000004">
      <c r="C1169" s="2" t="s">
        <v>23</v>
      </c>
      <c r="D1169" s="2">
        <f>(1/COUNT(D25,D113,D201,D289,D377,D465,D553,D641,D729,D817,D905,D993,D1081))*SQRT(SUMSQ(D25,D113,D201,D289,D377,D465,D553,D641,D729,D817,D905,D993,D1081))</f>
        <v>1.3963816300727873E-5</v>
      </c>
      <c r="E1169" s="2">
        <f t="shared" ref="E1169:K1169" si="75">(1/COUNT(E25,E113,E201,E289,E377,E465,E553,E641,E729,E817,E905,E993,E1081))*SQRT(SUMSQ(E25,E113,E201,E289,E377,E465,E553,E641,E729,E817,E905,E993,E1081))</f>
        <v>4.0666925339494841E-5</v>
      </c>
      <c r="F1169" s="2">
        <f t="shared" si="75"/>
        <v>2.8528818607230489E-5</v>
      </c>
      <c r="G1169" s="2">
        <f t="shared" si="75"/>
        <v>4.9146863594571654E-5</v>
      </c>
      <c r="H1169" s="2">
        <f t="shared" si="75"/>
        <v>1.5766603908786698E-5</v>
      </c>
      <c r="I1169" s="2">
        <f t="shared" si="75"/>
        <v>2.1392499929985692E-5</v>
      </c>
      <c r="J1169" s="2">
        <f t="shared" si="75"/>
        <v>5.5907838363976696E-5</v>
      </c>
      <c r="K1169" s="2">
        <f t="shared" si="75"/>
        <v>9.1870760780514568E-6</v>
      </c>
      <c r="L1169" s="2">
        <f>(1/COUNT(D1169:K1169))*SQRT(SUMSQ(D1169:K1169))</f>
        <v>1.1854856786898348E-5</v>
      </c>
    </row>
    <row r="1170" spans="2:14" x14ac:dyDescent="0.55000000000000004">
      <c r="C1170" s="2" t="s">
        <v>24</v>
      </c>
      <c r="D1170" s="2">
        <f>AVERAGE(D26,D114,D202,D290,D378,D466,D554,D642,D730,D818,D906,D994,D1082)</f>
        <v>0.29368061538461537</v>
      </c>
      <c r="E1170" s="2">
        <f t="shared" ref="E1170:K1170" si="76">AVERAGE(E26,E114,E202,E290,E378,E466,E554,E642,E730,E818,E906,E994,E1082)</f>
        <v>0.31171176923076921</v>
      </c>
      <c r="F1170" s="2">
        <f t="shared" si="76"/>
        <v>0.36052038461538466</v>
      </c>
      <c r="G1170" s="2">
        <f t="shared" si="76"/>
        <v>0.3788407692307692</v>
      </c>
      <c r="H1170" s="2">
        <f t="shared" si="76"/>
        <v>0.29916007692307689</v>
      </c>
      <c r="I1170" s="2">
        <f t="shared" si="76"/>
        <v>0.34573276923076918</v>
      </c>
      <c r="J1170" s="2">
        <f t="shared" si="76"/>
        <v>0.31578146153846159</v>
      </c>
      <c r="K1170" s="2">
        <f t="shared" si="76"/>
        <v>0.35982053846153844</v>
      </c>
      <c r="L1170" s="2">
        <f>AVERAGE(D1170:K1170)</f>
        <v>0.33315604807692306</v>
      </c>
      <c r="M1170" s="2">
        <f xml:space="preserve"> _xlfn.STDEV.S(D1170:K1170) / SQRT(COUNT(D1170:K1170))</f>
        <v>1.1323836125230212E-2</v>
      </c>
      <c r="N1170" s="2">
        <f>M1170*$N$2</f>
        <v>1.267317456761957E-2</v>
      </c>
    </row>
    <row r="1171" spans="2:14" x14ac:dyDescent="0.55000000000000004">
      <c r="C1171" s="2" t="s">
        <v>25</v>
      </c>
      <c r="D1171" s="2">
        <f>(1/COUNT(D27,D115,D203,D291,D379,D467,D555,D643,D731,D819,D907,D995,D1083))*SQRT(SUMSQ(D27,D115,D203,D291,D379,D467,D555,D643,D731,D819,D907,D995,D1083))</f>
        <v>4.1422844796149828E-5</v>
      </c>
      <c r="E1171" s="2">
        <f t="shared" ref="E1171:K1171" si="77">(1/COUNT(E27,E115,E203,E291,E379,E467,E555,E643,E731,E819,E907,E995,E1083))*SQRT(SUMSQ(E27,E115,E203,E291,E379,E467,E555,E643,E731,E819,E907,E995,E1083))</f>
        <v>1.2472673088175488E-4</v>
      </c>
      <c r="F1171" s="2">
        <f t="shared" si="77"/>
        <v>7.0155954759134161E-5</v>
      </c>
      <c r="G1171" s="2">
        <f t="shared" si="77"/>
        <v>1.1642990628237694E-4</v>
      </c>
      <c r="H1171" s="2">
        <f t="shared" si="77"/>
        <v>4.8122931831376788E-5</v>
      </c>
      <c r="I1171" s="2">
        <f t="shared" si="77"/>
        <v>5.959369332424085E-5</v>
      </c>
      <c r="J1171" s="2">
        <f t="shared" si="77"/>
        <v>1.5542078786885346E-4</v>
      </c>
      <c r="K1171" s="2">
        <f t="shared" si="77"/>
        <v>2.4021809617056471E-5</v>
      </c>
      <c r="L1171" s="2">
        <f>(1/COUNT(D1171:K1171))*SQRT(SUMSQ(D1171:K1171))</f>
        <v>3.2198186095956129E-5</v>
      </c>
    </row>
    <row r="1172" spans="2:14" x14ac:dyDescent="0.55000000000000004">
      <c r="C1172" s="2" t="s">
        <v>26</v>
      </c>
      <c r="D1172" s="2">
        <f>AVERAGE(D28,D116,D204,D292,D380,D468,D556,D644,D732,D820,D908,D996,D1084)</f>
        <v>0.65618315384615389</v>
      </c>
      <c r="E1172" s="2">
        <f t="shared" ref="E1172:K1172" si="78">AVERAGE(E28,E116,E204,E292,E380,E468,E556,E644,E732,E820,E908,E996,E1084)</f>
        <v>0.76636746153846136</v>
      </c>
      <c r="F1172" s="2">
        <f t="shared" si="78"/>
        <v>0.59250723076923073</v>
      </c>
      <c r="G1172" s="2">
        <f t="shared" si="78"/>
        <v>0.70457284615384619</v>
      </c>
      <c r="H1172" s="2">
        <f t="shared" si="78"/>
        <v>0.64802530769230771</v>
      </c>
      <c r="I1172" s="2">
        <f t="shared" si="78"/>
        <v>0.64098153846153849</v>
      </c>
      <c r="J1172" s="2">
        <f t="shared" si="78"/>
        <v>0.70577592307692316</v>
      </c>
      <c r="K1172" s="2">
        <f t="shared" si="78"/>
        <v>0.56244792307692304</v>
      </c>
      <c r="L1172" s="2">
        <f>AVERAGE(D1172:K1172)</f>
        <v>0.65960767307692314</v>
      </c>
      <c r="M1172" s="2">
        <f xml:space="preserve"> _xlfn.STDEV.S(D1172:K1172) / SQRT(COUNT(D1172:K1172))</f>
        <v>2.314022638439471E-2</v>
      </c>
      <c r="N1172" s="2">
        <f>M1172*$N$2</f>
        <v>2.5897595590443821E-2</v>
      </c>
    </row>
    <row r="1173" spans="2:14" x14ac:dyDescent="0.55000000000000004">
      <c r="C1173" s="2" t="s">
        <v>27</v>
      </c>
      <c r="D1173" s="2">
        <f>(1/COUNT(D29,D117,D205,D293,D381,D469,D557,D645,D733,D821,D909,D997,D1085))*SQRT(SUMSQ(D29,D117,D205,D293,D381,D469,D557,D645,D733,D821,D909,D997,D1085))</f>
        <v>3.958602347341635E-5</v>
      </c>
      <c r="E1173" s="2">
        <f t="shared" ref="E1173:K1173" si="79">(1/COUNT(E29,E117,E205,E293,E381,E469,E557,E645,E733,E821,E909,E997,E1085))*SQRT(SUMSQ(E29,E117,E205,E293,E381,E469,E557,E645,E733,E821,E909,E997,E1085))</f>
        <v>8.7746339629315566E-5</v>
      </c>
      <c r="F1173" s="2">
        <f t="shared" si="79"/>
        <v>2.6658036078713016E-5</v>
      </c>
      <c r="G1173" s="2">
        <f t="shared" si="79"/>
        <v>1.3336172281590411E-4</v>
      </c>
      <c r="H1173" s="2">
        <f t="shared" si="79"/>
        <v>3.7097983166603354E-5</v>
      </c>
      <c r="I1173" s="2">
        <f t="shared" si="79"/>
        <v>5.0726380518162073E-5</v>
      </c>
      <c r="J1173" s="2">
        <f t="shared" si="79"/>
        <v>1.1542122496143261E-4</v>
      </c>
      <c r="K1173" s="2">
        <f t="shared" si="79"/>
        <v>1.7641398326415132E-5</v>
      </c>
      <c r="L1173" s="2">
        <f>(1/COUNT(D1173:K1173))*SQRT(SUMSQ(D1173:K1173))</f>
        <v>2.6618008916307754E-5</v>
      </c>
    </row>
    <row r="1174" spans="2:14" ht="14.5" customHeight="1" x14ac:dyDescent="0.55000000000000004">
      <c r="C1174" s="2" t="s">
        <v>28</v>
      </c>
      <c r="D1174" s="2">
        <f>AVERAGE(D30,D118,D206,D294,D382,D470,D558,D646,D734,D822,D910,D998,D1086)</f>
        <v>2.1896746153846154</v>
      </c>
      <c r="E1174" s="2">
        <f t="shared" ref="E1174:K1174" si="80">AVERAGE(E30,E118,E206,E294,E382,E470,E558,E646,E734,E822,E910,E998,E1086)</f>
        <v>2.5705997692307694</v>
      </c>
      <c r="F1174" s="2">
        <f t="shared" si="80"/>
        <v>3.1684252307692304</v>
      </c>
      <c r="G1174" s="2">
        <f t="shared" si="80"/>
        <v>3.3942889230769233</v>
      </c>
      <c r="H1174" s="2">
        <f t="shared" si="80"/>
        <v>1.7233339999999999</v>
      </c>
      <c r="I1174" s="2">
        <f t="shared" si="80"/>
        <v>2.9416786153846157</v>
      </c>
      <c r="J1174" s="2">
        <f t="shared" si="80"/>
        <v>3.159022615384615</v>
      </c>
      <c r="K1174" s="2">
        <f t="shared" si="80"/>
        <v>2.6821553076923079</v>
      </c>
      <c r="L1174" s="2">
        <f>AVERAGE(D1174:K1174)</f>
        <v>2.7286473846153849</v>
      </c>
      <c r="M1174" s="2">
        <f xml:space="preserve"> _xlfn.STDEV.S(D1174:K1174) / SQRT(COUNT(D1174:K1174))</f>
        <v>0.19799781588984636</v>
      </c>
      <c r="N1174" s="2">
        <f>M1174*$N$2</f>
        <v>0.22159106304873427</v>
      </c>
    </row>
    <row r="1175" spans="2:14" x14ac:dyDescent="0.55000000000000004">
      <c r="C1175" s="2" t="s">
        <v>29</v>
      </c>
      <c r="D1175" s="2">
        <f>(1/COUNT(D31,D119,D207,D295,D383,D471,D559,D647,D735,D823,D911,D999,D1087))*SQRT(SUMSQ(D31,D119,D207,D295,D383,D471,D559,D647,D735,D823,D911,D999,D1087))</f>
        <v>4.8525735866858513E-4</v>
      </c>
      <c r="E1175" s="2">
        <f t="shared" ref="E1175:K1175" si="81">(1/COUNT(E31,E119,E207,E295,E383,E471,E559,E647,E735,E823,E911,E999,E1087))*SQRT(SUMSQ(E31,E119,E207,E295,E383,E471,E559,E647,E735,E823,E911,E999,E1087))</f>
        <v>5.4755268315332219E-4</v>
      </c>
      <c r="F1175" s="2">
        <f t="shared" si="81"/>
        <v>3.1067210972875181E-4</v>
      </c>
      <c r="G1175" s="2">
        <f t="shared" si="81"/>
        <v>1.5837100195539282E-3</v>
      </c>
      <c r="H1175" s="2">
        <f t="shared" si="81"/>
        <v>3.0734485189793834E-4</v>
      </c>
      <c r="I1175" s="2">
        <f t="shared" si="81"/>
        <v>8.1652672552166015E-4</v>
      </c>
      <c r="J1175" s="2">
        <f t="shared" si="81"/>
        <v>1.16891483079684E-3</v>
      </c>
      <c r="K1175" s="2">
        <f t="shared" si="81"/>
        <v>2.3487255766307664E-4</v>
      </c>
      <c r="L1175" s="2">
        <f>(1/COUNT(D1175:K1175))*SQRT(SUMSQ(D1175:K1175))</f>
        <v>2.8838578171892104E-4</v>
      </c>
    </row>
    <row r="1176" spans="2:14" x14ac:dyDescent="0.55000000000000004">
      <c r="C1176" s="2" t="s">
        <v>30</v>
      </c>
      <c r="D1176" s="2">
        <f>AVERAGE(D32,D120,D208,D296,D384,D472,D560,D648,D736,D824,D912,D1000,D1088)</f>
        <v>15.544258923076921</v>
      </c>
      <c r="E1176" s="2">
        <f t="shared" ref="E1176:K1176" si="82">AVERAGE(E32,E120,E208,E296,E384,E472,E560,E648,E736,E824,E912,E1000,E1088)</f>
        <v>19.885527692307694</v>
      </c>
      <c r="F1176" s="2">
        <f t="shared" si="82"/>
        <v>21.702068615384619</v>
      </c>
      <c r="G1176" s="2">
        <f t="shared" si="82"/>
        <v>34.680807769230768</v>
      </c>
      <c r="H1176" s="2">
        <f t="shared" si="82"/>
        <v>12.351187769230766</v>
      </c>
      <c r="I1176" s="2">
        <f t="shared" si="82"/>
        <v>17.744446846153842</v>
      </c>
      <c r="J1176" s="2">
        <f t="shared" si="82"/>
        <v>24.373934307692306</v>
      </c>
      <c r="K1176" s="2">
        <f t="shared" si="82"/>
        <v>31.55422746153846</v>
      </c>
      <c r="L1176" s="2">
        <f>AVERAGE(D1176:K1176)</f>
        <v>22.229557423076923</v>
      </c>
      <c r="M1176" s="2">
        <f xml:space="preserve"> _xlfn.STDEV.S(D1176:K1176) / SQRT(COUNT(D1176:K1176))</f>
        <v>2.7214288476971467</v>
      </c>
      <c r="N1176" s="2">
        <f>M1176*$N$2</f>
        <v>3.0457119370862098</v>
      </c>
    </row>
    <row r="1177" spans="2:14" x14ac:dyDescent="0.55000000000000004">
      <c r="C1177" s="2" t="s">
        <v>31</v>
      </c>
      <c r="D1177" s="2">
        <f>(1/COUNT(D33,D121,D209,D297,D385,D473,D561,D649,D737,D825,D913,D1001,D1089))*SQRT(SUMSQ(D33,D121,D209,D297,D385,D473,D561,D649,D737,D825,D913,D1001,D1089))</f>
        <v>1.4532207649617373E-3</v>
      </c>
      <c r="E1177" s="2">
        <f t="shared" ref="E1177:K1177" si="83">(1/COUNT(E33,E121,E209,E297,E385,E473,E561,E649,E737,E825,E913,E1001,E1089))*SQRT(SUMSQ(E33,E121,E209,E297,E385,E473,E561,E649,E737,E825,E913,E1001,E1089))</f>
        <v>3.3232434110715952E-3</v>
      </c>
      <c r="F1177" s="2">
        <f t="shared" si="83"/>
        <v>1.3667331606953784E-3</v>
      </c>
      <c r="G1177" s="2">
        <f t="shared" si="83"/>
        <v>8.8300458223529096E-3</v>
      </c>
      <c r="H1177" s="2">
        <f t="shared" si="83"/>
        <v>2.7282533817064901E-3</v>
      </c>
      <c r="I1177" s="2">
        <f t="shared" si="83"/>
        <v>2.7167742597974951E-3</v>
      </c>
      <c r="J1177" s="2">
        <f t="shared" si="83"/>
        <v>1.0000681021485044E-2</v>
      </c>
      <c r="K1177" s="2">
        <f t="shared" si="83"/>
        <v>1.6526504561572258E-2</v>
      </c>
      <c r="L1177" s="2">
        <f>(1/COUNT(D1177:K1177))*SQRT(SUMSQ(D1177:K1177))</f>
        <v>2.7413405392281223E-3</v>
      </c>
    </row>
    <row r="1178" spans="2:14" x14ac:dyDescent="0.55000000000000004">
      <c r="B1178" s="2" t="s">
        <v>34</v>
      </c>
      <c r="C1178" s="2" t="s">
        <v>22</v>
      </c>
      <c r="D1178" s="2">
        <f>AVERAGE(D34,D122,D210,D298,D386,D474,D562,D650,D738,D826,D914,D1002,D1090)</f>
        <v>0.94829223076923064</v>
      </c>
      <c r="E1178" s="2">
        <f t="shared" ref="E1178:K1178" si="84">AVERAGE(E34,E122,E210,E298,E386,E474,E562,E650,E738,E826,E914,E1002,E1090)</f>
        <v>0.94434561538461537</v>
      </c>
      <c r="F1178" s="2">
        <f t="shared" si="84"/>
        <v>0.93251453846153842</v>
      </c>
      <c r="G1178" s="2">
        <f t="shared" si="84"/>
        <v>0.92039130769230759</v>
      </c>
      <c r="H1178" s="2">
        <f t="shared" si="84"/>
        <v>0.94991330769230775</v>
      </c>
      <c r="I1178" s="2">
        <f t="shared" si="84"/>
        <v>0.93751361538461531</v>
      </c>
      <c r="J1178" s="2">
        <f t="shared" si="84"/>
        <v>0.95082253846153852</v>
      </c>
      <c r="K1178" s="2">
        <f t="shared" si="84"/>
        <v>0.93199569230769241</v>
      </c>
      <c r="L1178" s="2">
        <f>AVERAGE(D1178:K1178)</f>
        <v>0.93947360576923078</v>
      </c>
      <c r="M1178" s="2">
        <f xml:space="preserve"> _xlfn.STDEV.S(D1178:K1178) / SQRT(COUNT(D1178:K1178))</f>
        <v>3.8069807680286291E-3</v>
      </c>
      <c r="N1178" s="2">
        <f>M1178*$N$2</f>
        <v>4.2606172780353963E-3</v>
      </c>
    </row>
    <row r="1179" spans="2:14" x14ac:dyDescent="0.55000000000000004">
      <c r="C1179" s="2" t="s">
        <v>23</v>
      </c>
      <c r="D1179" s="2">
        <f>(1/COUNT(D35,D123,D211,D299,D387,D475,D563,D651,D739,D827,D915,D1003,D1091))*SQRT(SUMSQ(D35,D123,D211,D299,D387,D475,D563,D651,D739,D827,D915,D1003,D1091))</f>
        <v>4.293130125233726E-4</v>
      </c>
      <c r="E1179" s="2">
        <f t="shared" ref="E1179:K1179" si="85">(1/COUNT(E35,E123,E211,E299,E387,E475,E563,E651,E739,E827,E915,E1003,E1091))*SQRT(SUMSQ(E35,E123,E211,E299,E387,E475,E563,E651,E739,E827,E915,E1003,E1091))</f>
        <v>4.5547091827739095E-4</v>
      </c>
      <c r="F1179" s="2">
        <f t="shared" si="85"/>
        <v>2.3247543612684517E-4</v>
      </c>
      <c r="G1179" s="2">
        <f t="shared" si="85"/>
        <v>4.4286247481315589E-4</v>
      </c>
      <c r="H1179" s="2">
        <f t="shared" si="85"/>
        <v>9.2671239227074423E-5</v>
      </c>
      <c r="I1179" s="2">
        <f t="shared" si="85"/>
        <v>2.5613257014898413E-4</v>
      </c>
      <c r="J1179" s="2">
        <f t="shared" si="85"/>
        <v>6.9315541261358055E-4</v>
      </c>
      <c r="K1179" s="2">
        <f t="shared" si="85"/>
        <v>3.5413951050314668E-5</v>
      </c>
      <c r="L1179" s="2">
        <f>(1/COUNT(D1179:K1179))*SQRT(SUMSQ(D1179:K1179))</f>
        <v>1.3680768014316246E-4</v>
      </c>
    </row>
    <row r="1180" spans="2:14" x14ac:dyDescent="0.55000000000000004">
      <c r="C1180" s="2" t="s">
        <v>24</v>
      </c>
      <c r="D1180" s="2">
        <f>AVERAGE(D36,D124,D212,D300,D388,D476,D564,D652,D740,D828,D916,D1004,D1092)</f>
        <v>0.3147096923076923</v>
      </c>
      <c r="E1180" s="2">
        <f t="shared" ref="E1180:K1180" si="86">AVERAGE(E36,E124,E212,E300,E388,E476,E564,E652,E740,E828,E916,E1004,E1092)</f>
        <v>0.32491753846153848</v>
      </c>
      <c r="F1180" s="2">
        <f t="shared" si="86"/>
        <v>0.36001453846153847</v>
      </c>
      <c r="G1180" s="2">
        <f t="shared" si="86"/>
        <v>0.39067038461538467</v>
      </c>
      <c r="H1180" s="2">
        <f t="shared" si="86"/>
        <v>0.31078330769230778</v>
      </c>
      <c r="I1180" s="2">
        <f t="shared" si="86"/>
        <v>0.34764176923076917</v>
      </c>
      <c r="J1180" s="2">
        <f t="shared" si="86"/>
        <v>0.30454192307692307</v>
      </c>
      <c r="K1180" s="2">
        <f t="shared" si="86"/>
        <v>0.36113715384615386</v>
      </c>
      <c r="L1180" s="2">
        <f>AVERAGE(D1180:K1180)</f>
        <v>0.3393020384615385</v>
      </c>
      <c r="M1180" s="2">
        <f xml:space="preserve"> _xlfn.STDEV.S(D1180:K1180) / SQRT(COUNT(D1180:K1180))</f>
        <v>1.0729897293339431E-2</v>
      </c>
      <c r="N1180" s="2">
        <f>M1180*$N$2</f>
        <v>1.2008462502220717E-2</v>
      </c>
    </row>
    <row r="1181" spans="2:14" x14ac:dyDescent="0.55000000000000004">
      <c r="C1181" s="2" t="s">
        <v>25</v>
      </c>
      <c r="D1181" s="2">
        <f>(1/COUNT(D37,D125,D213,D301,D389,D477,D565,D653,D741,D829,D917,D1005,D1093))*SQRT(SUMSQ(D37,D125,D213,D301,D389,D477,D565,D653,D741,D829,D917,D1005,D1093))</f>
        <v>1.1635768003935973E-3</v>
      </c>
      <c r="E1181" s="2">
        <f t="shared" ref="E1181:K1181" si="87">(1/COUNT(E37,E125,E213,E301,E389,E477,E565,E653,E741,E829,E917,E1005,E1093))*SQRT(SUMSQ(E37,E125,E213,E301,E389,E477,E565,E653,E741,E829,E917,E1005,E1093))</f>
        <v>1.1193744158413828E-3</v>
      </c>
      <c r="F1181" s="2">
        <f t="shared" si="87"/>
        <v>5.4939894537888584E-4</v>
      </c>
      <c r="G1181" s="2">
        <f t="shared" si="87"/>
        <v>9.9092708668411145E-4</v>
      </c>
      <c r="H1181" s="2">
        <f t="shared" si="87"/>
        <v>2.6430775946985807E-4</v>
      </c>
      <c r="I1181" s="2">
        <f t="shared" si="87"/>
        <v>6.4868482331560673E-4</v>
      </c>
      <c r="J1181" s="2">
        <f t="shared" si="87"/>
        <v>1.68537011720057E-3</v>
      </c>
      <c r="K1181" s="2">
        <f t="shared" si="87"/>
        <v>9.3077813091739693E-5</v>
      </c>
      <c r="L1181" s="2">
        <f>(1/COUNT(D1181:K1181))*SQRT(SUMSQ(D1181:K1181))</f>
        <v>3.3611921825914108E-4</v>
      </c>
    </row>
    <row r="1182" spans="2:14" x14ac:dyDescent="0.55000000000000004">
      <c r="C1182" s="2" t="s">
        <v>26</v>
      </c>
      <c r="D1182" s="2">
        <f>AVERAGE(D38,D126,D214,D302,D390,D478,D566,D654,D742,D830,D918,D1006,D1094)</f>
        <v>0.63919638461538475</v>
      </c>
      <c r="E1182" s="2">
        <f t="shared" ref="E1182:K1182" si="88">AVERAGE(E38,E126,E214,E302,E390,E478,E566,E654,E742,E830,E918,E1006,E1094)</f>
        <v>0.75767053846153842</v>
      </c>
      <c r="F1182" s="2">
        <f t="shared" si="88"/>
        <v>0.59257069230769233</v>
      </c>
      <c r="G1182" s="2">
        <f t="shared" si="88"/>
        <v>0.69209169230769241</v>
      </c>
      <c r="H1182" s="2">
        <f t="shared" si="88"/>
        <v>0.63782576923076928</v>
      </c>
      <c r="I1182" s="2">
        <f t="shared" si="88"/>
        <v>0.63950223076923074</v>
      </c>
      <c r="J1182" s="2">
        <f t="shared" si="88"/>
        <v>0.71458192307692303</v>
      </c>
      <c r="K1182" s="2">
        <f t="shared" si="88"/>
        <v>0.56137999999999999</v>
      </c>
      <c r="L1182" s="2">
        <f>AVERAGE(D1182:K1182)</f>
        <v>0.65435240384615379</v>
      </c>
      <c r="M1182" s="2">
        <f xml:space="preserve"> _xlfn.STDEV.S(D1182:K1182) / SQRT(COUNT(D1182:K1182))</f>
        <v>2.2721408953010898E-2</v>
      </c>
      <c r="N1182" s="2">
        <f>M1182*$N$2</f>
        <v>2.5428872238993767E-2</v>
      </c>
    </row>
    <row r="1183" spans="2:14" x14ac:dyDescent="0.55000000000000004">
      <c r="C1183" s="2" t="s">
        <v>27</v>
      </c>
      <c r="D1183" s="2">
        <f>(1/COUNT(D39,D127,D215,D303,D391,D479,D567,D655,D743,D831,D919,D1007,D1095))*SQRT(SUMSQ(D39,D127,D215,D303,D391,D479,D567,D655,D743,D831,D919,D1007,D1095))</f>
        <v>1.1311905232983524E-3</v>
      </c>
      <c r="E1183" s="2">
        <f t="shared" ref="E1183:K1183" si="89">(1/COUNT(E39,E127,E215,E303,E391,E479,E567,E655,E743,E831,E919,E1007,E1095))*SQRT(SUMSQ(E39,E127,E215,E303,E391,E479,E567,E655,E743,E831,E919,E1007,E1095))</f>
        <v>8.3238487129722472E-4</v>
      </c>
      <c r="F1183" s="2">
        <f t="shared" si="89"/>
        <v>2.3969429494584516E-4</v>
      </c>
      <c r="G1183" s="2">
        <f t="shared" si="89"/>
        <v>1.0441887511024978E-3</v>
      </c>
      <c r="H1183" s="2">
        <f t="shared" si="89"/>
        <v>2.1005185327696769E-4</v>
      </c>
      <c r="I1183" s="2">
        <f t="shared" si="89"/>
        <v>4.8872688129162842E-4</v>
      </c>
      <c r="J1183" s="2">
        <f t="shared" si="89"/>
        <v>1.1902669035872364E-3</v>
      </c>
      <c r="K1183" s="2">
        <f t="shared" si="89"/>
        <v>6.3391523148608692E-5</v>
      </c>
      <c r="L1183" s="2">
        <f>(1/COUNT(D1183:K1183))*SQRT(SUMSQ(D1183:K1183))</f>
        <v>2.7454421346648157E-4</v>
      </c>
    </row>
    <row r="1184" spans="2:14" ht="14.5" customHeight="1" x14ac:dyDescent="0.55000000000000004">
      <c r="C1184" s="2" t="s">
        <v>28</v>
      </c>
      <c r="D1184" s="2">
        <f>AVERAGE(D40,D128,D216,D304,D392,D480,D568,D656,D744,D832,D920,D1008,D1096)</f>
        <v>2.4894270000000001</v>
      </c>
      <c r="E1184" s="2">
        <f t="shared" ref="E1184:K1184" si="90">AVERAGE(E40,E128,E216,E304,E392,E480,E568,E656,E744,E832,E920,E1008,E1096)</f>
        <v>2.6807576923076919</v>
      </c>
      <c r="F1184" s="2">
        <f t="shared" si="90"/>
        <v>3.1803009230769232</v>
      </c>
      <c r="G1184" s="2">
        <f t="shared" si="90"/>
        <v>3.5752279230769228</v>
      </c>
      <c r="H1184" s="2">
        <f t="shared" si="90"/>
        <v>1.814523769230769</v>
      </c>
      <c r="I1184" s="2">
        <f t="shared" si="90"/>
        <v>3.0083311538461546</v>
      </c>
      <c r="J1184" s="2">
        <f t="shared" si="90"/>
        <v>3.1614644615384617</v>
      </c>
      <c r="K1184" s="2">
        <f t="shared" si="90"/>
        <v>2.6985994615384614</v>
      </c>
      <c r="L1184" s="2">
        <f>AVERAGE(D1184:K1184)</f>
        <v>2.8260790480769229</v>
      </c>
      <c r="M1184" s="2">
        <f xml:space="preserve"> _xlfn.STDEV.S(D1184:K1184) / SQRT(COUNT(D1184:K1184))</f>
        <v>0.18928174409767878</v>
      </c>
      <c r="N1184" s="2">
        <f>M1184*$N$2</f>
        <v>0.21183639173907695</v>
      </c>
    </row>
    <row r="1185" spans="2:14" x14ac:dyDescent="0.55000000000000004">
      <c r="C1185" s="2" t="s">
        <v>29</v>
      </c>
      <c r="D1185" s="2">
        <f>(1/COUNT(D41,D129,D217,D305,D393,D481,D569,D657,D745,D833,D921,D1009,D1097))*SQRT(SUMSQ(D41,D129,D217,D305,D393,D481,D569,D657,D745,D833,D921,D1009,D1097))</f>
        <v>2.0105225122608532E-2</v>
      </c>
      <c r="E1185" s="2">
        <f t="shared" ref="E1185:K1185" si="91">(1/COUNT(E41,E129,E217,E305,E393,E481,E569,E657,E745,E833,E921,E1009,E1097))*SQRT(SUMSQ(E41,E129,E217,E305,E393,E481,E569,E657,E745,E833,E921,E1009,E1097))</f>
        <v>8.8369108762236335E-3</v>
      </c>
      <c r="F1185" s="2">
        <f t="shared" si="91"/>
        <v>2.9644947203099486E-3</v>
      </c>
      <c r="G1185" s="2">
        <f t="shared" si="91"/>
        <v>1.5734880946746438E-2</v>
      </c>
      <c r="H1185" s="2">
        <f t="shared" si="91"/>
        <v>1.9822508737864686E-3</v>
      </c>
      <c r="I1185" s="2">
        <f t="shared" si="91"/>
        <v>1.2269895849830204E-2</v>
      </c>
      <c r="J1185" s="2">
        <f t="shared" si="91"/>
        <v>2.6474990665860423E-2</v>
      </c>
      <c r="K1185" s="2">
        <f t="shared" si="91"/>
        <v>7.8031399384740176E-4</v>
      </c>
      <c r="L1185" s="2">
        <f>(1/COUNT(D1185:K1185))*SQRT(SUMSQ(D1185:K1185))</f>
        <v>4.9917110383721642E-3</v>
      </c>
    </row>
    <row r="1186" spans="2:14" x14ac:dyDescent="0.55000000000000004">
      <c r="C1186" s="2" t="s">
        <v>30</v>
      </c>
      <c r="D1186" s="2">
        <f>AVERAGE(D42,D130,D218,D306,D394,D482,D570,D658,D746,D834,D922,D1010,D1098)</f>
        <v>16.680413846153844</v>
      </c>
      <c r="E1186" s="2">
        <f t="shared" ref="E1186:K1186" si="92">AVERAGE(E42,E130,E218,E306,E394,E482,E570,E658,E746,E834,E922,E1010,E1098)</f>
        <v>20.550892230769229</v>
      </c>
      <c r="F1186" s="2">
        <f t="shared" si="92"/>
        <v>21.776476230769234</v>
      </c>
      <c r="G1186" s="2">
        <f t="shared" si="92"/>
        <v>35.762385769230768</v>
      </c>
      <c r="H1186" s="2">
        <f t="shared" si="92"/>
        <v>13.045365230769228</v>
      </c>
      <c r="I1186" s="2">
        <f t="shared" si="92"/>
        <v>18.088069846153846</v>
      </c>
      <c r="J1186" s="2">
        <f t="shared" si="92"/>
        <v>25.197224307692313</v>
      </c>
      <c r="K1186" s="2">
        <f t="shared" si="92"/>
        <v>32.485778846153842</v>
      </c>
      <c r="L1186" s="2">
        <f>AVERAGE(D1186:K1186)</f>
        <v>22.948325788461538</v>
      </c>
      <c r="M1186" s="2">
        <f xml:space="preserve"> _xlfn.STDEV.S(D1186:K1186) / SQRT(COUNT(D1186:K1186))</f>
        <v>2.7656019861548273</v>
      </c>
      <c r="N1186" s="2">
        <f>M1186*$N$2</f>
        <v>3.0951487082194937</v>
      </c>
    </row>
    <row r="1187" spans="2:14" x14ac:dyDescent="0.55000000000000004">
      <c r="C1187" s="2" t="s">
        <v>31</v>
      </c>
      <c r="D1187" s="2">
        <f>(1/COUNT(D43,D131,D219,D307,D395,D483,D571,D659,D747,D835,D923,D1011,D1099))*SQRT(SUMSQ(D43,D131,D219,D307,D395,D483,D571,D659,D747,D835,D923,D1011,D1099))</f>
        <v>3.0940913407798355E-2</v>
      </c>
      <c r="E1187" s="2">
        <f t="shared" ref="E1187:K1187" si="93">(1/COUNT(E43,E131,E219,E307,E395,E483,E571,E659,E747,E835,E923,E1011,E1099))*SQRT(SUMSQ(E43,E131,E219,E307,E395,E483,E571,E659,E747,E835,E923,E1011,E1099))</f>
        <v>4.2871766107308473E-2</v>
      </c>
      <c r="F1187" s="2">
        <f t="shared" si="93"/>
        <v>6.579581367863109E-3</v>
      </c>
      <c r="G1187" s="2">
        <f t="shared" si="93"/>
        <v>5.2863207075896493E-2</v>
      </c>
      <c r="H1187" s="2">
        <f t="shared" si="93"/>
        <v>1.589341339421858E-2</v>
      </c>
      <c r="I1187" s="2">
        <f t="shared" si="93"/>
        <v>4.365852059513943E-2</v>
      </c>
      <c r="J1187" s="2">
        <f t="shared" si="93"/>
        <v>0.26060962888196226</v>
      </c>
      <c r="K1187" s="2">
        <f t="shared" si="93"/>
        <v>5.5215650906295738E-2</v>
      </c>
      <c r="L1187" s="2">
        <f>(1/COUNT(D1187:K1187))*SQRT(SUMSQ(D1187:K1187))</f>
        <v>3.507980895977366E-2</v>
      </c>
    </row>
    <row r="1188" spans="2:14" x14ac:dyDescent="0.55000000000000004">
      <c r="B1188" s="2" t="s">
        <v>35</v>
      </c>
      <c r="C1188" s="2" t="s">
        <v>22</v>
      </c>
      <c r="D1188" s="2">
        <f>AVERAGE(D44,D132,D220,D308,D396,D484,D572,D660,D748,D836,D924,D1012,D1100)</f>
        <v>0.94820715384615406</v>
      </c>
      <c r="E1188" s="2">
        <f t="shared" ref="E1188:K1188" si="94">AVERAGE(E44,E132,E220,E308,E396,E484,E572,E660,E748,E836,E924,E1012,E1100)</f>
        <v>0.93622407692307685</v>
      </c>
      <c r="F1188" s="2">
        <f t="shared" si="94"/>
        <v>0.92653415384615379</v>
      </c>
      <c r="G1188" s="2">
        <f t="shared" si="94"/>
        <v>0.9206558461538461</v>
      </c>
      <c r="H1188" s="2">
        <f t="shared" si="94"/>
        <v>0.94865446153846156</v>
      </c>
      <c r="I1188" s="2">
        <f t="shared" si="94"/>
        <v>0.92999999999999983</v>
      </c>
      <c r="J1188" s="2">
        <f t="shared" si="94"/>
        <v>0.94112261538461517</v>
      </c>
      <c r="K1188" s="2">
        <f t="shared" si="94"/>
        <v>0.93036369230769234</v>
      </c>
      <c r="L1188" s="2">
        <f>AVERAGE(D1188:K1188)</f>
        <v>0.93522024999999998</v>
      </c>
      <c r="M1188" s="2">
        <f xml:space="preserve"> _xlfn.STDEV.S(D1188:K1188) / SQRT(COUNT(D1188:K1188))</f>
        <v>3.5941186711848155E-3</v>
      </c>
      <c r="N1188" s="2">
        <f>M1188*$N$2</f>
        <v>4.0223907192705024E-3</v>
      </c>
    </row>
    <row r="1189" spans="2:14" x14ac:dyDescent="0.55000000000000004">
      <c r="C1189" s="2" t="s">
        <v>23</v>
      </c>
      <c r="D1189" s="2">
        <f>(1/COUNT(D45,D133,D221,D309,D397,D485,D573,D661,D749,D837,D925,D1013,D1101))*SQRT(SUMSQ(D45,D133,D221,D309,D397,D485,D573,D661,D749,D837,D925,D1013,D1101))</f>
        <v>6.0314510995998227E-5</v>
      </c>
      <c r="E1189" s="2">
        <f t="shared" ref="E1189:K1189" si="95">(1/COUNT(E45,E133,E221,E309,E397,E485,E573,E661,E749,E837,E925,E1013,E1101))*SQRT(SUMSQ(E45,E133,E221,E309,E397,E485,E573,E661,E749,E837,E925,E1013,E1101))</f>
        <v>1.4327587491047106E-4</v>
      </c>
      <c r="F1189" s="2">
        <f t="shared" si="95"/>
        <v>5.914374226002875E-5</v>
      </c>
      <c r="G1189" s="2">
        <f t="shared" si="95"/>
        <v>8.4571562078668237E-5</v>
      </c>
      <c r="H1189" s="2">
        <f t="shared" si="95"/>
        <v>5.2470560920516277E-5</v>
      </c>
      <c r="I1189" s="2">
        <f t="shared" si="95"/>
        <v>8.5495631225109285E-5</v>
      </c>
      <c r="J1189" s="2">
        <f t="shared" si="95"/>
        <v>1.1216468766846059E-4</v>
      </c>
      <c r="K1189" s="2">
        <f t="shared" si="95"/>
        <v>2.0496644262793432E-5</v>
      </c>
      <c r="L1189" s="2">
        <f>(1/COUNT(D1189:K1189))*SQRT(SUMSQ(D1189:K1189))</f>
        <v>3.0072786763089068E-5</v>
      </c>
    </row>
    <row r="1190" spans="2:14" x14ac:dyDescent="0.55000000000000004">
      <c r="C1190" s="2" t="s">
        <v>24</v>
      </c>
      <c r="D1190" s="2">
        <f>AVERAGE(D46,D134,D222,D310,D398,D486,D574,D662,D750,D838,D926,D1014,D1102)</f>
        <v>0.3128403076923077</v>
      </c>
      <c r="E1190" s="2">
        <f t="shared" ref="E1190:K1190" si="96">AVERAGE(E46,E134,E222,E310,E398,E486,E574,E662,E750,E838,E926,E1014,E1102)</f>
        <v>0.34438061538461545</v>
      </c>
      <c r="F1190" s="2">
        <f t="shared" si="96"/>
        <v>0.37363946153846156</v>
      </c>
      <c r="G1190" s="2">
        <f t="shared" si="96"/>
        <v>0.38999007692307697</v>
      </c>
      <c r="H1190" s="2">
        <f t="shared" si="96"/>
        <v>0.31428899999999999</v>
      </c>
      <c r="I1190" s="2">
        <f t="shared" si="96"/>
        <v>0.36811453846153847</v>
      </c>
      <c r="J1190" s="2">
        <f t="shared" si="96"/>
        <v>0.32998438461538454</v>
      </c>
      <c r="K1190" s="2">
        <f t="shared" si="96"/>
        <v>0.36584530769230766</v>
      </c>
      <c r="L1190" s="2">
        <f>AVERAGE(D1190:K1190)</f>
        <v>0.34988546153846156</v>
      </c>
      <c r="M1190" s="2">
        <f xml:space="preserve"> _xlfn.STDEV.S(D1190:K1190) / SQRT(COUNT(D1190:K1190))</f>
        <v>1.0199313980160229E-2</v>
      </c>
      <c r="N1190" s="2">
        <f>M1190*$N$2</f>
        <v>1.1414655343919996E-2</v>
      </c>
    </row>
    <row r="1191" spans="2:14" x14ac:dyDescent="0.55000000000000004">
      <c r="C1191" s="2" t="s">
        <v>25</v>
      </c>
      <c r="D1191" s="2">
        <f>(1/COUNT(D47,D135,D223,D311,D399,D487,D575,D663,D751,D839,D927,D1015,D1103))*SQRT(SUMSQ(D47,D135,D223,D311,D399,D487,D575,D663,D751,D839,D927,D1015,D1103))</f>
        <v>1.6734309086177297E-4</v>
      </c>
      <c r="E1191" s="2">
        <f t="shared" ref="E1191:K1191" si="97">(1/COUNT(E47,E135,E223,E311,E399,E487,E575,E663,E751,E839,E927,E1015,E1103))*SQRT(SUMSQ(E47,E135,E223,E311,E399,E487,E575,E663,E751,E839,E927,E1015,E1103))</f>
        <v>3.7942765992007757E-4</v>
      </c>
      <c r="F1191" s="2">
        <f t="shared" si="97"/>
        <v>1.3715848389415076E-4</v>
      </c>
      <c r="G1191" s="2">
        <f t="shared" si="97"/>
        <v>2.0201741386068327E-4</v>
      </c>
      <c r="H1191" s="2">
        <f t="shared" si="97"/>
        <v>1.4782490041745995E-4</v>
      </c>
      <c r="I1191" s="2">
        <f t="shared" si="97"/>
        <v>2.1797333043531975E-4</v>
      </c>
      <c r="J1191" s="2">
        <f t="shared" si="97"/>
        <v>3.0559706812621301E-4</v>
      </c>
      <c r="K1191" s="2">
        <f t="shared" si="97"/>
        <v>5.2716670392562801E-5</v>
      </c>
      <c r="L1191" s="2">
        <f>(1/COUNT(D1191:K1191))*SQRT(SUMSQ(D1191:K1191))</f>
        <v>7.8772391035800363E-5</v>
      </c>
    </row>
    <row r="1192" spans="2:14" x14ac:dyDescent="0.55000000000000004">
      <c r="C1192" s="2" t="s">
        <v>26</v>
      </c>
      <c r="D1192" s="2">
        <f>AVERAGE(D48,D136,D224,D312,D400,D488,D576,D664,D752,D840,D928,D1016,D1104)</f>
        <v>0.63899061538461532</v>
      </c>
      <c r="E1192" s="2">
        <f t="shared" ref="E1192:K1192" si="98">AVERAGE(E48,E136,E224,E312,E400,E488,E576,E664,E752,E840,E928,E1016,E1104)</f>
        <v>0.74209669230769215</v>
      </c>
      <c r="F1192" s="2">
        <f t="shared" si="98"/>
        <v>0.58711276923076927</v>
      </c>
      <c r="G1192" s="2">
        <f t="shared" si="98"/>
        <v>0.69078376923076923</v>
      </c>
      <c r="H1192" s="2">
        <f t="shared" si="98"/>
        <v>0.63477046153846151</v>
      </c>
      <c r="I1192" s="2">
        <f t="shared" si="98"/>
        <v>0.62300661538461533</v>
      </c>
      <c r="J1192" s="2">
        <f t="shared" si="98"/>
        <v>0.69445992307692306</v>
      </c>
      <c r="K1192" s="2">
        <f t="shared" si="98"/>
        <v>0.55549899999999997</v>
      </c>
      <c r="L1192" s="2">
        <f>AVERAGE(D1192:K1192)</f>
        <v>0.64583998076923066</v>
      </c>
      <c r="M1192" s="2">
        <f xml:space="preserve"> _xlfn.STDEV.S(D1192:K1192) / SQRT(COUNT(D1192:K1192))</f>
        <v>2.1526721868191614E-2</v>
      </c>
      <c r="N1192" s="2">
        <f>M1192*$N$2</f>
        <v>2.4091827282482839E-2</v>
      </c>
    </row>
    <row r="1193" spans="2:14" x14ac:dyDescent="0.55000000000000004">
      <c r="C1193" s="2" t="s">
        <v>27</v>
      </c>
      <c r="D1193" s="2">
        <f>(1/COUNT(D49,D137,D225,D313,D401,D489,D577,D665,D753,D841,D929,D1017,D1105))*SQRT(SUMSQ(D49,D137,D225,D313,D401,D489,D577,D665,D753,D841,D929,D1017,D1105))</f>
        <v>1.5715832668035891E-4</v>
      </c>
      <c r="E1193" s="2">
        <f t="shared" ref="E1193:K1193" si="99">(1/COUNT(E49,E137,E225,E313,E401,E489,E577,E665,E753,E841,E929,E1017,E1105))*SQRT(SUMSQ(E49,E137,E225,E313,E401,E489,E577,E665,E753,E841,E929,E1017,E1105))</f>
        <v>2.8193292038645144E-4</v>
      </c>
      <c r="F1193" s="2">
        <f t="shared" si="99"/>
        <v>6.1996516412918539E-5</v>
      </c>
      <c r="G1193" s="2">
        <f t="shared" si="99"/>
        <v>2.5077212126696567E-4</v>
      </c>
      <c r="H1193" s="2">
        <f t="shared" si="99"/>
        <v>1.1962426383071879E-4</v>
      </c>
      <c r="I1193" s="2">
        <f t="shared" si="99"/>
        <v>1.6150351270292738E-4</v>
      </c>
      <c r="J1193" s="2">
        <f t="shared" si="99"/>
        <v>2.2728065698915105E-4</v>
      </c>
      <c r="K1193" s="2">
        <f t="shared" si="99"/>
        <v>3.8824365557556061E-5</v>
      </c>
      <c r="L1193" s="2">
        <f>(1/COUNT(D1193:K1193))*SQRT(SUMSQ(D1193:K1193))</f>
        <v>6.4283589664454262E-5</v>
      </c>
    </row>
    <row r="1194" spans="2:14" ht="14.5" customHeight="1" x14ac:dyDescent="0.55000000000000004">
      <c r="C1194" s="2" t="s">
        <v>28</v>
      </c>
      <c r="D1194" s="2">
        <f>AVERAGE(D50,D138,D226,D314,D402,D490,D578,D666,D754,D842,D930,D1018,D1106)</f>
        <v>2.4950416923076921</v>
      </c>
      <c r="E1194" s="2">
        <f t="shared" ref="E1194:K1194" si="100">AVERAGE(E50,E138,E226,E314,E402,E490,E578,E666,E754,E842,E930,E1018,E1106)</f>
        <v>2.7837247692307696</v>
      </c>
      <c r="F1194" s="2">
        <f t="shared" si="100"/>
        <v>3.2379903846153848</v>
      </c>
      <c r="G1194" s="2">
        <f t="shared" si="100"/>
        <v>3.5005354615384618</v>
      </c>
      <c r="H1194" s="2">
        <f t="shared" si="100"/>
        <v>1.8397172307692307</v>
      </c>
      <c r="I1194" s="2">
        <f t="shared" si="100"/>
        <v>3.3247688461538463</v>
      </c>
      <c r="J1194" s="2">
        <f t="shared" si="100"/>
        <v>3.2999010000000002</v>
      </c>
      <c r="K1194" s="2">
        <f t="shared" si="100"/>
        <v>2.850496384615385</v>
      </c>
      <c r="L1194" s="2">
        <f>AVERAGE(D1194:K1194)</f>
        <v>2.9165219711538461</v>
      </c>
      <c r="M1194" s="2">
        <f xml:space="preserve"> _xlfn.STDEV.S(D1194:K1194) / SQRT(COUNT(D1194:K1194))</f>
        <v>0.1944409218851372</v>
      </c>
      <c r="N1194" s="2">
        <f>M1194*$N$2</f>
        <v>0.21761033265475022</v>
      </c>
    </row>
    <row r="1195" spans="2:14" x14ac:dyDescent="0.55000000000000004">
      <c r="C1195" s="2" t="s">
        <v>29</v>
      </c>
      <c r="D1195" s="2">
        <f>(1/COUNT(D51,D139,D227,D315,D403,D491,D579,D667,D755,D843,D931,D1019,D1107))*SQRT(SUMSQ(D51,D139,D227,D315,D403,D491,D579,D667,D755,D843,D931,D1019,D1107))</f>
        <v>2.962291732374161E-3</v>
      </c>
      <c r="E1195" s="2">
        <f t="shared" ref="E1195:K1195" si="101">(1/COUNT(E51,E139,E227,E315,E403,E491,E579,E667,E755,E843,E931,E1019,E1107))*SQRT(SUMSQ(E51,E139,E227,E315,E403,E491,E579,E667,E755,E843,E931,E1019,E1107))</f>
        <v>2.2086401154926337E-3</v>
      </c>
      <c r="F1195" s="2">
        <f t="shared" si="101"/>
        <v>6.9098581065933932E-4</v>
      </c>
      <c r="G1195" s="2">
        <f t="shared" si="101"/>
        <v>2.8490374477528769E-3</v>
      </c>
      <c r="H1195" s="2">
        <f t="shared" si="101"/>
        <v>1.1066038001083321E-3</v>
      </c>
      <c r="I1195" s="2">
        <f t="shared" si="101"/>
        <v>3.5414668374766337E-3</v>
      </c>
      <c r="J1195" s="2">
        <f t="shared" si="101"/>
        <v>2.7882865791265571E-3</v>
      </c>
      <c r="K1195" s="2">
        <f t="shared" si="101"/>
        <v>5.5829574250093876E-4</v>
      </c>
      <c r="L1195" s="2">
        <f>(1/COUNT(D1195:K1195))*SQRT(SUMSQ(D1195:K1195))</f>
        <v>8.3010291861423068E-4</v>
      </c>
    </row>
    <row r="1196" spans="2:14" x14ac:dyDescent="0.55000000000000004">
      <c r="C1196" s="2" t="s">
        <v>30</v>
      </c>
      <c r="D1196" s="2">
        <f>AVERAGE(D52,D140,D228,D316,D404,D492,D580,D668,D756,D844,D932,D1020,D1108)</f>
        <v>16.110008153846152</v>
      </c>
      <c r="E1196" s="2">
        <f t="shared" ref="E1196:K1196" si="102">AVERAGE(E52,E140,E228,E316,E404,E492,E580,E668,E756,E844,E932,E1020,E1108)</f>
        <v>20.422745461538458</v>
      </c>
      <c r="F1196" s="2">
        <f t="shared" si="102"/>
        <v>21.688144000000001</v>
      </c>
      <c r="G1196" s="2">
        <f t="shared" si="102"/>
        <v>33.68519761538461</v>
      </c>
      <c r="H1196" s="2">
        <f t="shared" si="102"/>
        <v>13.293167538461537</v>
      </c>
      <c r="I1196" s="2">
        <f t="shared" si="102"/>
        <v>18.790106923076923</v>
      </c>
      <c r="J1196" s="2">
        <f t="shared" si="102"/>
        <v>25.68123507692308</v>
      </c>
      <c r="K1196" s="2">
        <f t="shared" si="102"/>
        <v>45.144129769230773</v>
      </c>
      <c r="L1196" s="2">
        <f>AVERAGE(D1196:K1196)</f>
        <v>24.35184181730769</v>
      </c>
      <c r="M1196" s="2">
        <f xml:space="preserve"> _xlfn.STDEV.S(D1196:K1196) / SQRT(COUNT(D1196:K1196))</f>
        <v>3.6957652730094512</v>
      </c>
      <c r="N1196" s="2">
        <f>M1196*$N$2</f>
        <v>4.1361494415694562</v>
      </c>
    </row>
    <row r="1197" spans="2:14" x14ac:dyDescent="0.55000000000000004">
      <c r="C1197" s="2" t="s">
        <v>31</v>
      </c>
      <c r="D1197" s="2">
        <f>(1/COUNT(D53,D141,D229,D317,D405,D493,D581,D669,D757,D845,D933,D1021,D1109))*SQRT(SUMSQ(D53,D141,D229,D317,D405,D493,D581,D669,D757,D845,D933,D1021,D1109))</f>
        <v>7.5013755480195805E-3</v>
      </c>
      <c r="E1197" s="2">
        <f t="shared" ref="E1197:K1197" si="103">(1/COUNT(E53,E141,E229,E317,E405,E493,E581,E669,E757,E845,E933,E1021,E1109))*SQRT(SUMSQ(E53,E141,E229,E317,E405,E493,E581,E669,E757,E845,E933,E1021,E1109))</f>
        <v>1.4747612559767692E-2</v>
      </c>
      <c r="F1197" s="2">
        <f t="shared" si="103"/>
        <v>2.6366894576073966E-3</v>
      </c>
      <c r="G1197" s="2">
        <f t="shared" si="103"/>
        <v>2.2428215529820269E-2</v>
      </c>
      <c r="H1197" s="2">
        <f t="shared" si="103"/>
        <v>8.8149062355097358E-3</v>
      </c>
      <c r="I1197" s="2">
        <f t="shared" si="103"/>
        <v>1.1645604935748363E-2</v>
      </c>
      <c r="J1197" s="2">
        <f t="shared" si="103"/>
        <v>2.9694996736445597E-2</v>
      </c>
      <c r="K1197" s="2">
        <f t="shared" si="103"/>
        <v>3.2611216771436323E-2</v>
      </c>
      <c r="L1197" s="2">
        <f>(1/COUNT(D1197:K1197))*SQRT(SUMSQ(D1197:K1197))</f>
        <v>6.780425262318604E-3</v>
      </c>
    </row>
    <row r="1198" spans="2:14" x14ac:dyDescent="0.55000000000000004">
      <c r="B1198" s="2" t="s">
        <v>45</v>
      </c>
      <c r="C1198" s="2" t="s">
        <v>22</v>
      </c>
      <c r="D1198" s="2">
        <f>AVERAGE(D54,D142,D230,D318,D406,D494,D582,D670,D758,D846,D934,D1022,D1110)</f>
        <v>0.94665415384615359</v>
      </c>
      <c r="E1198" s="2">
        <f t="shared" ref="E1198:K1198" si="104">AVERAGE(E54,E142,E230,E318,E406,E494,E582,E670,E758,E846,E934,E1022,E1110)</f>
        <v>0.93075984615384622</v>
      </c>
      <c r="F1198" s="2">
        <f t="shared" si="104"/>
        <v>0.92041684615384622</v>
      </c>
      <c r="G1198" s="2">
        <f t="shared" si="104"/>
        <v>0.93261738461538479</v>
      </c>
      <c r="H1198" s="2">
        <f t="shared" si="104"/>
        <v>0.95128769230769228</v>
      </c>
      <c r="I1198" s="2">
        <f t="shared" si="104"/>
        <v>0.92932330769230775</v>
      </c>
      <c r="J1198" s="2">
        <f t="shared" si="104"/>
        <v>0.94515715384615373</v>
      </c>
      <c r="K1198" s="2">
        <f t="shared" si="104"/>
        <v>0.93101584615384614</v>
      </c>
      <c r="L1198" s="2">
        <f>AVERAGE(D1198:K1198)</f>
        <v>0.93590402884615376</v>
      </c>
      <c r="M1198" s="2">
        <f xml:space="preserve"> _xlfn.STDEV.S(D1198:K1198) / SQRT(COUNT(D1198:K1198))</f>
        <v>3.7372648178121588E-3</v>
      </c>
      <c r="N1198" s="2">
        <f>M1198*$N$2</f>
        <v>4.1825940359582472E-3</v>
      </c>
    </row>
    <row r="1199" spans="2:14" x14ac:dyDescent="0.55000000000000004">
      <c r="C1199" s="2" t="s">
        <v>23</v>
      </c>
      <c r="D1199" s="2">
        <f>(1/COUNT(D55,D143,D231,D319,D407,D495,D583,D671,D759,D847,D935,D1023,D1111))*SQRT(SUMSQ(D55,D143,D231,D319,D407,D495,D583,D671,D759,D847,D935,D1023,D1111))</f>
        <v>2.1797197311830888E-4</v>
      </c>
      <c r="E1199" s="2">
        <f t="shared" ref="E1199:K1199" si="105">(1/COUNT(E55,E143,E231,E319,E407,E495,E583,E671,E759,E847,E935,E1023,E1111))*SQRT(SUMSQ(E55,E143,E231,E319,E407,E495,E583,E671,E759,E847,E935,E1023,E1111))</f>
        <v>5.2383607242078201E-4</v>
      </c>
      <c r="F1199" s="2">
        <f t="shared" si="105"/>
        <v>5.5450811402603492E-4</v>
      </c>
      <c r="G1199" s="2">
        <f t="shared" si="105"/>
        <v>6.3246001347045907E-4</v>
      </c>
      <c r="H1199" s="2">
        <f t="shared" si="105"/>
        <v>1.8414195707396394E-4</v>
      </c>
      <c r="I1199" s="2">
        <f t="shared" si="105"/>
        <v>2.98499303716988E-4</v>
      </c>
      <c r="J1199" s="2">
        <f t="shared" si="105"/>
        <v>2.852009568686904E-4</v>
      </c>
      <c r="K1199" s="2">
        <f t="shared" si="105"/>
        <v>2.1308550385388191E-4</v>
      </c>
      <c r="L1199" s="2">
        <f>(1/COUNT(D1199:K1199))*SQRT(SUMSQ(D1199:K1199))</f>
        <v>1.4137472598448902E-4</v>
      </c>
    </row>
    <row r="1200" spans="2:14" x14ac:dyDescent="0.55000000000000004">
      <c r="C1200" s="2" t="s">
        <v>24</v>
      </c>
      <c r="D1200" s="2">
        <f>AVERAGE(D56,D144,D232,D320,D408,D496,D584,D672,D760,D848,D936,D1024,D1112)</f>
        <v>0.31666223076923072</v>
      </c>
      <c r="E1200" s="2">
        <f t="shared" ref="E1200:K1200" si="106">AVERAGE(E56,E144,E232,E320,E408,E496,E584,E672,E760,E848,E936,E1024,E1112)</f>
        <v>0.35429900000000003</v>
      </c>
      <c r="F1200" s="2">
        <f t="shared" si="106"/>
        <v>0.38810084615384616</v>
      </c>
      <c r="G1200" s="2">
        <f t="shared" si="106"/>
        <v>0.35542246153846158</v>
      </c>
      <c r="H1200" s="2">
        <f t="shared" si="106"/>
        <v>0.30628038461538459</v>
      </c>
      <c r="I1200" s="2">
        <f t="shared" si="106"/>
        <v>0.36711169230769236</v>
      </c>
      <c r="J1200" s="2">
        <f t="shared" si="106"/>
        <v>0.316507076923077</v>
      </c>
      <c r="K1200" s="2">
        <f t="shared" si="106"/>
        <v>0.36306084615384621</v>
      </c>
      <c r="L1200" s="2">
        <f>AVERAGE(D1200:K1200)</f>
        <v>0.34593056730769228</v>
      </c>
      <c r="M1200" s="2">
        <f xml:space="preserve"> _xlfn.STDEV.S(D1200:K1200) / SQRT(COUNT(D1200:K1200))</f>
        <v>1.0329448148605064E-2</v>
      </c>
      <c r="N1200" s="2">
        <f>M1200*$N$2</f>
        <v>1.1560296186446748E-2</v>
      </c>
    </row>
    <row r="1201" spans="2:14" x14ac:dyDescent="0.55000000000000004">
      <c r="C1201" s="2" t="s">
        <v>25</v>
      </c>
      <c r="D1201" s="2">
        <f>(1/COUNT(D57,D145,D233,D321,D409,D497,D585,D673,D761,D849,D937,D1025,D1113))*SQRT(SUMSQ(D57,D145,D233,D321,D409,D497,D585,D673,D761,D849,D937,D1025,D1113))</f>
        <v>6.3357334028097561E-4</v>
      </c>
      <c r="E1201" s="2">
        <f t="shared" ref="E1201:K1201" si="107">(1/COUNT(E57,E145,E233,E321,E409,E497,E585,E673,E761,E849,E937,E1025,E1113))*SQRT(SUMSQ(E57,E145,E233,E321,E409,E497,E585,E673,E761,E849,E937,E1025,E1113))</f>
        <v>1.1799560467192619E-3</v>
      </c>
      <c r="F1201" s="2">
        <f t="shared" si="107"/>
        <v>1.2868991652567273E-3</v>
      </c>
      <c r="G1201" s="2">
        <f t="shared" si="107"/>
        <v>1.4761049496852204E-3</v>
      </c>
      <c r="H1201" s="2">
        <f t="shared" si="107"/>
        <v>5.3509101144809412E-4</v>
      </c>
      <c r="I1201" s="2">
        <f t="shared" si="107"/>
        <v>6.9705905873243394E-4</v>
      </c>
      <c r="J1201" s="2">
        <f t="shared" si="107"/>
        <v>8.0307057910845284E-4</v>
      </c>
      <c r="K1201" s="2">
        <f t="shared" si="107"/>
        <v>5.174802228733855E-4</v>
      </c>
      <c r="L1201" s="2">
        <f>(1/COUNT(D1201:K1201))*SQRT(SUMSQ(D1201:K1201))</f>
        <v>3.3804651565363329E-4</v>
      </c>
    </row>
    <row r="1202" spans="2:14" x14ac:dyDescent="0.55000000000000004">
      <c r="C1202" s="2" t="s">
        <v>26</v>
      </c>
      <c r="D1202" s="2">
        <f>AVERAGE(D58,D146,D234,D322,D410,D498,D586,D674,D762,D850,D938,D1026,D1114)</f>
        <v>0.63560861538461544</v>
      </c>
      <c r="E1202" s="2">
        <f t="shared" ref="E1202:K1202" si="108">AVERAGE(E58,E146,E234,E322,E410,E498,E586,E674,E762,E850,E938,E1026,E1114)</f>
        <v>0.73443599999999998</v>
      </c>
      <c r="F1202" s="2">
        <f t="shared" si="108"/>
        <v>0.58190553846153847</v>
      </c>
      <c r="G1202" s="2">
        <f t="shared" si="108"/>
        <v>0.70576192307692309</v>
      </c>
      <c r="H1202" s="2">
        <f t="shared" si="108"/>
        <v>0.64225676923076924</v>
      </c>
      <c r="I1202" s="2">
        <f t="shared" si="108"/>
        <v>0.62541446153846159</v>
      </c>
      <c r="J1202" s="2">
        <f t="shared" si="108"/>
        <v>0.70619623076923077</v>
      </c>
      <c r="K1202" s="2">
        <f t="shared" si="108"/>
        <v>0.55883438461538459</v>
      </c>
      <c r="L1202" s="2">
        <f>AVERAGE(D1202:K1202)</f>
        <v>0.64880174038461547</v>
      </c>
      <c r="M1202" s="2">
        <f xml:space="preserve"> _xlfn.STDEV.S(D1202:K1202) / SQRT(COUNT(D1202:K1202))</f>
        <v>2.2040912972512351E-2</v>
      </c>
      <c r="N1202" s="2">
        <f>M1202*$N$2</f>
        <v>2.4667288950605604E-2</v>
      </c>
    </row>
    <row r="1203" spans="2:14" x14ac:dyDescent="0.55000000000000004">
      <c r="C1203" s="2" t="s">
        <v>27</v>
      </c>
      <c r="D1203" s="2">
        <f>(1/COUNT(D59,D147,D235,D323,D411,D499,D587,D675,D763,D851,D939,D1027,D1115))*SQRT(SUMSQ(D59,D147,D235,D323,D411,D499,D587,D675,D763,D851,D939,D1027,D1115))</f>
        <v>6.3936326036004353E-4</v>
      </c>
      <c r="E1203" s="2">
        <f t="shared" ref="E1203:K1203" si="109">(1/COUNT(E59,E147,E235,E323,E411,E499,E587,E675,E763,E851,E939,E1027,E1115))*SQRT(SUMSQ(E59,E147,E235,E323,E411,E499,E587,E675,E763,E851,E939,E1027,E1115))</f>
        <v>8.5281216325684326E-4</v>
      </c>
      <c r="F1203" s="2">
        <f t="shared" si="109"/>
        <v>4.4315847940643363E-4</v>
      </c>
      <c r="G1203" s="2">
        <f t="shared" si="109"/>
        <v>1.3597155006116353E-3</v>
      </c>
      <c r="H1203" s="2">
        <f t="shared" si="109"/>
        <v>4.1651468076160393E-4</v>
      </c>
      <c r="I1203" s="2">
        <f t="shared" si="109"/>
        <v>4.9775827645067642E-4</v>
      </c>
      <c r="J1203" s="2">
        <f t="shared" si="109"/>
        <v>5.6622321376878471E-4</v>
      </c>
      <c r="K1203" s="2">
        <f t="shared" si="109"/>
        <v>3.1189451638192106E-4</v>
      </c>
      <c r="L1203" s="2">
        <f>(1/COUNT(D1203:K1203))*SQRT(SUMSQ(D1203:K1203))</f>
        <v>2.5063744804483236E-4</v>
      </c>
    </row>
    <row r="1204" spans="2:14" ht="14.5" customHeight="1" x14ac:dyDescent="0.55000000000000004">
      <c r="C1204" s="2" t="s">
        <v>28</v>
      </c>
      <c r="D1204" s="2">
        <f>AVERAGE(D60,D148,D236,D324,D412,D500,D588,D676,D764,D852,D940,D1028,D1116)</f>
        <v>2.6122916153846152</v>
      </c>
      <c r="E1204" s="2">
        <f t="shared" ref="E1204:K1204" si="110">AVERAGE(E60,E148,E236,E324,E412,E500,E588,E676,E764,E852,E940,E1028,E1116)</f>
        <v>2.8977775384615381</v>
      </c>
      <c r="F1204" s="2">
        <f t="shared" si="110"/>
        <v>3.2995599230769224</v>
      </c>
      <c r="G1204" s="2">
        <f t="shared" si="110"/>
        <v>3.4112111538461538</v>
      </c>
      <c r="H1204" s="2">
        <f t="shared" si="110"/>
        <v>1.7623882307692307</v>
      </c>
      <c r="I1204" s="2">
        <f t="shared" si="110"/>
        <v>3.5195519230769232</v>
      </c>
      <c r="J1204" s="2">
        <f t="shared" si="110"/>
        <v>3.2255704615384619</v>
      </c>
      <c r="K1204" s="2">
        <f t="shared" si="110"/>
        <v>2.7492920769230769</v>
      </c>
      <c r="L1204" s="2">
        <f>AVERAGE(D1204:K1204)</f>
        <v>2.9347053653846151</v>
      </c>
      <c r="M1204" s="2">
        <f xml:space="preserve"> _xlfn.STDEV.S(D1204:K1204) / SQRT(COUNT(D1204:K1204))</f>
        <v>0.20269807143492857</v>
      </c>
      <c r="N1204" s="2">
        <f>M1204*$N$2</f>
        <v>0.22685139694764417</v>
      </c>
    </row>
    <row r="1205" spans="2:14" x14ac:dyDescent="0.55000000000000004">
      <c r="C1205" s="2" t="s">
        <v>29</v>
      </c>
      <c r="D1205" s="2">
        <f>(1/COUNT(D61,D149,D237,D325,D413,D501,D589,D677,D765,D853,D941,D1029,D1117))*SQRT(SUMSQ(D61,D149,D237,D325,D413,D501,D589,D677,D765,D853,D941,D1029,D1117))</f>
        <v>1.0522780024207949E-2</v>
      </c>
      <c r="E1205" s="2">
        <f t="shared" ref="E1205:K1205" si="111">(1/COUNT(E61,E149,E237,E325,E413,E501,E589,E677,E765,E853,E941,E1029,E1117))*SQRT(SUMSQ(E61,E149,E237,E325,E413,E501,E589,E677,E765,E853,E941,E1029,E1117))</f>
        <v>1.3305100929551873E-2</v>
      </c>
      <c r="F1205" s="2">
        <f t="shared" si="111"/>
        <v>7.1804315140394353E-3</v>
      </c>
      <c r="G1205" s="2">
        <f t="shared" si="111"/>
        <v>3.1054721331106205E-2</v>
      </c>
      <c r="H1205" s="2">
        <f t="shared" si="111"/>
        <v>3.5312710243391512E-3</v>
      </c>
      <c r="I1205" s="2">
        <f t="shared" si="111"/>
        <v>2.0763737370942337E-2</v>
      </c>
      <c r="J1205" s="2">
        <f t="shared" si="111"/>
        <v>7.2576963303563925E-3</v>
      </c>
      <c r="K1205" s="2">
        <f t="shared" si="111"/>
        <v>5.8926402547243321E-3</v>
      </c>
      <c r="L1205" s="2">
        <f>(1/COUNT(D1205:K1205))*SQRT(SUMSQ(D1205:K1205))</f>
        <v>5.3541878377408583E-3</v>
      </c>
    </row>
    <row r="1206" spans="2:14" x14ac:dyDescent="0.55000000000000004">
      <c r="C1206" s="2" t="s">
        <v>30</v>
      </c>
      <c r="D1206" s="2">
        <f>AVERAGE(D62,D150,D238,D326,D414,D502,D590,D678,D766,D854,D942,D1030,D1118)</f>
        <v>16.468807307692309</v>
      </c>
      <c r="E1206" s="2">
        <f t="shared" ref="E1206:K1206" si="112">AVERAGE(E62,E150,E238,E326,E414,E502,E590,E678,E766,E854,E942,E1030,E1118)</f>
        <v>20.486826307692311</v>
      </c>
      <c r="F1206" s="2">
        <f t="shared" si="112"/>
        <v>21.848505846153845</v>
      </c>
      <c r="G1206" s="2">
        <f t="shared" si="112"/>
        <v>29.461355461538464</v>
      </c>
      <c r="H1206" s="2">
        <f t="shared" si="112"/>
        <v>12.927516076923077</v>
      </c>
      <c r="I1206" s="2">
        <f t="shared" si="112"/>
        <v>19.648501615384614</v>
      </c>
      <c r="J1206" s="2">
        <f t="shared" si="112"/>
        <v>25.298649076923077</v>
      </c>
      <c r="K1206" s="2">
        <f t="shared" si="112"/>
        <v>38.578704153846154</v>
      </c>
      <c r="L1206" s="2">
        <f>AVERAGE(D1206:K1206)</f>
        <v>23.089858230769234</v>
      </c>
      <c r="M1206" s="2">
        <f xml:space="preserve"> _xlfn.STDEV.S(D1206:K1206) / SQRT(COUNT(D1206:K1206))</f>
        <v>2.8430688325795814</v>
      </c>
      <c r="N1206" s="2">
        <f>M1206*$N$2</f>
        <v>3.1818464365411252</v>
      </c>
    </row>
    <row r="1207" spans="2:14" x14ac:dyDescent="0.55000000000000004">
      <c r="C1207" s="2" t="s">
        <v>31</v>
      </c>
      <c r="D1207" s="2">
        <f>(1/COUNT(D63,D151,D239,D327,D415,D503,D591,D679,D767,D855,D943,D1031,D1119))*SQRT(SUMSQ(D63,D151,D239,D327,D415,D503,D591,D679,D767,D855,D943,D1031,D1119))</f>
        <v>3.6004766984929278E-2</v>
      </c>
      <c r="E1207" s="2">
        <f t="shared" ref="E1207:K1207" si="113">(1/COUNT(E63,E151,E239,E327,E415,E503,E591,E679,E767,E855,E943,E1031,E1119))*SQRT(SUMSQ(E63,E151,E239,E327,E415,E503,E591,E679,E767,E855,E943,E1031,E1119))</f>
        <v>7.8532200307454642E-2</v>
      </c>
      <c r="F1207" s="2">
        <f t="shared" si="113"/>
        <v>2.8460699261536448E-2</v>
      </c>
      <c r="G1207" s="2">
        <f t="shared" si="113"/>
        <v>9.2050005290088541E-2</v>
      </c>
      <c r="H1207" s="2">
        <f t="shared" si="113"/>
        <v>2.2990476456657916E-2</v>
      </c>
      <c r="I1207" s="2">
        <f t="shared" si="113"/>
        <v>7.9591124391364496E-2</v>
      </c>
      <c r="J1207" s="2">
        <f t="shared" si="113"/>
        <v>5.7457300232433478E-2</v>
      </c>
      <c r="K1207" s="2">
        <f t="shared" si="113"/>
        <v>0.27148787623609172</v>
      </c>
      <c r="L1207" s="2">
        <f>(1/COUNT(D1207:K1207))*SQRT(SUMSQ(D1207:K1207))</f>
        <v>3.9650264420205056E-2</v>
      </c>
    </row>
    <row r="1208" spans="2:14" x14ac:dyDescent="0.55000000000000004">
      <c r="B1208" s="2" t="s">
        <v>46</v>
      </c>
      <c r="C1208" s="2" t="s">
        <v>22</v>
      </c>
      <c r="D1208" s="2" t="e">
        <f>AVERAGE(D64,D152,D240,D328,D416,D504,D592,D680,D768,D856,D944,D1032,D1120)</f>
        <v>#DIV/0!</v>
      </c>
      <c r="E1208" s="2" t="e">
        <f t="shared" ref="E1208:K1208" si="114">AVERAGE(E64,E152,E240,E328,E416,E504,E592,E680,E768,E856,E944,E1032,E1120)</f>
        <v>#DIV/0!</v>
      </c>
      <c r="F1208" s="2" t="e">
        <f t="shared" si="114"/>
        <v>#DIV/0!</v>
      </c>
      <c r="G1208" s="2" t="e">
        <f t="shared" si="114"/>
        <v>#DIV/0!</v>
      </c>
      <c r="H1208" s="2" t="e">
        <f t="shared" si="114"/>
        <v>#DIV/0!</v>
      </c>
      <c r="I1208" s="2" t="e">
        <f t="shared" si="114"/>
        <v>#DIV/0!</v>
      </c>
      <c r="J1208" s="2" t="e">
        <f t="shared" si="114"/>
        <v>#DIV/0!</v>
      </c>
      <c r="K1208" s="2" t="e">
        <f t="shared" si="114"/>
        <v>#DIV/0!</v>
      </c>
      <c r="L1208" s="2" t="e">
        <f>AVERAGE(D1208:K1208)</f>
        <v>#DIV/0!</v>
      </c>
      <c r="M1208" s="2" t="e">
        <f xml:space="preserve"> _xlfn.STDEV.S(D1208:K1208) / SQRT(COUNT(D1208:K1208))</f>
        <v>#DIV/0!</v>
      </c>
      <c r="N1208" s="2" t="e">
        <f>M1208*$N$2</f>
        <v>#DIV/0!</v>
      </c>
    </row>
    <row r="1209" spans="2:14" x14ac:dyDescent="0.55000000000000004">
      <c r="C1209" s="2" t="s">
        <v>23</v>
      </c>
      <c r="D1209" s="2" t="e">
        <f>(1/COUNT(D65,D153,D241,D329,D417,D505,D593,D681,D769,D857,D945,D1033,D1121))*SQRT(SUMSQ(D65,D153,D241,D329,D417,D505,D593,D681,D769,D857,D945,D1033,D1121))</f>
        <v>#DIV/0!</v>
      </c>
      <c r="E1209" s="2" t="e">
        <f t="shared" ref="E1209:K1209" si="115">(1/COUNT(E65,E153,E241,E329,E417,E505,E593,E681,E769,E857,E945,E1033,E1121))*SQRT(SUMSQ(E65,E153,E241,E329,E417,E505,E593,E681,E769,E857,E945,E1033,E1121))</f>
        <v>#DIV/0!</v>
      </c>
      <c r="F1209" s="2" t="e">
        <f t="shared" si="115"/>
        <v>#DIV/0!</v>
      </c>
      <c r="G1209" s="2" t="e">
        <f t="shared" si="115"/>
        <v>#DIV/0!</v>
      </c>
      <c r="H1209" s="2" t="e">
        <f t="shared" si="115"/>
        <v>#DIV/0!</v>
      </c>
      <c r="I1209" s="2" t="e">
        <f t="shared" si="115"/>
        <v>#DIV/0!</v>
      </c>
      <c r="J1209" s="2" t="e">
        <f t="shared" si="115"/>
        <v>#DIV/0!</v>
      </c>
      <c r="K1209" s="2" t="e">
        <f t="shared" si="115"/>
        <v>#DIV/0!</v>
      </c>
      <c r="L1209" s="2" t="e">
        <f>(1/COUNT(D1209:K1209))*SQRT(SUMSQ(D1209:K1209))</f>
        <v>#DIV/0!</v>
      </c>
    </row>
    <row r="1210" spans="2:14" x14ac:dyDescent="0.55000000000000004">
      <c r="C1210" s="2" t="s">
        <v>24</v>
      </c>
      <c r="D1210" s="2" t="e">
        <f>AVERAGE(D66,D154,D242,D330,D418,D506,D594,D682,D770,D858,D946,D1034,D1122)</f>
        <v>#DIV/0!</v>
      </c>
      <c r="E1210" s="2" t="e">
        <f t="shared" ref="E1210:K1210" si="116">AVERAGE(E66,E154,E242,E330,E418,E506,E594,E682,E770,E858,E946,E1034,E1122)</f>
        <v>#DIV/0!</v>
      </c>
      <c r="F1210" s="2" t="e">
        <f t="shared" si="116"/>
        <v>#DIV/0!</v>
      </c>
      <c r="G1210" s="2" t="e">
        <f t="shared" si="116"/>
        <v>#DIV/0!</v>
      </c>
      <c r="H1210" s="2" t="e">
        <f t="shared" si="116"/>
        <v>#DIV/0!</v>
      </c>
      <c r="I1210" s="2" t="e">
        <f t="shared" si="116"/>
        <v>#DIV/0!</v>
      </c>
      <c r="J1210" s="2" t="e">
        <f t="shared" si="116"/>
        <v>#DIV/0!</v>
      </c>
      <c r="K1210" s="2" t="e">
        <f t="shared" si="116"/>
        <v>#DIV/0!</v>
      </c>
      <c r="L1210" s="2" t="e">
        <f>AVERAGE(D1210:K1210)</f>
        <v>#DIV/0!</v>
      </c>
      <c r="M1210" s="2" t="e">
        <f xml:space="preserve"> _xlfn.STDEV.S(D1210:K1210) / SQRT(COUNT(D1210:K1210))</f>
        <v>#DIV/0!</v>
      </c>
      <c r="N1210" s="2" t="e">
        <f>M1210*$N$2</f>
        <v>#DIV/0!</v>
      </c>
    </row>
    <row r="1211" spans="2:14" x14ac:dyDescent="0.55000000000000004">
      <c r="C1211" s="2" t="s">
        <v>25</v>
      </c>
      <c r="D1211" s="2" t="e">
        <f>(1/COUNT(D67,D155,D243,D331,D419,D507,D595,D683,D771,D859,D947,D1035,D1123))*SQRT(SUMSQ(D67,D155,D243,D331,D419,D507,D595,D683,D771,D859,D947,D1035,D1123))</f>
        <v>#DIV/0!</v>
      </c>
      <c r="E1211" s="2" t="e">
        <f t="shared" ref="E1211:K1211" si="117">(1/COUNT(E67,E155,E243,E331,E419,E507,E595,E683,E771,E859,E947,E1035,E1123))*SQRT(SUMSQ(E67,E155,E243,E331,E419,E507,E595,E683,E771,E859,E947,E1035,E1123))</f>
        <v>#DIV/0!</v>
      </c>
      <c r="F1211" s="2" t="e">
        <f t="shared" si="117"/>
        <v>#DIV/0!</v>
      </c>
      <c r="G1211" s="2" t="e">
        <f t="shared" si="117"/>
        <v>#DIV/0!</v>
      </c>
      <c r="H1211" s="2" t="e">
        <f t="shared" si="117"/>
        <v>#DIV/0!</v>
      </c>
      <c r="I1211" s="2" t="e">
        <f t="shared" si="117"/>
        <v>#DIV/0!</v>
      </c>
      <c r="J1211" s="2" t="e">
        <f t="shared" si="117"/>
        <v>#DIV/0!</v>
      </c>
      <c r="K1211" s="2" t="e">
        <f t="shared" si="117"/>
        <v>#DIV/0!</v>
      </c>
      <c r="L1211" s="2" t="e">
        <f>(1/COUNT(D1211:K1211))*SQRT(SUMSQ(D1211:K1211))</f>
        <v>#DIV/0!</v>
      </c>
    </row>
    <row r="1212" spans="2:14" x14ac:dyDescent="0.55000000000000004">
      <c r="C1212" s="2" t="s">
        <v>26</v>
      </c>
      <c r="D1212" s="2" t="e">
        <f>AVERAGE(D68,D156,D244,D332,D420,D508,D596,D684,D772,D860,D948,D1036,D1124)</f>
        <v>#DIV/0!</v>
      </c>
      <c r="E1212" s="2" t="e">
        <f t="shared" ref="E1212:K1212" si="118">AVERAGE(E68,E156,E244,E332,E420,E508,E596,E684,E772,E860,E948,E1036,E1124)</f>
        <v>#DIV/0!</v>
      </c>
      <c r="F1212" s="2" t="e">
        <f t="shared" si="118"/>
        <v>#DIV/0!</v>
      </c>
      <c r="G1212" s="2" t="e">
        <f t="shared" si="118"/>
        <v>#DIV/0!</v>
      </c>
      <c r="H1212" s="2" t="e">
        <f t="shared" si="118"/>
        <v>#DIV/0!</v>
      </c>
      <c r="I1212" s="2" t="e">
        <f t="shared" si="118"/>
        <v>#DIV/0!</v>
      </c>
      <c r="J1212" s="2" t="e">
        <f t="shared" si="118"/>
        <v>#DIV/0!</v>
      </c>
      <c r="K1212" s="2" t="e">
        <f t="shared" si="118"/>
        <v>#DIV/0!</v>
      </c>
      <c r="L1212" s="2" t="e">
        <f>AVERAGE(D1212:K1212)</f>
        <v>#DIV/0!</v>
      </c>
      <c r="M1212" s="2" t="e">
        <f xml:space="preserve"> _xlfn.STDEV.S(D1212:K1212) / SQRT(COUNT(D1212:K1212))</f>
        <v>#DIV/0!</v>
      </c>
      <c r="N1212" s="2" t="e">
        <f>M1212*$N$2</f>
        <v>#DIV/0!</v>
      </c>
    </row>
    <row r="1213" spans="2:14" x14ac:dyDescent="0.55000000000000004">
      <c r="C1213" s="2" t="s">
        <v>27</v>
      </c>
      <c r="D1213" s="2" t="e">
        <f>(1/COUNT(D69,D157,D245,D333,D421,D509,D597,D685,D773,D861,D949,D1037,D1125))*SQRT(SUMSQ(D69,D157,D245,D333,D421,D509,D597,D685,D773,D861,D949,D1037,D1125))</f>
        <v>#DIV/0!</v>
      </c>
      <c r="E1213" s="2" t="e">
        <f t="shared" ref="E1213:K1213" si="119">(1/COUNT(E69,E157,E245,E333,E421,E509,E597,E685,E773,E861,E949,E1037,E1125))*SQRT(SUMSQ(E69,E157,E245,E333,E421,E509,E597,E685,E773,E861,E949,E1037,E1125))</f>
        <v>#DIV/0!</v>
      </c>
      <c r="F1213" s="2" t="e">
        <f t="shared" si="119"/>
        <v>#DIV/0!</v>
      </c>
      <c r="G1213" s="2" t="e">
        <f t="shared" si="119"/>
        <v>#DIV/0!</v>
      </c>
      <c r="H1213" s="2" t="e">
        <f t="shared" si="119"/>
        <v>#DIV/0!</v>
      </c>
      <c r="I1213" s="2" t="e">
        <f t="shared" si="119"/>
        <v>#DIV/0!</v>
      </c>
      <c r="J1213" s="2" t="e">
        <f t="shared" si="119"/>
        <v>#DIV/0!</v>
      </c>
      <c r="K1213" s="2" t="e">
        <f t="shared" si="119"/>
        <v>#DIV/0!</v>
      </c>
      <c r="L1213" s="2" t="e">
        <f>(1/COUNT(D1213:K1213))*SQRT(SUMSQ(D1213:K1213))</f>
        <v>#DIV/0!</v>
      </c>
    </row>
    <row r="1214" spans="2:14" ht="14.5" customHeight="1" x14ac:dyDescent="0.55000000000000004">
      <c r="C1214" s="2" t="s">
        <v>28</v>
      </c>
      <c r="D1214" s="2" t="e">
        <f>AVERAGE(D70,D158,D246,D334,D422,D510,D598,D686,D774,D862,D950,D1038,D1126)</f>
        <v>#DIV/0!</v>
      </c>
      <c r="E1214" s="2" t="e">
        <f t="shared" ref="E1214:K1214" si="120">AVERAGE(E70,E158,E246,E334,E422,E510,E598,E686,E774,E862,E950,E1038,E1126)</f>
        <v>#DIV/0!</v>
      </c>
      <c r="F1214" s="2" t="e">
        <f t="shared" si="120"/>
        <v>#DIV/0!</v>
      </c>
      <c r="G1214" s="2" t="e">
        <f t="shared" si="120"/>
        <v>#DIV/0!</v>
      </c>
      <c r="H1214" s="2" t="e">
        <f t="shared" si="120"/>
        <v>#DIV/0!</v>
      </c>
      <c r="I1214" s="2" t="e">
        <f t="shared" si="120"/>
        <v>#DIV/0!</v>
      </c>
      <c r="J1214" s="2" t="e">
        <f t="shared" si="120"/>
        <v>#DIV/0!</v>
      </c>
      <c r="K1214" s="2" t="e">
        <f t="shared" si="120"/>
        <v>#DIV/0!</v>
      </c>
      <c r="L1214" s="2" t="e">
        <f>AVERAGE(D1214:K1214)</f>
        <v>#DIV/0!</v>
      </c>
      <c r="M1214" s="2" t="e">
        <f xml:space="preserve"> _xlfn.STDEV.S(D1214:K1214) / SQRT(COUNT(D1214:K1214))</f>
        <v>#DIV/0!</v>
      </c>
      <c r="N1214" s="2" t="e">
        <f>M1214*$N$2</f>
        <v>#DIV/0!</v>
      </c>
    </row>
    <row r="1215" spans="2:14" x14ac:dyDescent="0.55000000000000004">
      <c r="C1215" s="2" t="s">
        <v>29</v>
      </c>
      <c r="D1215" s="2" t="e">
        <f>(1/COUNT(D71,D159,D247,D335,D423,D511,D599,D687,D775,D863,D951,D1039,D1127))*SQRT(SUMSQ(D71,D159,D247,D335,D423,D511,D599,D687,D775,D863,D951,D1039,D1127))</f>
        <v>#DIV/0!</v>
      </c>
      <c r="E1215" s="2" t="e">
        <f t="shared" ref="E1215:K1215" si="121">(1/COUNT(E71,E159,E247,E335,E423,E511,E599,E687,E775,E863,E951,E1039,E1127))*SQRT(SUMSQ(E71,E159,E247,E335,E423,E511,E599,E687,E775,E863,E951,E1039,E1127))</f>
        <v>#DIV/0!</v>
      </c>
      <c r="F1215" s="2" t="e">
        <f t="shared" si="121"/>
        <v>#DIV/0!</v>
      </c>
      <c r="G1215" s="2" t="e">
        <f t="shared" si="121"/>
        <v>#DIV/0!</v>
      </c>
      <c r="H1215" s="2" t="e">
        <f t="shared" si="121"/>
        <v>#DIV/0!</v>
      </c>
      <c r="I1215" s="2" t="e">
        <f t="shared" si="121"/>
        <v>#DIV/0!</v>
      </c>
      <c r="J1215" s="2" t="e">
        <f t="shared" si="121"/>
        <v>#DIV/0!</v>
      </c>
      <c r="K1215" s="2" t="e">
        <f t="shared" si="121"/>
        <v>#DIV/0!</v>
      </c>
      <c r="L1215" s="2" t="e">
        <f>(1/COUNT(D1215:K1215))*SQRT(SUMSQ(D1215:K1215))</f>
        <v>#DIV/0!</v>
      </c>
    </row>
    <row r="1216" spans="2:14" x14ac:dyDescent="0.55000000000000004">
      <c r="C1216" s="2" t="s">
        <v>30</v>
      </c>
      <c r="D1216" s="2" t="e">
        <f>AVERAGE(D72,D160,D248,D336,D424,D512,D600,D688,D776,D864,D952,D1040,D1128)</f>
        <v>#DIV/0!</v>
      </c>
      <c r="E1216" s="2" t="e">
        <f t="shared" ref="E1216:K1216" si="122">AVERAGE(E72,E160,E248,E336,E424,E512,E600,E688,E776,E864,E952,E1040,E1128)</f>
        <v>#DIV/0!</v>
      </c>
      <c r="F1216" s="2" t="e">
        <f t="shared" si="122"/>
        <v>#DIV/0!</v>
      </c>
      <c r="G1216" s="2" t="e">
        <f t="shared" si="122"/>
        <v>#DIV/0!</v>
      </c>
      <c r="H1216" s="2" t="e">
        <f t="shared" si="122"/>
        <v>#DIV/0!</v>
      </c>
      <c r="I1216" s="2" t="e">
        <f t="shared" si="122"/>
        <v>#DIV/0!</v>
      </c>
      <c r="J1216" s="2" t="e">
        <f t="shared" si="122"/>
        <v>#DIV/0!</v>
      </c>
      <c r="K1216" s="2" t="e">
        <f t="shared" si="122"/>
        <v>#DIV/0!</v>
      </c>
      <c r="L1216" s="2" t="e">
        <f>AVERAGE(D1216:K1216)</f>
        <v>#DIV/0!</v>
      </c>
      <c r="M1216" s="2" t="e">
        <f xml:space="preserve"> _xlfn.STDEV.S(D1216:K1216) / SQRT(COUNT(D1216:K1216))</f>
        <v>#DIV/0!</v>
      </c>
      <c r="N1216" s="2" t="e">
        <f>M1216*$N$2</f>
        <v>#DIV/0!</v>
      </c>
    </row>
    <row r="1217" spans="2:14" x14ac:dyDescent="0.55000000000000004">
      <c r="C1217" s="2" t="s">
        <v>31</v>
      </c>
      <c r="D1217" s="2" t="e">
        <f>(1/COUNT(D73,D161,D249,D337,D425,D513,D601,D689,D777,D865,D953,D1041,D1129))*SQRT(SUMSQ(D73,D161,D249,D337,D425,D513,D601,D689,D777,D865,D953,D1041,D1129))</f>
        <v>#DIV/0!</v>
      </c>
      <c r="E1217" s="2" t="e">
        <f t="shared" ref="E1217:K1217" si="123">(1/COUNT(E73,E161,E249,E337,E425,E513,E601,E689,E777,E865,E953,E1041,E1129))*SQRT(SUMSQ(E73,E161,E249,E337,E425,E513,E601,E689,E777,E865,E953,E1041,E1129))</f>
        <v>#DIV/0!</v>
      </c>
      <c r="F1217" s="2" t="e">
        <f t="shared" si="123"/>
        <v>#DIV/0!</v>
      </c>
      <c r="G1217" s="2" t="e">
        <f t="shared" si="123"/>
        <v>#DIV/0!</v>
      </c>
      <c r="H1217" s="2" t="e">
        <f t="shared" si="123"/>
        <v>#DIV/0!</v>
      </c>
      <c r="I1217" s="2" t="e">
        <f t="shared" si="123"/>
        <v>#DIV/0!</v>
      </c>
      <c r="J1217" s="2" t="e">
        <f t="shared" si="123"/>
        <v>#DIV/0!</v>
      </c>
      <c r="K1217" s="2" t="e">
        <f t="shared" si="123"/>
        <v>#DIV/0!</v>
      </c>
      <c r="L1217" s="2" t="e">
        <f>(1/COUNT(D1217:K1217))*SQRT(SUMSQ(D1217:K1217))</f>
        <v>#DIV/0!</v>
      </c>
    </row>
    <row r="1218" spans="2:14" x14ac:dyDescent="0.55000000000000004">
      <c r="B1218" s="2" t="s">
        <v>36</v>
      </c>
      <c r="C1218" s="2" t="s">
        <v>22</v>
      </c>
      <c r="D1218" s="2">
        <f>AVERAGE(D74,D162,D250,D338,D426,D514,D602,D690,D778,D866,D954,D1042,D1130)</f>
        <v>0.94308723076923084</v>
      </c>
      <c r="E1218" s="2">
        <f>AVERAGE(E74,E162,E250,E338,E426,E514,E602,E690,E778,E866,E954,E1042,E1130)</f>
        <v>0.93297569230769217</v>
      </c>
      <c r="F1218" s="2">
        <f t="shared" ref="F1218:K1218" si="124">AVERAGE(F74,F162,F250,F338,F426,F514,F602,F690,F778,F866,F954,F1042,F1130)</f>
        <v>0.92557523076923098</v>
      </c>
      <c r="G1218" s="2">
        <f t="shared" si="124"/>
        <v>0.94443715384615379</v>
      </c>
      <c r="H1218" s="2">
        <f t="shared" si="124"/>
        <v>0.95201423076923086</v>
      </c>
      <c r="I1218" s="2">
        <f t="shared" si="124"/>
        <v>0.9309441538461537</v>
      </c>
      <c r="J1218" s="2">
        <f t="shared" si="124"/>
        <v>0.94327384615384624</v>
      </c>
      <c r="K1218" s="2">
        <f t="shared" si="124"/>
        <v>0.93081161538461532</v>
      </c>
      <c r="L1218" s="2">
        <f>AVERAGE(D1218:K1218)</f>
        <v>0.93788989423076929</v>
      </c>
      <c r="M1218" s="2">
        <f xml:space="preserve"> _xlfn.STDEV.S(D1218:K1218) / SQRT(COUNT(D1218:K1218))</f>
        <v>3.1973995967513225E-3</v>
      </c>
      <c r="N1218" s="2">
        <f>M1218*$N$2</f>
        <v>3.5783989457231868E-3</v>
      </c>
    </row>
    <row r="1219" spans="2:14" x14ac:dyDescent="0.55000000000000004">
      <c r="C1219" s="2" t="s">
        <v>24</v>
      </c>
      <c r="D1219" s="2">
        <f t="shared" ref="D1219:K1219" si="125">AVERAGE(D75,D163,D251,D339,D427,D515,D603,D691,D779,D867,D955,D1043,D1131)</f>
        <v>0.32725153846153848</v>
      </c>
      <c r="E1219" s="2">
        <f t="shared" si="125"/>
        <v>0.35225515384615391</v>
      </c>
      <c r="F1219" s="2">
        <f t="shared" si="125"/>
        <v>0.37566576923076916</v>
      </c>
      <c r="G1219" s="2">
        <f t="shared" si="125"/>
        <v>0.32517023076923074</v>
      </c>
      <c r="H1219" s="2">
        <f t="shared" si="125"/>
        <v>0.30418600000000001</v>
      </c>
      <c r="I1219" s="2">
        <f t="shared" si="125"/>
        <v>0.36356476923076919</v>
      </c>
      <c r="J1219" s="2">
        <f t="shared" si="125"/>
        <v>0.32182415384615387</v>
      </c>
      <c r="K1219" s="2">
        <f t="shared" si="125"/>
        <v>0.36389684615384615</v>
      </c>
      <c r="L1219" s="2">
        <f t="shared" ref="L1219:L1232" si="126">AVERAGE(D1219:K1219)</f>
        <v>0.34172680769230773</v>
      </c>
      <c r="M1219" s="2">
        <f t="shared" ref="M1219:M1232" si="127" xml:space="preserve"> _xlfn.STDEV.S(D1219:K1219) / SQRT(COUNT(D1219:K1219))</f>
        <v>8.984299682153328E-3</v>
      </c>
      <c r="N1219" s="2">
        <f t="shared" ref="N1219:N1239" si="128">M1219*$N$2</f>
        <v>1.0054861001215998E-2</v>
      </c>
    </row>
    <row r="1220" spans="2:14" x14ac:dyDescent="0.55000000000000004">
      <c r="C1220" s="2" t="s">
        <v>26</v>
      </c>
      <c r="D1220" s="2">
        <f t="shared" ref="D1220:K1220" si="129">AVERAGE(D76,D164,D252,D340,D428,D516,D604,D692,D780,D868,D956,D1044,D1132)</f>
        <v>0.62424738461538465</v>
      </c>
      <c r="E1220" s="2">
        <f t="shared" si="129"/>
        <v>0.73533576923076938</v>
      </c>
      <c r="F1220" s="2">
        <f t="shared" si="129"/>
        <v>0.58577515384615375</v>
      </c>
      <c r="G1220" s="2">
        <f t="shared" si="129"/>
        <v>0.73092176923076912</v>
      </c>
      <c r="H1220" s="2">
        <f t="shared" si="129"/>
        <v>0.643617923076923</v>
      </c>
      <c r="I1220" s="2">
        <f t="shared" si="129"/>
        <v>0.62797361538461538</v>
      </c>
      <c r="J1220" s="2">
        <f t="shared" si="129"/>
        <v>0.70216730769230773</v>
      </c>
      <c r="K1220" s="2">
        <f t="shared" si="129"/>
        <v>0.55754169230769235</v>
      </c>
      <c r="L1220" s="2">
        <f t="shared" si="126"/>
        <v>0.65094757692307692</v>
      </c>
      <c r="M1220" s="2">
        <f t="shared" si="127"/>
        <v>2.3302065462691441E-2</v>
      </c>
      <c r="N1220" s="2">
        <f t="shared" si="128"/>
        <v>2.6078719272245199E-2</v>
      </c>
    </row>
    <row r="1221" spans="2:14" x14ac:dyDescent="0.55000000000000004">
      <c r="C1221" s="2" t="s">
        <v>28</v>
      </c>
      <c r="D1221" s="2">
        <f t="shared" ref="D1221:K1221" si="130">AVERAGE(D77,D165,D253,D341,D429,D517,D605,D693,D781,D869,D957,D1045,D1133)</f>
        <v>2.7796357692307696</v>
      </c>
      <c r="E1221" s="2">
        <f t="shared" si="130"/>
        <v>2.8059913846153846</v>
      </c>
      <c r="F1221" s="2">
        <f t="shared" si="130"/>
        <v>3.2242799999999998</v>
      </c>
      <c r="G1221" s="2">
        <f t="shared" si="130"/>
        <v>2.9626896153846149</v>
      </c>
      <c r="H1221" s="2">
        <f t="shared" si="130"/>
        <v>1.7482447692307697</v>
      </c>
      <c r="I1221" s="2">
        <f t="shared" si="130"/>
        <v>3.371667692307692</v>
      </c>
      <c r="J1221" s="2">
        <f t="shared" si="130"/>
        <v>3.2286330000000003</v>
      </c>
      <c r="K1221" s="2">
        <f t="shared" si="130"/>
        <v>2.7845315384615383</v>
      </c>
      <c r="L1221" s="2">
        <f t="shared" si="126"/>
        <v>2.8632092211538462</v>
      </c>
      <c r="M1221" s="2">
        <f t="shared" si="127"/>
        <v>0.17888181057702518</v>
      </c>
      <c r="N1221" s="2">
        <f t="shared" si="128"/>
        <v>0.20019721120508613</v>
      </c>
    </row>
    <row r="1222" spans="2:14" x14ac:dyDescent="0.55000000000000004">
      <c r="C1222" s="2" t="s">
        <v>30</v>
      </c>
      <c r="D1222" s="2">
        <f t="shared" ref="D1222:K1222" si="131">AVERAGE(D78,D166,D254,D342,D430,D518,D606,D694,D782,D870,D958,D1046,D1134)</f>
        <v>16.564574307692304</v>
      </c>
      <c r="E1222" s="2">
        <f t="shared" si="131"/>
        <v>19.808931615384616</v>
      </c>
      <c r="F1222" s="2">
        <f t="shared" si="131"/>
        <v>21.596666538461537</v>
      </c>
      <c r="G1222" s="2">
        <f t="shared" si="131"/>
        <v>28.006612307692304</v>
      </c>
      <c r="H1222" s="2">
        <f t="shared" si="131"/>
        <v>12.809374307692307</v>
      </c>
      <c r="I1222" s="2">
        <f t="shared" si="131"/>
        <v>18.906368000000001</v>
      </c>
      <c r="J1222" s="2">
        <f t="shared" si="131"/>
        <v>24.583888769230768</v>
      </c>
      <c r="K1222" s="2">
        <f t="shared" si="131"/>
        <v>43.546331615384616</v>
      </c>
      <c r="L1222" s="2">
        <f t="shared" si="126"/>
        <v>23.227843432692307</v>
      </c>
      <c r="M1222" s="2">
        <f t="shared" si="127"/>
        <v>3.3367139343878809</v>
      </c>
      <c r="N1222" s="2">
        <f t="shared" si="128"/>
        <v>3.7343138584007582</v>
      </c>
    </row>
    <row r="1223" spans="2:14" x14ac:dyDescent="0.55000000000000004">
      <c r="B1223" s="2" t="s">
        <v>62</v>
      </c>
      <c r="C1223" s="2" t="s">
        <v>22</v>
      </c>
      <c r="D1223" s="2">
        <f t="shared" ref="D1223:K1223" si="132">AVERAGE(D79,D167,D255,D343,D431,D519,D607,D695,D783,D871,D959,D1047,D1135)</f>
        <v>0.93067053846153835</v>
      </c>
      <c r="E1223" s="2">
        <f t="shared" si="132"/>
        <v>0.8981062307692308</v>
      </c>
      <c r="F1223" s="2">
        <f t="shared" si="132"/>
        <v>0.90426799999999996</v>
      </c>
      <c r="G1223" s="2">
        <f t="shared" si="132"/>
        <v>0.911099923076923</v>
      </c>
      <c r="H1223" s="2">
        <f t="shared" si="132"/>
        <v>0.92675284615384612</v>
      </c>
      <c r="I1223" s="2">
        <f t="shared" si="132"/>
        <v>0.90541192307692309</v>
      </c>
      <c r="J1223" s="2">
        <f t="shared" si="132"/>
        <v>0.92460253846153861</v>
      </c>
      <c r="K1223" s="2">
        <f t="shared" si="132"/>
        <v>0.91442807692307693</v>
      </c>
      <c r="L1223" s="2">
        <f t="shared" si="126"/>
        <v>0.9144175096153847</v>
      </c>
      <c r="M1223" s="2">
        <f t="shared" si="127"/>
        <v>4.1859325015624433E-3</v>
      </c>
      <c r="N1223" s="2">
        <f t="shared" si="128"/>
        <v>4.6847245698281277E-3</v>
      </c>
    </row>
    <row r="1224" spans="2:14" x14ac:dyDescent="0.55000000000000004">
      <c r="C1224" s="2" t="s">
        <v>24</v>
      </c>
      <c r="D1224" s="2">
        <f t="shared" ref="D1224:K1224" si="133">AVERAGE(D80,D168,D256,D344,D432,D520,D608,D696,D784,D872,D960,D1048,D1136)</f>
        <v>0.36252507692307695</v>
      </c>
      <c r="E1224" s="2">
        <f t="shared" si="133"/>
        <v>0.42702330769230773</v>
      </c>
      <c r="F1224" s="2">
        <f t="shared" si="133"/>
        <v>0.42333530769230776</v>
      </c>
      <c r="G1224" s="2">
        <f t="shared" si="133"/>
        <v>0.41110169230769222</v>
      </c>
      <c r="H1224" s="2">
        <f t="shared" si="133"/>
        <v>0.37143792307692308</v>
      </c>
      <c r="I1224" s="2">
        <f t="shared" si="133"/>
        <v>0.42367261538461543</v>
      </c>
      <c r="J1224" s="2">
        <f t="shared" si="133"/>
        <v>0.37087138461538466</v>
      </c>
      <c r="K1224" s="2">
        <f t="shared" si="133"/>
        <v>0.40435776923076927</v>
      </c>
      <c r="L1224" s="2">
        <f t="shared" si="126"/>
        <v>0.39929063461538467</v>
      </c>
      <c r="M1224" s="2">
        <f t="shared" si="127"/>
        <v>9.4887517296362977E-3</v>
      </c>
      <c r="N1224" s="2">
        <f t="shared" si="128"/>
        <v>1.0619423114977143E-2</v>
      </c>
    </row>
    <row r="1225" spans="2:14" x14ac:dyDescent="0.55000000000000004">
      <c r="C1225" s="2" t="s">
        <v>26</v>
      </c>
      <c r="D1225" s="2">
        <f t="shared" ref="D1225:K1225" si="134">AVERAGE(D81,D169,D257,D345,D433,D521,D609,D697,D785,D873,D961,D1049,D1137)</f>
        <v>0.59430592307692298</v>
      </c>
      <c r="E1225" s="2">
        <f t="shared" si="134"/>
        <v>0.6846200769230768</v>
      </c>
      <c r="F1225" s="2">
        <f t="shared" si="134"/>
        <v>0.56380246153846147</v>
      </c>
      <c r="G1225" s="2">
        <f t="shared" si="134"/>
        <v>0.67811030769230762</v>
      </c>
      <c r="H1225" s="2">
        <f t="shared" si="134"/>
        <v>0.58257984615384606</v>
      </c>
      <c r="I1225" s="2">
        <f t="shared" si="134"/>
        <v>0.58913853846153852</v>
      </c>
      <c r="J1225" s="2">
        <f t="shared" si="134"/>
        <v>0.66424615384615382</v>
      </c>
      <c r="K1225" s="2">
        <f t="shared" si="134"/>
        <v>0.53181761538461525</v>
      </c>
      <c r="L1225" s="2">
        <f t="shared" si="126"/>
        <v>0.61107761538461536</v>
      </c>
      <c r="M1225" s="2">
        <f t="shared" si="127"/>
        <v>2.0186891233942874E-2</v>
      </c>
      <c r="N1225" s="2">
        <f t="shared" si="128"/>
        <v>2.2592343597705167E-2</v>
      </c>
    </row>
    <row r="1226" spans="2:14" x14ac:dyDescent="0.55000000000000004">
      <c r="C1226" s="2" t="s">
        <v>28</v>
      </c>
      <c r="D1226" s="2">
        <f t="shared" ref="D1226:K1226" si="135">AVERAGE(D82,D170,D258,D346,D434,D522,D610,D698,D786,D874,D962,D1050,D1138)</f>
        <v>3.2856320000000001</v>
      </c>
      <c r="E1226" s="2">
        <f t="shared" si="135"/>
        <v>3.7328839230769231</v>
      </c>
      <c r="F1226" s="2">
        <f t="shared" si="135"/>
        <v>3.6182000769230771</v>
      </c>
      <c r="G1226" s="2">
        <f t="shared" si="135"/>
        <v>3.7599086923076919</v>
      </c>
      <c r="H1226" s="2">
        <f t="shared" si="135"/>
        <v>2.4314575384615384</v>
      </c>
      <c r="I1226" s="2">
        <f t="shared" si="135"/>
        <v>4.9662189999999997</v>
      </c>
      <c r="J1226" s="2">
        <f t="shared" si="135"/>
        <v>3.9383138461538465</v>
      </c>
      <c r="K1226" s="2">
        <f t="shared" si="135"/>
        <v>3.2733152307692306</v>
      </c>
      <c r="L1226" s="2">
        <f t="shared" si="126"/>
        <v>3.6257412884615383</v>
      </c>
      <c r="M1226" s="2">
        <f t="shared" si="127"/>
        <v>0.25320486958561889</v>
      </c>
      <c r="N1226" s="2">
        <f t="shared" si="128"/>
        <v>0.2833765411422941</v>
      </c>
    </row>
    <row r="1227" spans="2:14" x14ac:dyDescent="0.55000000000000004">
      <c r="C1227" s="2" t="s">
        <v>30</v>
      </c>
      <c r="D1227" s="2">
        <f t="shared" ref="D1227:K1227" si="136">AVERAGE(D83,D171,D259,D347,D435,D523,D611,D699,D787,D875,D963,D1051,D1139)</f>
        <v>18.095825000000001</v>
      </c>
      <c r="E1227" s="2">
        <f t="shared" si="136"/>
        <v>25.354966307692305</v>
      </c>
      <c r="F1227" s="2">
        <f t="shared" si="136"/>
        <v>22.806707923076921</v>
      </c>
      <c r="G1227" s="2">
        <f t="shared" si="136"/>
        <v>36.188788153846147</v>
      </c>
      <c r="H1227" s="2">
        <f t="shared" si="136"/>
        <v>17.494303538461541</v>
      </c>
      <c r="I1227" s="2">
        <f t="shared" si="136"/>
        <v>24.771198230769237</v>
      </c>
      <c r="J1227" s="2">
        <f t="shared" si="136"/>
        <v>31.411249000000002</v>
      </c>
      <c r="K1227" s="2">
        <f t="shared" si="136"/>
        <v>57.549920461538463</v>
      </c>
      <c r="L1227" s="2">
        <f t="shared" si="126"/>
        <v>29.209119826923079</v>
      </c>
      <c r="M1227" s="2">
        <f t="shared" si="127"/>
        <v>4.6156737854994505</v>
      </c>
      <c r="N1227" s="2">
        <f t="shared" si="128"/>
        <v>5.1656734505799626</v>
      </c>
    </row>
    <row r="1228" spans="2:14" x14ac:dyDescent="0.55000000000000004">
      <c r="B1228" s="2" t="s">
        <v>39</v>
      </c>
      <c r="C1228" s="2" t="s">
        <v>22</v>
      </c>
      <c r="D1228" s="2">
        <f t="shared" ref="D1228:K1228" si="137">AVERAGE(D84,D172,D260,D348,D436,D524,D612,D700,D788,D876,D964,D1052,D1140)</f>
        <v>0.95107615384615396</v>
      </c>
      <c r="E1228" s="2">
        <f t="shared" si="137"/>
        <v>0.94961084615384606</v>
      </c>
      <c r="F1228" s="2">
        <f t="shared" si="137"/>
        <v>0.93079284615384605</v>
      </c>
      <c r="G1228" s="2">
        <f t="shared" si="137"/>
        <v>0.91656338461538445</v>
      </c>
      <c r="H1228" s="2">
        <f t="shared" si="137"/>
        <v>0.95378338461538459</v>
      </c>
      <c r="I1228" s="2">
        <f t="shared" si="137"/>
        <v>0.93902500000000011</v>
      </c>
      <c r="J1228" s="2">
        <f t="shared" si="137"/>
        <v>0.95143653846153842</v>
      </c>
      <c r="K1228" s="2">
        <f t="shared" si="137"/>
        <v>0.92712453846153842</v>
      </c>
      <c r="L1228" s="2">
        <f t="shared" si="126"/>
        <v>0.93992658653846151</v>
      </c>
      <c r="M1228" s="2">
        <f t="shared" si="127"/>
        <v>4.8853960440884154E-3</v>
      </c>
      <c r="N1228" s="2">
        <f t="shared" si="128"/>
        <v>5.4675355784020467E-3</v>
      </c>
    </row>
    <row r="1229" spans="2:14" x14ac:dyDescent="0.55000000000000004">
      <c r="C1229" s="2" t="s">
        <v>24</v>
      </c>
      <c r="D1229" s="2">
        <f t="shared" ref="D1229:K1229" si="138">AVERAGE(D85,D173,D261,D349,D437,D525,D613,D701,D789,D877,D965,D1053,D1141)</f>
        <v>0.30554946153846152</v>
      </c>
      <c r="E1229" s="2">
        <f t="shared" si="138"/>
        <v>0.31009030769230772</v>
      </c>
      <c r="F1229" s="2">
        <f t="shared" si="138"/>
        <v>0.36440453846153847</v>
      </c>
      <c r="G1229" s="2">
        <f t="shared" si="138"/>
        <v>0.39953330769230772</v>
      </c>
      <c r="H1229" s="2">
        <f t="shared" si="138"/>
        <v>0.2994711538461538</v>
      </c>
      <c r="I1229" s="2">
        <f t="shared" si="138"/>
        <v>0.34400092307692304</v>
      </c>
      <c r="J1229" s="2">
        <f t="shared" si="138"/>
        <v>0.30342630769230772</v>
      </c>
      <c r="K1229" s="2">
        <f t="shared" si="138"/>
        <v>0.37144392307692303</v>
      </c>
      <c r="L1229" s="2">
        <f t="shared" si="126"/>
        <v>0.33723999038461538</v>
      </c>
      <c r="M1229" s="2">
        <f t="shared" si="127"/>
        <v>1.3459751056016994E-2</v>
      </c>
      <c r="N1229" s="2">
        <f t="shared" si="128"/>
        <v>1.5063603259812928E-2</v>
      </c>
    </row>
    <row r="1230" spans="2:14" x14ac:dyDescent="0.55000000000000004">
      <c r="C1230" s="2" t="s">
        <v>26</v>
      </c>
      <c r="D1230" s="2">
        <f t="shared" ref="D1230:K1230" si="139">AVERAGE(D86,D174,D262,D350,D438,D526,D614,D702,D790,D878,D966,D1054,D1142)</f>
        <v>0.64492861538461554</v>
      </c>
      <c r="E1230" s="2">
        <f t="shared" si="139"/>
        <v>0.76776215384615376</v>
      </c>
      <c r="F1230" s="2">
        <f t="shared" si="139"/>
        <v>0.59028346153846156</v>
      </c>
      <c r="G1230" s="2">
        <f t="shared" si="139"/>
        <v>0.68649230769230762</v>
      </c>
      <c r="H1230" s="2">
        <f t="shared" si="139"/>
        <v>0.64723323076923078</v>
      </c>
      <c r="I1230" s="2">
        <f t="shared" si="139"/>
        <v>0.64315223076923067</v>
      </c>
      <c r="J1230" s="2">
        <f t="shared" si="139"/>
        <v>0.71561723076923078</v>
      </c>
      <c r="K1230" s="2">
        <f t="shared" si="139"/>
        <v>0.55469915384615376</v>
      </c>
      <c r="L1230" s="2">
        <f t="shared" si="126"/>
        <v>0.65627104807692305</v>
      </c>
      <c r="M1230" s="2">
        <f t="shared" si="127"/>
        <v>2.3874376641806912E-2</v>
      </c>
      <c r="N1230" s="2">
        <f t="shared" si="128"/>
        <v>2.6719226552615532E-2</v>
      </c>
    </row>
    <row r="1231" spans="2:14" x14ac:dyDescent="0.55000000000000004">
      <c r="C1231" s="2" t="s">
        <v>28</v>
      </c>
      <c r="D1231" s="2">
        <f t="shared" ref="D1231:K1231" si="140">AVERAGE(D87,D175,D263,D351,D439,D527,D615,D703,D791,D879,D967,D1055,D1143)</f>
        <v>2.3680073846153848</v>
      </c>
      <c r="E1231" s="2">
        <f t="shared" si="140"/>
        <v>2.6147073076923073</v>
      </c>
      <c r="F1231" s="2">
        <f t="shared" si="140"/>
        <v>3.194935923076923</v>
      </c>
      <c r="G1231" s="2">
        <f t="shared" si="140"/>
        <v>3.6155089999999999</v>
      </c>
      <c r="H1231" s="2">
        <f t="shared" si="140"/>
        <v>1.7318386923076925</v>
      </c>
      <c r="I1231" s="2">
        <f t="shared" si="140"/>
        <v>3.0445627692307697</v>
      </c>
      <c r="J1231" s="2">
        <f t="shared" si="140"/>
        <v>3.115150461538462</v>
      </c>
      <c r="K1231" s="2">
        <f t="shared" si="140"/>
        <v>2.9455322307692309</v>
      </c>
      <c r="L1231" s="2">
        <f t="shared" si="126"/>
        <v>2.8287804711538462</v>
      </c>
      <c r="M1231" s="2">
        <f t="shared" si="127"/>
        <v>0.20514075136588428</v>
      </c>
      <c r="N1231" s="2">
        <f t="shared" si="128"/>
        <v>0.22958514449003833</v>
      </c>
    </row>
    <row r="1232" spans="2:14" x14ac:dyDescent="0.55000000000000004">
      <c r="C1232" s="2" t="s">
        <v>30</v>
      </c>
      <c r="D1232" s="2">
        <f t="shared" ref="D1232:K1232" si="141">AVERAGE(D88,D176,D264,D352,D440,D528,D616,D704,D792,D880,D968,D1056,D1144)</f>
        <v>15.888281692307689</v>
      </c>
      <c r="E1232" s="2">
        <f t="shared" si="141"/>
        <v>20.89735615384615</v>
      </c>
      <c r="F1232" s="2">
        <f t="shared" si="141"/>
        <v>21.746417230769229</v>
      </c>
      <c r="G1232" s="2">
        <f t="shared" si="141"/>
        <v>34.830552538461539</v>
      </c>
      <c r="H1232" s="2">
        <f t="shared" si="141"/>
        <v>12.520106153846154</v>
      </c>
      <c r="I1232" s="2">
        <f t="shared" si="141"/>
        <v>19.002857538461541</v>
      </c>
      <c r="J1232" s="2">
        <f t="shared" si="141"/>
        <v>24.385365307692307</v>
      </c>
      <c r="K1232" s="2">
        <f t="shared" si="141"/>
        <v>42.745232538461543</v>
      </c>
      <c r="L1232" s="2">
        <f t="shared" si="126"/>
        <v>24.00202114423077</v>
      </c>
      <c r="M1232" s="2">
        <f t="shared" si="127"/>
        <v>3.5508990020803819</v>
      </c>
      <c r="N1232" s="2">
        <f t="shared" si="128"/>
        <v>3.9740210320675176</v>
      </c>
    </row>
    <row r="1233" spans="2:14" x14ac:dyDescent="0.55000000000000004">
      <c r="B1233" s="2" t="s">
        <v>61</v>
      </c>
      <c r="C1233" s="2" t="s">
        <v>22</v>
      </c>
      <c r="D1233" s="2">
        <f t="shared" ref="D1233:K1233" si="142">AVERAGE(D89,D177,D265,D353,D441,D529,D617,D705,D793,D881,D969,D1057,D1145)</f>
        <v>0.92749376923076932</v>
      </c>
      <c r="E1233" s="2">
        <f t="shared" si="142"/>
        <v>0.89100953846153841</v>
      </c>
      <c r="F1233" s="2">
        <f t="shared" si="142"/>
        <v>0.89163084615384602</v>
      </c>
      <c r="G1233" s="2">
        <f t="shared" si="142"/>
        <v>0.92988038461538447</v>
      </c>
      <c r="H1233" s="2">
        <f t="shared" si="142"/>
        <v>0.91391030769230774</v>
      </c>
      <c r="I1233" s="2">
        <f t="shared" si="142"/>
        <v>0.89885869230769222</v>
      </c>
      <c r="J1233" s="2">
        <f t="shared" si="142"/>
        <v>0.92280261538461539</v>
      </c>
      <c r="K1233" s="2">
        <f t="shared" si="142"/>
        <v>0.90483546153846162</v>
      </c>
      <c r="L1233" s="2">
        <f t="shared" ref="L1233:L1235" si="143">AVERAGE(D1233:K1233)</f>
        <v>0.91005270192307697</v>
      </c>
      <c r="M1233" s="2">
        <f t="shared" ref="M1233:M1235" si="144" xml:space="preserve"> _xlfn.STDEV.S(D1233:K1233) / SQRT(COUNT(D1233:K1233))</f>
        <v>5.5570122021499279E-3</v>
      </c>
      <c r="N1233" s="2">
        <f t="shared" ref="N1233:N1235" si="145">M1233*$N$2</f>
        <v>6.2191809324515773E-3</v>
      </c>
    </row>
    <row r="1234" spans="2:14" x14ac:dyDescent="0.55000000000000004">
      <c r="C1234" s="2" t="s">
        <v>24</v>
      </c>
      <c r="D1234" s="2">
        <f t="shared" ref="D1234:K1234" si="146">AVERAGE(D90,D178,D266,D354,D442,D530,D618,D706,D794,D882,D970,D1058,D1146)</f>
        <v>0.37155146153846147</v>
      </c>
      <c r="E1234" s="2">
        <f t="shared" si="146"/>
        <v>0.44271330769230766</v>
      </c>
      <c r="F1234" s="2">
        <f t="shared" si="146"/>
        <v>0.45579723076923079</v>
      </c>
      <c r="G1234" s="2">
        <f t="shared" si="146"/>
        <v>0.3490390769230769</v>
      </c>
      <c r="H1234" s="2">
        <f t="shared" si="146"/>
        <v>0.40426076923076926</v>
      </c>
      <c r="I1234" s="2">
        <f t="shared" si="146"/>
        <v>0.43932346153846158</v>
      </c>
      <c r="J1234" s="2">
        <f t="shared" si="146"/>
        <v>0.37399684615384615</v>
      </c>
      <c r="K1234" s="2">
        <f t="shared" si="146"/>
        <v>0.42608453846153849</v>
      </c>
      <c r="L1234" s="2">
        <f t="shared" si="143"/>
        <v>0.40784583653846151</v>
      </c>
      <c r="M1234" s="2">
        <f t="shared" si="144"/>
        <v>1.3869732827519446E-2</v>
      </c>
      <c r="N1234" s="2">
        <f t="shared" si="145"/>
        <v>1.552243810185166E-2</v>
      </c>
    </row>
    <row r="1235" spans="2:14" x14ac:dyDescent="0.55000000000000004">
      <c r="C1235" s="2" t="s">
        <v>26</v>
      </c>
      <c r="D1235" s="2">
        <f t="shared" ref="D1235:K1235" si="147">AVERAGE(D91,D179,D267,D355,D443,D531,D619,D707,D795,D883,D971,D1059,D1147)</f>
        <v>0.59101399999999993</v>
      </c>
      <c r="E1235" s="2">
        <f t="shared" si="147"/>
        <v>0.68587300000000007</v>
      </c>
      <c r="F1235" s="2">
        <f t="shared" si="147"/>
        <v>0.55250776923076939</v>
      </c>
      <c r="G1235" s="2">
        <f t="shared" si="147"/>
        <v>0.71399638461538451</v>
      </c>
      <c r="H1235" s="2">
        <f t="shared" si="147"/>
        <v>0.5588186153846153</v>
      </c>
      <c r="I1235" s="2">
        <f t="shared" si="147"/>
        <v>0.59739930769230765</v>
      </c>
      <c r="J1235" s="2">
        <f t="shared" si="147"/>
        <v>0.66444576923076915</v>
      </c>
      <c r="K1235" s="2">
        <f t="shared" si="147"/>
        <v>0.50624530769230769</v>
      </c>
      <c r="L1235" s="2">
        <f t="shared" si="143"/>
        <v>0.60878751923076924</v>
      </c>
      <c r="M1235" s="2">
        <f t="shared" si="144"/>
        <v>2.5611699893639012E-2</v>
      </c>
      <c r="N1235" s="2">
        <f t="shared" si="145"/>
        <v>2.8663567728817875E-2</v>
      </c>
    </row>
    <row r="1237" spans="2:14" x14ac:dyDescent="0.55000000000000004">
      <c r="B1237" s="2" t="s">
        <v>47</v>
      </c>
      <c r="C1237" s="2" t="s">
        <v>22</v>
      </c>
      <c r="D1237" s="2">
        <v>0.97232700000000005</v>
      </c>
      <c r="E1237" s="2">
        <v>0.97169099999999997</v>
      </c>
      <c r="F1237" s="2">
        <v>0.954623</v>
      </c>
      <c r="G1237" s="2">
        <v>0.97779799999999994</v>
      </c>
      <c r="H1237" s="2">
        <v>0.96693899999999999</v>
      </c>
      <c r="I1237" s="2">
        <v>0.96068100000000001</v>
      </c>
      <c r="J1237" s="2">
        <v>0.975051</v>
      </c>
      <c r="K1237" s="2">
        <v>0.95219799999999999</v>
      </c>
      <c r="L1237" s="2">
        <f>AVERAGE(D1237:K1237)</f>
        <v>0.96641349999999993</v>
      </c>
      <c r="M1237" s="2">
        <f t="shared" ref="M1237" si="148" xml:space="preserve"> _xlfn.STDEV.S(D1237:K1237) / SQRT(COUNT(D1237:K1237))</f>
        <v>3.3839663224430232E-3</v>
      </c>
      <c r="N1237" s="2">
        <f t="shared" si="128"/>
        <v>3.7871967998295442E-3</v>
      </c>
    </row>
    <row r="1238" spans="2:14" x14ac:dyDescent="0.55000000000000004">
      <c r="C1238" s="2" t="s">
        <v>24</v>
      </c>
      <c r="D1238" s="2">
        <v>0.232407</v>
      </c>
      <c r="E1238" s="2">
        <v>0.23225899999999999</v>
      </c>
      <c r="F1238" s="2">
        <v>0.29755999999999999</v>
      </c>
      <c r="G1238" s="2">
        <v>0.209536</v>
      </c>
      <c r="H1238" s="2">
        <v>0.25414500000000001</v>
      </c>
      <c r="I1238" s="2">
        <v>0.27736699999999997</v>
      </c>
      <c r="J1238" s="2">
        <v>0.21923699999999999</v>
      </c>
      <c r="K1238" s="2">
        <v>0.30203600000000003</v>
      </c>
      <c r="L1238" s="2">
        <f t="shared" ref="L1238:L1239" si="149">AVERAGE(D1238:K1238)</f>
        <v>0.25306837500000001</v>
      </c>
      <c r="M1238" s="2">
        <f t="shared" ref="M1238:M1239" si="150" xml:space="preserve"> _xlfn.STDEV.S(D1238:K1238) / SQRT(COUNT(D1238:K1238))</f>
        <v>1.258433507798125E-2</v>
      </c>
      <c r="N1238" s="2">
        <f t="shared" si="128"/>
        <v>1.4083873476880834E-2</v>
      </c>
    </row>
    <row r="1239" spans="2:14" x14ac:dyDescent="0.55000000000000004">
      <c r="C1239" s="2" t="s">
        <v>26</v>
      </c>
      <c r="D1239" s="2">
        <v>0.742591</v>
      </c>
      <c r="E1239" s="2">
        <v>0.82995099999999999</v>
      </c>
      <c r="F1239" s="2">
        <v>0.68792600000000004</v>
      </c>
      <c r="G1239" s="2">
        <v>0.83765100000000003</v>
      </c>
      <c r="H1239" s="2">
        <v>0.73214299999999999</v>
      </c>
      <c r="I1239" s="2">
        <v>0.71574199999999999</v>
      </c>
      <c r="J1239" s="2">
        <v>0.80328100000000002</v>
      </c>
      <c r="K1239" s="2">
        <v>0.67405599999999999</v>
      </c>
      <c r="L1239" s="2">
        <f t="shared" si="149"/>
        <v>0.75291762500000003</v>
      </c>
      <c r="M1239" s="2">
        <f t="shared" si="150"/>
        <v>2.2366139021119703E-2</v>
      </c>
      <c r="N1239" s="2">
        <f t="shared" si="128"/>
        <v>2.503126865168542E-2</v>
      </c>
    </row>
    <row r="1281" spans="1:15" x14ac:dyDescent="0.55000000000000004">
      <c r="O1281" s="2" t="s">
        <v>64</v>
      </c>
    </row>
    <row r="1290" spans="1:15" x14ac:dyDescent="0.55000000000000004">
      <c r="A1290" s="2" t="s">
        <v>43</v>
      </c>
    </row>
    <row r="1349" spans="1:1" x14ac:dyDescent="0.55000000000000004">
      <c r="A1349" s="2" t="s">
        <v>44</v>
      </c>
    </row>
  </sheetData>
  <mergeCells count="1">
    <mergeCell ref="L1:L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668A-609B-4452-8A74-B74971160E38}">
  <dimension ref="A1:N1349"/>
  <sheetViews>
    <sheetView topLeftCell="A1281" zoomScale="85" zoomScaleNormal="85" workbookViewId="0">
      <selection activeCell="M10" sqref="M10"/>
    </sheetView>
  </sheetViews>
  <sheetFormatPr defaultColWidth="9" defaultRowHeight="14.4" x14ac:dyDescent="0.55000000000000004"/>
  <cols>
    <col min="1" max="1" width="23.1015625" style="2" customWidth="1"/>
    <col min="2" max="2" width="27" style="2" customWidth="1"/>
    <col min="3" max="3" width="26.1015625" style="2" customWidth="1"/>
    <col min="4" max="4" width="14.26171875" style="2" customWidth="1"/>
    <col min="5" max="5" width="12.578125" style="2" customWidth="1"/>
    <col min="6" max="6" width="11.1015625" style="2" customWidth="1"/>
    <col min="7" max="7" width="11.578125" style="2" customWidth="1"/>
    <col min="8" max="8" width="13.578125" style="2" customWidth="1"/>
    <col min="9" max="9" width="13.26171875" style="2" customWidth="1"/>
    <col min="10" max="10" width="12.734375" style="2" customWidth="1"/>
    <col min="11" max="11" width="13.26171875" style="2" customWidth="1"/>
    <col min="12" max="12" width="26.734375" style="2" customWidth="1"/>
    <col min="13" max="13" width="17.26171875" style="2" customWidth="1"/>
    <col min="14" max="14" width="21.26171875" style="2" customWidth="1"/>
    <col min="15" max="15" width="30.734375" style="2" customWidth="1"/>
    <col min="16" max="16" width="30" style="2" customWidth="1"/>
    <col min="17" max="16384" width="9" style="2"/>
  </cols>
  <sheetData>
    <row r="1" spans="1:14" ht="31.5" customHeight="1" x14ac:dyDescent="0.55000000000000004">
      <c r="A1" s="3"/>
      <c r="B1" s="3"/>
      <c r="C1" s="2" t="s">
        <v>9</v>
      </c>
      <c r="D1" s="2">
        <v>1</v>
      </c>
      <c r="E1" s="2">
        <v>2</v>
      </c>
      <c r="F1" s="2">
        <v>3</v>
      </c>
      <c r="G1" s="2">
        <v>4</v>
      </c>
      <c r="H1" s="9">
        <v>5</v>
      </c>
      <c r="I1" s="2">
        <v>6</v>
      </c>
      <c r="J1" s="2">
        <v>7</v>
      </c>
      <c r="K1" s="2">
        <v>8</v>
      </c>
      <c r="L1" s="13" t="s">
        <v>56</v>
      </c>
      <c r="M1" s="3" t="s">
        <v>57</v>
      </c>
      <c r="N1" s="2">
        <v>0.7</v>
      </c>
    </row>
    <row r="2" spans="1:14" ht="43.5" customHeight="1" x14ac:dyDescent="0.55000000000000004">
      <c r="A2" s="3"/>
      <c r="C2" s="2" t="s">
        <v>12</v>
      </c>
      <c r="D2" s="3" t="s">
        <v>48</v>
      </c>
      <c r="E2" s="3" t="s">
        <v>49</v>
      </c>
      <c r="F2" s="3" t="s">
        <v>50</v>
      </c>
      <c r="G2" s="5" t="s">
        <v>51</v>
      </c>
      <c r="H2" s="10" t="s">
        <v>52</v>
      </c>
      <c r="I2" s="11" t="s">
        <v>53</v>
      </c>
      <c r="J2" s="12" t="s">
        <v>54</v>
      </c>
      <c r="K2" s="3" t="s">
        <v>55</v>
      </c>
      <c r="L2" s="14"/>
      <c r="M2" s="3" t="s">
        <v>58</v>
      </c>
      <c r="N2" s="2">
        <f>_xlfn.T.INV.2T(1-N1, COUNT(D4:K4) - 1)</f>
        <v>1.119159128361364</v>
      </c>
    </row>
    <row r="3" spans="1:14" ht="44.1" customHeight="1" x14ac:dyDescent="0.55000000000000004">
      <c r="A3" s="3" t="s">
        <v>17</v>
      </c>
      <c r="B3" s="4"/>
      <c r="C3" s="2" t="s">
        <v>18</v>
      </c>
      <c r="D3" s="3"/>
      <c r="E3" s="3"/>
      <c r="F3" s="3"/>
      <c r="G3" s="5"/>
      <c r="H3" s="8"/>
      <c r="I3" s="6"/>
      <c r="L3" s="15"/>
      <c r="M3" s="2" t="s">
        <v>59</v>
      </c>
      <c r="N3" s="3" t="s">
        <v>60</v>
      </c>
    </row>
    <row r="4" spans="1:14" x14ac:dyDescent="0.55000000000000004">
      <c r="A4" s="2" t="s">
        <v>20</v>
      </c>
      <c r="B4" s="2" t="s">
        <v>21</v>
      </c>
      <c r="C4" s="2" t="s">
        <v>22</v>
      </c>
      <c r="D4" s="2">
        <v>0.86041299999999998</v>
      </c>
      <c r="E4" s="2">
        <v>0.90983899999999995</v>
      </c>
      <c r="F4" s="2">
        <v>0.78219300000000003</v>
      </c>
      <c r="G4" s="2">
        <v>0.758494</v>
      </c>
      <c r="H4" s="7">
        <v>0.84726900000000005</v>
      </c>
      <c r="I4" s="2">
        <v>0.88576500000000002</v>
      </c>
      <c r="J4" s="2">
        <v>0.91395700000000002</v>
      </c>
      <c r="K4" s="2">
        <v>0.74985299999999999</v>
      </c>
      <c r="L4" s="2">
        <f>AVERAGE(D4:K4)</f>
        <v>0.83847287500000001</v>
      </c>
      <c r="M4" s="2">
        <f xml:space="preserve"> _xlfn.STDEV.S(D4:K4) / SQRT(COUNT(D4:K4))</f>
        <v>2.3529536883334447E-2</v>
      </c>
      <c r="N4" s="2">
        <f>M4*$N$2</f>
        <v>2.6333295989099146E-2</v>
      </c>
    </row>
    <row r="5" spans="1:14" x14ac:dyDescent="0.55000000000000004">
      <c r="A5" s="2">
        <v>0.16700000000000001</v>
      </c>
      <c r="C5" s="2" t="s">
        <v>23</v>
      </c>
      <c r="D5" s="2">
        <v>2.6899999999999998E-4</v>
      </c>
      <c r="E5" s="2">
        <v>1.013E-3</v>
      </c>
      <c r="F5" s="2">
        <v>2.2100000000000001E-4</v>
      </c>
      <c r="G5" s="2">
        <v>6.1279999999999998E-3</v>
      </c>
      <c r="H5" s="2">
        <v>4.4700000000000002E-4</v>
      </c>
      <c r="I5" s="2">
        <v>4.8299999999999998E-4</v>
      </c>
      <c r="J5" s="2">
        <v>1.03E-4</v>
      </c>
      <c r="K5" s="2">
        <v>5.6400000000000005E-4</v>
      </c>
      <c r="L5" s="2">
        <f>SQRT((1/COUNT(D5:K5))*SUMSQ(D5:K5))</f>
        <v>2.2209670753975622E-3</v>
      </c>
    </row>
    <row r="6" spans="1:14" x14ac:dyDescent="0.55000000000000004">
      <c r="C6" s="2" t="s">
        <v>24</v>
      </c>
      <c r="D6" s="2">
        <v>0.51102000000000003</v>
      </c>
      <c r="E6" s="2">
        <v>0.41141</v>
      </c>
      <c r="F6" s="2">
        <v>0.62307000000000001</v>
      </c>
      <c r="G6" s="2">
        <v>0.65185999999999999</v>
      </c>
      <c r="H6" s="2">
        <v>0.53171000000000002</v>
      </c>
      <c r="I6" s="2">
        <v>0.46581600000000001</v>
      </c>
      <c r="J6" s="2">
        <v>0.40210000000000001</v>
      </c>
      <c r="K6" s="2">
        <v>0.67201900000000003</v>
      </c>
      <c r="L6" s="2">
        <f>AVERAGE(D6:K6)</f>
        <v>0.53362562499999999</v>
      </c>
      <c r="M6" s="2">
        <f xml:space="preserve"> _xlfn.STDEV.S(D6:K6) / SQRT(COUNT(D6:K6))</f>
        <v>3.7435866125537877E-2</v>
      </c>
      <c r="N6" s="2">
        <f>M6*$N$2</f>
        <v>4.1896691302509684E-2</v>
      </c>
    </row>
    <row r="7" spans="1:14" x14ac:dyDescent="0.55000000000000004">
      <c r="C7" s="2" t="s">
        <v>25</v>
      </c>
      <c r="D7" s="2">
        <v>4.55E-4</v>
      </c>
      <c r="E7" s="2">
        <v>2.2260000000000001E-3</v>
      </c>
      <c r="F7" s="2">
        <v>2.8600000000000001E-4</v>
      </c>
      <c r="G7" s="2">
        <v>7.1029999999999999E-3</v>
      </c>
      <c r="H7" s="2">
        <v>7.0299999999999996E-4</v>
      </c>
      <c r="I7" s="2">
        <v>9.4799999999999995E-4</v>
      </c>
      <c r="J7" s="2">
        <v>1.9599999999999999E-4</v>
      </c>
      <c r="K7" s="2">
        <v>6.7599999999999995E-4</v>
      </c>
      <c r="L7" s="2">
        <f>(1/COUNT(D7:K7))*SQRT(SUMSQ(D7:K7))</f>
        <v>9.4855820689876478E-4</v>
      </c>
    </row>
    <row r="8" spans="1:14" x14ac:dyDescent="0.55000000000000004">
      <c r="C8" s="2" t="s">
        <v>26</v>
      </c>
      <c r="D8" s="2">
        <v>0.51948499999999997</v>
      </c>
      <c r="E8" s="2">
        <v>0.63230399999999998</v>
      </c>
      <c r="F8" s="2">
        <v>0.48175400000000002</v>
      </c>
      <c r="G8" s="2">
        <v>0.46409499999999998</v>
      </c>
      <c r="H8" s="2">
        <v>0.51316200000000001</v>
      </c>
      <c r="I8" s="2">
        <v>0.406497</v>
      </c>
      <c r="J8" s="2">
        <v>0.56572900000000004</v>
      </c>
      <c r="K8" s="2">
        <v>0.32374999999999998</v>
      </c>
      <c r="L8" s="2">
        <f>AVERAGE(D8:K8)</f>
        <v>0.48834699999999998</v>
      </c>
      <c r="M8" s="2">
        <f xml:space="preserve"> _xlfn.STDEV.S(D8:K8) / SQRT(COUNT(D8:K8))</f>
        <v>3.3466447244110922E-2</v>
      </c>
      <c r="N8" s="2">
        <f>M8*$N$2</f>
        <v>3.7454279927070754E-2</v>
      </c>
    </row>
    <row r="9" spans="1:14" x14ac:dyDescent="0.55000000000000004">
      <c r="C9" s="2" t="s">
        <v>27</v>
      </c>
      <c r="D9" s="2">
        <v>5.4100000000000003E-4</v>
      </c>
      <c r="E9" s="2">
        <v>2.0470000000000002E-3</v>
      </c>
      <c r="F9" s="2">
        <v>1.8799999999999999E-4</v>
      </c>
      <c r="G9" s="2">
        <v>3.8249999999999998E-3</v>
      </c>
      <c r="H9" s="2">
        <v>6.0899999999999995E-4</v>
      </c>
      <c r="I9" s="2">
        <v>1.008E-3</v>
      </c>
      <c r="J9" s="2">
        <v>1.02E-4</v>
      </c>
      <c r="K9" s="2">
        <v>4.5399999999999998E-4</v>
      </c>
      <c r="L9" s="2">
        <f>(1/COUNT(D9:K9))*SQRT(SUMSQ(D9:K9))</f>
        <v>5.6943398432127319E-4</v>
      </c>
    </row>
    <row r="10" spans="1:14" x14ac:dyDescent="0.55000000000000004">
      <c r="C10" s="2" t="s">
        <v>28</v>
      </c>
      <c r="D10" s="2">
        <v>2.141375</v>
      </c>
      <c r="E10" s="2">
        <v>2.3006199999999999</v>
      </c>
      <c r="F10" s="2">
        <v>2.0961120000000002</v>
      </c>
      <c r="G10" s="2">
        <v>2.2531840000000001</v>
      </c>
      <c r="H10" s="2">
        <v>1.643616</v>
      </c>
      <c r="I10" s="2">
        <v>3.0212080000000001</v>
      </c>
      <c r="J10" s="2">
        <v>2.5505979999999999</v>
      </c>
      <c r="K10" s="2">
        <v>2.671856</v>
      </c>
      <c r="L10" s="2">
        <f>AVERAGE(D10:K10)</f>
        <v>2.3348211250000004</v>
      </c>
      <c r="M10" s="2">
        <f xml:space="preserve"> _xlfn.STDEV.S(D10:K10) / SQRT(COUNT(D10:K10))</f>
        <v>0.14707149746411394</v>
      </c>
      <c r="N10" s="2">
        <f>M10*$N$2</f>
        <v>0.16459640890873831</v>
      </c>
    </row>
    <row r="11" spans="1:14" x14ac:dyDescent="0.55000000000000004">
      <c r="C11" s="2" t="s">
        <v>29</v>
      </c>
      <c r="D11" s="2">
        <v>4.6119999999999998E-3</v>
      </c>
      <c r="E11" s="2">
        <v>1.4749999999999999E-2</v>
      </c>
      <c r="F11" s="2">
        <v>1.771E-3</v>
      </c>
      <c r="G11" s="2">
        <v>3.2855000000000002E-2</v>
      </c>
      <c r="H11" s="2">
        <v>4.2989999999999999E-3</v>
      </c>
      <c r="I11" s="2">
        <v>1.5013E-2</v>
      </c>
      <c r="J11" s="2">
        <v>1.0399999999999999E-3</v>
      </c>
      <c r="K11" s="2">
        <v>5.3090000000000004E-3</v>
      </c>
      <c r="L11" s="2">
        <f>(1/COUNT(D11:K11))*SQRT(SUMSQ(D11:K11))</f>
        <v>4.9914914495193721E-3</v>
      </c>
    </row>
    <row r="12" spans="1:14" x14ac:dyDescent="0.55000000000000004">
      <c r="C12" s="2" t="s">
        <v>30</v>
      </c>
      <c r="D12" s="2">
        <v>13.523778999999999</v>
      </c>
      <c r="E12" s="2">
        <v>16.025984999999999</v>
      </c>
      <c r="F12" s="2">
        <v>13.311152</v>
      </c>
      <c r="G12" s="2">
        <v>13.980570999999999</v>
      </c>
      <c r="H12" s="2">
        <v>10.419905999999999</v>
      </c>
      <c r="I12" s="2">
        <v>15.341428000000001</v>
      </c>
      <c r="J12" s="2">
        <v>16.922139999999999</v>
      </c>
      <c r="K12" s="2">
        <v>13.344561000000001</v>
      </c>
      <c r="L12" s="2">
        <f>AVERAGE(D12:K12)</f>
        <v>14.10869025</v>
      </c>
      <c r="M12" s="2">
        <f xml:space="preserve"> _xlfn.STDEV.S(D12:K12) / SQRT(COUNT(D12:K12))</f>
        <v>0.71084440156196527</v>
      </c>
      <c r="N12" s="2">
        <f>M12*$N$2</f>
        <v>0.79554800085264443</v>
      </c>
    </row>
    <row r="13" spans="1:14" x14ac:dyDescent="0.55000000000000004">
      <c r="C13" s="2" t="s">
        <v>31</v>
      </c>
      <c r="D13" s="2">
        <v>4.509E-3</v>
      </c>
      <c r="E13" s="2">
        <v>2.2946999999999999E-2</v>
      </c>
      <c r="F13" s="2">
        <v>1.3552E-2</v>
      </c>
      <c r="G13" s="2">
        <v>9.3480999999999995E-2</v>
      </c>
      <c r="H13" s="2">
        <v>2.1021999999999999E-2</v>
      </c>
      <c r="I13" s="2">
        <v>2.2506999999999999E-2</v>
      </c>
      <c r="J13" s="2">
        <v>3.2940000000000001E-3</v>
      </c>
      <c r="K13" s="2">
        <v>2.5016E-2</v>
      </c>
      <c r="L13" s="2">
        <f>(1/COUNT(D13:K13))*SQRT(SUMSQ(D13:K13))</f>
        <v>1.3142482511401717E-2</v>
      </c>
    </row>
    <row r="14" spans="1:14" x14ac:dyDescent="0.55000000000000004">
      <c r="B14" s="2" t="s">
        <v>32</v>
      </c>
      <c r="C14" s="2" t="s">
        <v>22</v>
      </c>
      <c r="D14" s="2">
        <v>0.84164300000000003</v>
      </c>
      <c r="E14" s="2">
        <v>0.89498900000000003</v>
      </c>
      <c r="F14" s="2">
        <v>0.76323200000000002</v>
      </c>
      <c r="G14" s="2">
        <v>0.86171600000000004</v>
      </c>
      <c r="H14" s="2">
        <v>0.83326299999999998</v>
      </c>
      <c r="I14" s="2">
        <v>0.87811899999999998</v>
      </c>
      <c r="J14" s="2">
        <v>0.90025100000000002</v>
      </c>
      <c r="K14" s="2">
        <v>0.74222900000000003</v>
      </c>
      <c r="L14" s="2">
        <f>AVERAGE(D14:K14)</f>
        <v>0.83943024999999993</v>
      </c>
      <c r="M14" s="2">
        <f xml:space="preserve"> _xlfn.STDEV.S(D14:K14) / SQRT(COUNT(D14:K14))</f>
        <v>2.0734977307809072E-2</v>
      </c>
      <c r="N14" s="2">
        <f>M14*$N$2</f>
        <v>2.3205739130400263E-2</v>
      </c>
    </row>
    <row r="15" spans="1:14" x14ac:dyDescent="0.55000000000000004">
      <c r="C15" s="2" t="s">
        <v>23</v>
      </c>
      <c r="D15" s="2">
        <v>1.3550000000000001E-3</v>
      </c>
      <c r="E15" s="2">
        <v>1.5610000000000001E-3</v>
      </c>
      <c r="F15" s="2">
        <v>3.405E-3</v>
      </c>
      <c r="G15" s="2">
        <v>3.6640000000000002E-3</v>
      </c>
      <c r="H15" s="2">
        <v>6.5600000000000001E-4</v>
      </c>
      <c r="I15" s="2">
        <v>1.2390000000000001E-3</v>
      </c>
      <c r="J15" s="2">
        <v>3.0219999999999999E-3</v>
      </c>
      <c r="K15" s="2">
        <v>7.4299999999999995E-4</v>
      </c>
      <c r="L15" s="2">
        <f>(1/COUNT(D15:K15))*SQRT(SUMSQ(D15:K15))</f>
        <v>7.9982084908121768E-4</v>
      </c>
    </row>
    <row r="16" spans="1:14" x14ac:dyDescent="0.55000000000000004">
      <c r="C16" s="2" t="s">
        <v>24</v>
      </c>
      <c r="D16" s="2">
        <v>0.54318900000000003</v>
      </c>
      <c r="E16" s="2">
        <v>0.44232500000000002</v>
      </c>
      <c r="F16" s="2">
        <v>0.64622199999999996</v>
      </c>
      <c r="G16" s="2">
        <v>0.50706700000000005</v>
      </c>
      <c r="H16" s="2">
        <v>0.55349099999999996</v>
      </c>
      <c r="I16" s="2">
        <v>0.48119699999999999</v>
      </c>
      <c r="J16" s="2">
        <v>0.42816399999999999</v>
      </c>
      <c r="K16" s="2">
        <v>0.68177600000000005</v>
      </c>
      <c r="L16" s="2">
        <f>AVERAGE(D16:K16)</f>
        <v>0.53542887500000003</v>
      </c>
      <c r="M16" s="2">
        <f xml:space="preserve"> _xlfn.STDEV.S(D16:K16) / SQRT(COUNT(D16:K16))</f>
        <v>3.2182136407728185E-2</v>
      </c>
      <c r="N16" s="2">
        <f>M16*$N$2</f>
        <v>3.6016931730879595E-2</v>
      </c>
    </row>
    <row r="17" spans="2:14" x14ac:dyDescent="0.55000000000000004">
      <c r="C17" s="2" t="s">
        <v>25</v>
      </c>
      <c r="D17" s="2">
        <v>1.9350000000000001E-3</v>
      </c>
      <c r="E17" s="2">
        <v>2.9719999999999998E-3</v>
      </c>
      <c r="F17" s="2">
        <v>4.0569999999999998E-3</v>
      </c>
      <c r="G17" s="2">
        <v>5.8259999999999996E-3</v>
      </c>
      <c r="H17" s="2">
        <v>9.4899999999999997E-4</v>
      </c>
      <c r="I17" s="2">
        <v>2.3059999999999999E-3</v>
      </c>
      <c r="J17" s="2">
        <v>5.6210000000000001E-3</v>
      </c>
      <c r="K17" s="2">
        <v>9.1399999999999999E-4</v>
      </c>
      <c r="L17" s="2">
        <f>(1/COUNT(D17:K17))*SQRT(SUMSQ(D17:K17))</f>
        <v>1.2601327311041485E-3</v>
      </c>
    </row>
    <row r="18" spans="2:14" x14ac:dyDescent="0.55000000000000004">
      <c r="C18" s="2" t="s">
        <v>26</v>
      </c>
      <c r="D18" s="2">
        <v>0.49988900000000003</v>
      </c>
      <c r="E18" s="2">
        <v>0.60637600000000003</v>
      </c>
      <c r="F18" s="2">
        <v>0.46671899999999999</v>
      </c>
      <c r="G18" s="2">
        <v>0.52462600000000004</v>
      </c>
      <c r="H18" s="2">
        <v>0.49573800000000001</v>
      </c>
      <c r="I18" s="2">
        <v>0.39463199999999998</v>
      </c>
      <c r="J18" s="2">
        <v>0.54294900000000001</v>
      </c>
      <c r="K18" s="2">
        <v>0.313411</v>
      </c>
      <c r="L18" s="2">
        <f>AVERAGE(D18:K18)</f>
        <v>0.48054249999999998</v>
      </c>
      <c r="M18" s="2">
        <f xml:space="preserve"> _xlfn.STDEV.S(D18:K18) / SQRT(COUNT(D18:K18))</f>
        <v>3.2121929445807426E-2</v>
      </c>
      <c r="N18" s="2">
        <f>M18*$N$2</f>
        <v>3.5949550559855069E-2</v>
      </c>
    </row>
    <row r="19" spans="2:14" x14ac:dyDescent="0.55000000000000004">
      <c r="C19" s="2" t="s">
        <v>27</v>
      </c>
      <c r="D19" s="2">
        <v>2.1819999999999999E-3</v>
      </c>
      <c r="E19" s="2">
        <v>3.1949999999999999E-3</v>
      </c>
      <c r="F19" s="2">
        <v>2.2439999999999999E-3</v>
      </c>
      <c r="G19" s="2">
        <v>7.2199999999999999E-3</v>
      </c>
      <c r="H19" s="2">
        <v>7.6199999999999998E-4</v>
      </c>
      <c r="I19" s="2">
        <v>2.163E-3</v>
      </c>
      <c r="J19" s="2">
        <v>5.3270000000000001E-3</v>
      </c>
      <c r="K19" s="2">
        <v>6.4099999999999997E-4</v>
      </c>
      <c r="L19" s="2">
        <f>(1/COUNT(D19:K19))*SQRT(SUMSQ(D19:K19))</f>
        <v>1.2880466557931821E-3</v>
      </c>
    </row>
    <row r="20" spans="2:14" x14ac:dyDescent="0.55000000000000004">
      <c r="C20" s="2" t="s">
        <v>28</v>
      </c>
      <c r="D20" s="2">
        <v>2.469519</v>
      </c>
      <c r="E20" s="2">
        <v>2.6202549999999998</v>
      </c>
      <c r="F20" s="2">
        <v>2.2883140000000002</v>
      </c>
      <c r="G20" s="2">
        <v>3.2586050000000002</v>
      </c>
      <c r="H20" s="2">
        <v>1.757965</v>
      </c>
      <c r="I20" s="2">
        <v>3.462475</v>
      </c>
      <c r="J20" s="2">
        <v>2.8900380000000001</v>
      </c>
      <c r="K20" s="2">
        <v>2.7862879999999999</v>
      </c>
      <c r="L20" s="2">
        <f>AVERAGE(D20:K20)</f>
        <v>2.6916823750000001</v>
      </c>
      <c r="M20" s="2">
        <f xml:space="preserve"> _xlfn.STDEV.S(D20:K20) / SQRT(COUNT(D20:K20))</f>
        <v>0.19146103338911116</v>
      </c>
      <c r="N20" s="2">
        <f>M20*$N$2</f>
        <v>0.21427536324292365</v>
      </c>
    </row>
    <row r="21" spans="2:14" x14ac:dyDescent="0.55000000000000004">
      <c r="C21" s="2" t="s">
        <v>29</v>
      </c>
      <c r="D21" s="2">
        <v>3.3868000000000002E-2</v>
      </c>
      <c r="E21" s="2">
        <v>2.3127999999999999E-2</v>
      </c>
      <c r="F21" s="2">
        <v>2.0081000000000002E-2</v>
      </c>
      <c r="G21" s="2">
        <v>8.1230999999999998E-2</v>
      </c>
      <c r="H21" s="2">
        <v>5.653E-3</v>
      </c>
      <c r="I21" s="2">
        <v>3.8114000000000002E-2</v>
      </c>
      <c r="J21" s="2">
        <v>5.8779999999999999E-2</v>
      </c>
      <c r="K21" s="2">
        <v>6.2620000000000002E-3</v>
      </c>
      <c r="L21" s="2">
        <f>(1/COUNT(D21:K21))*SQRT(SUMSQ(D21:K21))</f>
        <v>1.4610891795057378E-2</v>
      </c>
    </row>
    <row r="22" spans="2:14" x14ac:dyDescent="0.55000000000000004">
      <c r="C22" s="2" t="s">
        <v>30</v>
      </c>
      <c r="D22" s="2">
        <v>15.597822000000001</v>
      </c>
      <c r="E22" s="2">
        <v>17.026800999999999</v>
      </c>
      <c r="F22" s="2">
        <v>14.781198</v>
      </c>
      <c r="G22" s="2">
        <v>15.894764</v>
      </c>
      <c r="H22" s="2">
        <v>11.030169000000001</v>
      </c>
      <c r="I22" s="2">
        <v>16.070074999999999</v>
      </c>
      <c r="J22" s="2">
        <v>18.271844999999999</v>
      </c>
      <c r="K22" s="2">
        <v>13.625347</v>
      </c>
      <c r="L22" s="2">
        <f>AVERAGE(D22:K22)</f>
        <v>15.287252625000002</v>
      </c>
      <c r="M22" s="2">
        <f xml:space="preserve"> _xlfn.STDEV.S(D22:K22) / SQRT(COUNT(D22:K22))</f>
        <v>0.78094422075652803</v>
      </c>
      <c r="N22" s="2">
        <f>M22*$N$2</f>
        <v>0.87400085340072053</v>
      </c>
    </row>
    <row r="23" spans="2:14" x14ac:dyDescent="0.55000000000000004">
      <c r="C23" s="2" t="s">
        <v>31</v>
      </c>
      <c r="D23" s="2">
        <v>3.7233000000000002E-2</v>
      </c>
      <c r="E23" s="2">
        <v>3.3316999999999999E-2</v>
      </c>
      <c r="F23" s="2">
        <v>4.0288999999999998E-2</v>
      </c>
      <c r="G23" s="2">
        <v>7.8905000000000003E-2</v>
      </c>
      <c r="H23" s="2">
        <v>3.1787999999999997E-2</v>
      </c>
      <c r="I23" s="2">
        <v>5.6642999999999999E-2</v>
      </c>
      <c r="J23" s="2">
        <v>9.2985999999999999E-2</v>
      </c>
      <c r="K23" s="2">
        <v>2.3777E-2</v>
      </c>
      <c r="L23" s="2">
        <f>(1/COUNT(D23:K23))*SQRT(SUMSQ(D23:K23))</f>
        <v>1.9274404028562078E-2</v>
      </c>
    </row>
    <row r="24" spans="2:14" x14ac:dyDescent="0.55000000000000004">
      <c r="B24" s="2" t="s">
        <v>33</v>
      </c>
      <c r="C24" s="2" t="s">
        <v>22</v>
      </c>
      <c r="D24" s="2">
        <v>0.860375</v>
      </c>
      <c r="E24" s="2">
        <v>0.90964299999999998</v>
      </c>
      <c r="F24" s="2">
        <v>0.78329499999999996</v>
      </c>
      <c r="G24" s="2">
        <v>0.87469399999999997</v>
      </c>
      <c r="H24" s="2">
        <v>0.848356</v>
      </c>
      <c r="I24" s="2">
        <v>0.88722599999999996</v>
      </c>
      <c r="J24" s="2">
        <v>0.91420699999999999</v>
      </c>
      <c r="K24" s="2">
        <v>0.75075499999999995</v>
      </c>
      <c r="L24" s="2">
        <f>AVERAGE(D24:K24)</f>
        <v>0.853568875</v>
      </c>
      <c r="M24" s="2">
        <f xml:space="preserve"> _xlfn.STDEV.S(D24:K24) / SQRT(COUNT(D24:K24))</f>
        <v>2.0694620794715075E-2</v>
      </c>
      <c r="N24" s="2">
        <f>M24*$N$2</f>
        <v>2.3160573770382283E-2</v>
      </c>
    </row>
    <row r="25" spans="2:14" x14ac:dyDescent="0.55000000000000004">
      <c r="C25" s="2" t="s">
        <v>23</v>
      </c>
      <c r="D25" s="2">
        <v>1.2899999999999999E-4</v>
      </c>
      <c r="E25" s="2">
        <v>2.2900000000000001E-4</v>
      </c>
      <c r="F25" s="2">
        <v>1.12E-4</v>
      </c>
      <c r="G25" s="2">
        <v>1.4799999999999999E-4</v>
      </c>
      <c r="H25" s="2">
        <v>1.3300000000000001E-4</v>
      </c>
      <c r="I25" s="2">
        <v>1.44E-4</v>
      </c>
      <c r="J25" s="2">
        <v>8.8999999999999995E-5</v>
      </c>
      <c r="K25" s="2">
        <v>1.8100000000000001E-4</v>
      </c>
      <c r="L25" s="2">
        <f>(1/COUNT(D25:K25))*SQRT(SUMSQ(D25:K25))</f>
        <v>5.3420062944552958E-5</v>
      </c>
    </row>
    <row r="26" spans="2:14" x14ac:dyDescent="0.55000000000000004">
      <c r="C26" s="2" t="s">
        <v>24</v>
      </c>
      <c r="D26" s="2">
        <v>0.51105999999999996</v>
      </c>
      <c r="E26" s="2">
        <v>0.41186</v>
      </c>
      <c r="F26" s="2">
        <v>0.62154900000000002</v>
      </c>
      <c r="G26" s="2">
        <v>0.48539900000000002</v>
      </c>
      <c r="H26" s="2">
        <v>0.52996500000000002</v>
      </c>
      <c r="I26" s="2">
        <v>0.46290999999999999</v>
      </c>
      <c r="J26" s="2">
        <v>0.401642</v>
      </c>
      <c r="K26" s="2">
        <v>0.67096100000000003</v>
      </c>
      <c r="L26" s="2">
        <f>AVERAGE(D26:K26)</f>
        <v>0.51191825000000002</v>
      </c>
      <c r="M26" s="2">
        <f xml:space="preserve"> _xlfn.STDEV.S(D26:K26) / SQRT(COUNT(D26:K26))</f>
        <v>3.3519051977809092E-2</v>
      </c>
      <c r="N26" s="2">
        <f>M26*$N$2</f>
        <v>3.7513152994984075E-2</v>
      </c>
    </row>
    <row r="27" spans="2:14" x14ac:dyDescent="0.55000000000000004">
      <c r="C27" s="2" t="s">
        <v>25</v>
      </c>
      <c r="D27" s="2">
        <v>2.05E-4</v>
      </c>
      <c r="E27" s="2">
        <v>5.3200000000000003E-4</v>
      </c>
      <c r="F27" s="2">
        <v>1.45E-4</v>
      </c>
      <c r="G27" s="2">
        <v>2.5999999999999998E-4</v>
      </c>
      <c r="H27" s="2">
        <v>2.12E-4</v>
      </c>
      <c r="I27" s="2">
        <v>2.8299999999999999E-4</v>
      </c>
      <c r="J27" s="2">
        <v>1.93E-4</v>
      </c>
      <c r="K27" s="2">
        <v>2.24E-4</v>
      </c>
      <c r="L27" s="2">
        <f>(1/COUNT(D27:K27))*SQRT(SUMSQ(D27:K27))</f>
        <v>9.8910628852515146E-5</v>
      </c>
    </row>
    <row r="28" spans="2:14" x14ac:dyDescent="0.55000000000000004">
      <c r="C28" s="2" t="s">
        <v>26</v>
      </c>
      <c r="D28" s="2">
        <v>0.51937500000000003</v>
      </c>
      <c r="E28" s="2">
        <v>0.63163499999999995</v>
      </c>
      <c r="F28" s="2">
        <v>0.48243599999999998</v>
      </c>
      <c r="G28" s="2">
        <v>0.53470899999999999</v>
      </c>
      <c r="H28" s="2">
        <v>0.51485800000000004</v>
      </c>
      <c r="I28" s="2">
        <v>0.40942800000000001</v>
      </c>
      <c r="J28" s="2">
        <v>0.56610400000000005</v>
      </c>
      <c r="K28" s="2">
        <v>0.32522899999999999</v>
      </c>
      <c r="L28" s="2">
        <f>AVERAGE(D28:K28)</f>
        <v>0.49797175000000005</v>
      </c>
      <c r="M28" s="2">
        <f xml:space="preserve"> _xlfn.STDEV.S(D28:K28) / SQRT(COUNT(D28:K28))</f>
        <v>3.3413574777620469E-2</v>
      </c>
      <c r="N28" s="2">
        <f>M28*$N$2</f>
        <v>3.7395107223558981E-2</v>
      </c>
    </row>
    <row r="29" spans="2:14" x14ac:dyDescent="0.55000000000000004">
      <c r="C29" s="2" t="s">
        <v>27</v>
      </c>
      <c r="D29" s="2">
        <v>2.33E-4</v>
      </c>
      <c r="E29" s="2">
        <v>5.3399999999999997E-4</v>
      </c>
      <c r="F29" s="2">
        <v>8.3999999999999995E-5</v>
      </c>
      <c r="G29" s="2">
        <v>2.7599999999999999E-4</v>
      </c>
      <c r="H29" s="2">
        <v>1.74E-4</v>
      </c>
      <c r="I29" s="2">
        <v>2.5999999999999998E-4</v>
      </c>
      <c r="J29" s="2">
        <v>1.8699999999999999E-4</v>
      </c>
      <c r="K29" s="2">
        <v>1.6100000000000001E-4</v>
      </c>
      <c r="L29" s="2">
        <f>(1/COUNT(D29:K29))*SQRT(SUMSQ(D29:K29))</f>
        <v>9.5315512247482568E-5</v>
      </c>
    </row>
    <row r="30" spans="2:14" x14ac:dyDescent="0.55000000000000004">
      <c r="C30" s="2" t="s">
        <v>28</v>
      </c>
      <c r="D30" s="2">
        <v>2.143043</v>
      </c>
      <c r="E30" s="2">
        <v>2.300459</v>
      </c>
      <c r="F30" s="2">
        <v>2.099116</v>
      </c>
      <c r="G30" s="2">
        <v>2.984766</v>
      </c>
      <c r="H30" s="2">
        <v>1.6297330000000001</v>
      </c>
      <c r="I30" s="2">
        <v>2.9853589999999999</v>
      </c>
      <c r="J30" s="2">
        <v>2.5471409999999999</v>
      </c>
      <c r="K30" s="2">
        <v>2.6588099999999999</v>
      </c>
      <c r="L30" s="2">
        <f>AVERAGE(D30:K30)</f>
        <v>2.4185533750000001</v>
      </c>
      <c r="M30" s="2">
        <f xml:space="preserve"> _xlfn.STDEV.S(D30:K30) / SQRT(COUNT(D30:K30))</f>
        <v>0.16530563927712541</v>
      </c>
      <c r="N30" s="2">
        <f>M30*$N$2</f>
        <v>0.18500331516660573</v>
      </c>
    </row>
    <row r="31" spans="2:14" x14ac:dyDescent="0.55000000000000004">
      <c r="C31" s="2" t="s">
        <v>29</v>
      </c>
      <c r="D31" s="2">
        <v>2.2430000000000002E-3</v>
      </c>
      <c r="E31" s="2">
        <v>3.0829999999999998E-3</v>
      </c>
      <c r="F31" s="2">
        <v>7.7200000000000001E-4</v>
      </c>
      <c r="G31" s="2">
        <v>3.0890000000000002E-3</v>
      </c>
      <c r="H31" s="2">
        <v>1.2719999999999999E-3</v>
      </c>
      <c r="I31" s="2">
        <v>3.7859999999999999E-3</v>
      </c>
      <c r="J31" s="2">
        <v>1.5269999999999999E-3</v>
      </c>
      <c r="K31" s="2">
        <v>1.8259999999999999E-3</v>
      </c>
      <c r="L31" s="2">
        <f>(1/COUNT(D31:K31))*SQRT(SUMSQ(D31:K31))</f>
        <v>8.5047438967907789E-4</v>
      </c>
    </row>
    <row r="32" spans="2:14" x14ac:dyDescent="0.55000000000000004">
      <c r="C32" s="2" t="s">
        <v>30</v>
      </c>
      <c r="D32" s="2">
        <v>13.525725</v>
      </c>
      <c r="E32" s="2">
        <v>16.001904</v>
      </c>
      <c r="F32" s="2">
        <v>13.377329</v>
      </c>
      <c r="G32" s="2">
        <v>15.267597</v>
      </c>
      <c r="H32" s="2">
        <v>10.36205</v>
      </c>
      <c r="I32" s="2">
        <v>15.332333</v>
      </c>
      <c r="J32" s="2">
        <v>16.920188</v>
      </c>
      <c r="K32" s="2">
        <v>13.334171</v>
      </c>
      <c r="L32" s="2">
        <f>AVERAGE(D32:K32)</f>
        <v>14.265162125</v>
      </c>
      <c r="M32" s="2">
        <f xml:space="preserve"> _xlfn.STDEV.S(D32:K32) / SQRT(COUNT(D32:K32))</f>
        <v>0.72758415992325487</v>
      </c>
      <c r="N32" s="2">
        <f>M32*$N$2</f>
        <v>0.81428245422924517</v>
      </c>
    </row>
    <row r="33" spans="2:14" x14ac:dyDescent="0.55000000000000004">
      <c r="C33" s="2" t="s">
        <v>31</v>
      </c>
      <c r="D33" s="2">
        <v>3.2799999999999999E-3</v>
      </c>
      <c r="E33" s="2">
        <v>4.6109999999999996E-3</v>
      </c>
      <c r="F33" s="2">
        <v>3.4060000000000002E-3</v>
      </c>
      <c r="G33" s="2">
        <v>1.0598E-2</v>
      </c>
      <c r="H33" s="2">
        <v>5.391E-3</v>
      </c>
      <c r="I33" s="2">
        <v>6.5680000000000001E-3</v>
      </c>
      <c r="J33" s="2">
        <v>2.529E-3</v>
      </c>
      <c r="K33" s="2">
        <v>6.6319999999999999E-3</v>
      </c>
      <c r="L33" s="2">
        <f>(1/COUNT(D33:K33))*SQRT(SUMSQ(D33:K33))</f>
        <v>2.0861108064709794E-3</v>
      </c>
    </row>
    <row r="34" spans="2:14" x14ac:dyDescent="0.55000000000000004">
      <c r="B34" s="2" t="s">
        <v>34</v>
      </c>
      <c r="C34" s="2" t="s">
        <v>22</v>
      </c>
      <c r="D34" s="2">
        <v>0.82051300000000005</v>
      </c>
      <c r="E34" s="2">
        <v>0.901146</v>
      </c>
      <c r="F34" s="2">
        <v>0.76150899999999999</v>
      </c>
      <c r="G34" s="2">
        <v>0.84765800000000002</v>
      </c>
      <c r="H34" s="2">
        <v>0.83021800000000001</v>
      </c>
      <c r="I34" s="2">
        <v>0.88026000000000004</v>
      </c>
      <c r="J34" s="2">
        <v>0.90251999999999999</v>
      </c>
      <c r="K34" s="2">
        <v>0.744062</v>
      </c>
      <c r="L34" s="2">
        <f>AVERAGE(D34:K34)</f>
        <v>0.83598575000000008</v>
      </c>
      <c r="M34" s="2">
        <f xml:space="preserve"> _xlfn.STDEV.S(D34:K34) / SQRT(COUNT(D34:K34))</f>
        <v>2.1145140556866556E-2</v>
      </c>
      <c r="N34" s="2">
        <f>M34*$N$2</f>
        <v>2.3664777074701302E-2</v>
      </c>
    </row>
    <row r="35" spans="2:14" x14ac:dyDescent="0.55000000000000004">
      <c r="C35" s="2" t="s">
        <v>23</v>
      </c>
      <c r="D35" s="2">
        <v>5.0419999999999996E-3</v>
      </c>
      <c r="E35" s="2">
        <v>1.3359999999999999E-3</v>
      </c>
      <c r="F35" s="2">
        <v>1.9239999999999999E-3</v>
      </c>
      <c r="G35" s="2">
        <v>4.2430000000000002E-3</v>
      </c>
      <c r="H35" s="2">
        <v>7.7999999999999999E-4</v>
      </c>
      <c r="I35" s="2">
        <v>1.245E-3</v>
      </c>
      <c r="J35" s="2">
        <v>2.0890000000000001E-3</v>
      </c>
      <c r="K35" s="2">
        <v>6.3500000000000004E-4</v>
      </c>
      <c r="L35" s="2">
        <f>(1/COUNT(D35:K35))*SQRT(SUMSQ(D35:K35))</f>
        <v>9.3405246105344628E-4</v>
      </c>
    </row>
    <row r="36" spans="2:14" x14ac:dyDescent="0.55000000000000004">
      <c r="C36" s="2" t="s">
        <v>24</v>
      </c>
      <c r="D36" s="2">
        <v>0.572689</v>
      </c>
      <c r="E36" s="2">
        <v>0.42999599999999999</v>
      </c>
      <c r="F36" s="2">
        <v>0.64832500000000004</v>
      </c>
      <c r="G36" s="2">
        <v>0.52990899999999996</v>
      </c>
      <c r="H36" s="2">
        <v>0.55794699999999997</v>
      </c>
      <c r="I36" s="2">
        <v>0.47678300000000001</v>
      </c>
      <c r="J36" s="2">
        <v>0.42514099999999999</v>
      </c>
      <c r="K36" s="2">
        <v>0.67944199999999999</v>
      </c>
      <c r="L36" s="2">
        <f>AVERAGE(D36:K36)</f>
        <v>0.54002900000000009</v>
      </c>
      <c r="M36" s="2">
        <f xml:space="preserve"> _xlfn.STDEV.S(D36:K36) / SQRT(COUNT(D36:K36))</f>
        <v>3.3263215165984156E-2</v>
      </c>
      <c r="N36" s="2">
        <f>M36*$N$2</f>
        <v>3.7226830891659332E-2</v>
      </c>
    </row>
    <row r="37" spans="2:14" x14ac:dyDescent="0.55000000000000004">
      <c r="C37" s="2" t="s">
        <v>25</v>
      </c>
      <c r="D37" s="2">
        <v>7.554E-3</v>
      </c>
      <c r="E37" s="2">
        <v>2.702E-3</v>
      </c>
      <c r="F37" s="2">
        <v>2.2409999999999999E-3</v>
      </c>
      <c r="G37" s="2">
        <v>6.5550000000000001E-3</v>
      </c>
      <c r="H37" s="2">
        <v>1.1509999999999999E-3</v>
      </c>
      <c r="I37" s="2">
        <v>2.2899999999999999E-3</v>
      </c>
      <c r="J37" s="2">
        <v>4.1339999999999997E-3</v>
      </c>
      <c r="K37" s="2">
        <v>7.6999999999999996E-4</v>
      </c>
      <c r="L37" s="2">
        <f>(1/COUNT(D37:K37))*SQRT(SUMSQ(D37:K37))</f>
        <v>1.460979888422493E-3</v>
      </c>
    </row>
    <row r="38" spans="2:14" x14ac:dyDescent="0.55000000000000004">
      <c r="C38" s="2" t="s">
        <v>26</v>
      </c>
      <c r="D38" s="2">
        <v>0.457065</v>
      </c>
      <c r="E38" s="2">
        <v>0.613653</v>
      </c>
      <c r="F38" s="2">
        <v>0.466003</v>
      </c>
      <c r="G38" s="2">
        <v>0.49692399999999998</v>
      </c>
      <c r="H38" s="2">
        <v>0.49151299999999998</v>
      </c>
      <c r="I38" s="2">
        <v>0.39977600000000002</v>
      </c>
      <c r="J38" s="2">
        <v>0.54469999999999996</v>
      </c>
      <c r="K38" s="2">
        <v>0.317023</v>
      </c>
      <c r="L38" s="2">
        <f>AVERAGE(D38:K38)</f>
        <v>0.47333212499999999</v>
      </c>
      <c r="M38" s="2">
        <f xml:space="preserve"> _xlfn.STDEV.S(D38:K38) / SQRT(COUNT(D38:K38))</f>
        <v>3.1575256993885401E-2</v>
      </c>
      <c r="N38" s="2">
        <f>M38*$N$2</f>
        <v>3.5337737095062847E-2</v>
      </c>
    </row>
    <row r="39" spans="2:14" x14ac:dyDescent="0.55000000000000004">
      <c r="C39" s="2" t="s">
        <v>27</v>
      </c>
      <c r="D39" s="2">
        <v>7.8340000000000007E-3</v>
      </c>
      <c r="E39" s="2">
        <v>2.8010000000000001E-3</v>
      </c>
      <c r="F39" s="2">
        <v>1.2310000000000001E-3</v>
      </c>
      <c r="G39" s="2">
        <v>7.6189999999999999E-3</v>
      </c>
      <c r="H39" s="2">
        <v>9.41E-4</v>
      </c>
      <c r="I39" s="2">
        <v>2.0539999999999998E-3</v>
      </c>
      <c r="J39" s="2">
        <v>4.2290000000000001E-3</v>
      </c>
      <c r="K39" s="2">
        <v>6.8599999999999998E-4</v>
      </c>
      <c r="L39" s="2">
        <f>(1/COUNT(D39:K39))*SQRT(SUMSQ(D39:K39))</f>
        <v>1.5423253193230669E-3</v>
      </c>
    </row>
    <row r="40" spans="2:14" x14ac:dyDescent="0.55000000000000004">
      <c r="C40" s="2" t="s">
        <v>28</v>
      </c>
      <c r="D40" s="2">
        <v>2.9194149999999999</v>
      </c>
      <c r="E40" s="2">
        <v>2.4858069999999999</v>
      </c>
      <c r="F40" s="2">
        <v>2.2378520000000002</v>
      </c>
      <c r="G40" s="2">
        <v>3.538799</v>
      </c>
      <c r="H40" s="2">
        <v>1.796643</v>
      </c>
      <c r="I40" s="2">
        <v>3.4095490000000002</v>
      </c>
      <c r="J40" s="2">
        <v>2.8409779999999998</v>
      </c>
      <c r="K40" s="2">
        <v>2.7484820000000001</v>
      </c>
      <c r="L40" s="2">
        <f>AVERAGE(D40:K40)</f>
        <v>2.7471906249999996</v>
      </c>
      <c r="M40" s="2">
        <f xml:space="preserve"> _xlfn.STDEV.S(D40:K40) / SQRT(COUNT(D40:K40))</f>
        <v>0.20420181861920564</v>
      </c>
      <c r="N40" s="2">
        <f>M40*$N$2</f>
        <v>0.22853432933567552</v>
      </c>
    </row>
    <row r="41" spans="2:14" x14ac:dyDescent="0.55000000000000004">
      <c r="C41" s="2" t="s">
        <v>29</v>
      </c>
      <c r="D41" s="2">
        <v>0.105944</v>
      </c>
      <c r="E41" s="2">
        <v>1.7155E-2</v>
      </c>
      <c r="F41" s="2">
        <v>1.0937000000000001E-2</v>
      </c>
      <c r="G41" s="2">
        <v>8.6610000000000006E-2</v>
      </c>
      <c r="H41" s="2">
        <v>7.5449999999999996E-3</v>
      </c>
      <c r="I41" s="2">
        <v>3.9350000000000003E-2</v>
      </c>
      <c r="J41" s="2">
        <v>3.637E-2</v>
      </c>
      <c r="K41" s="2">
        <v>6.7250000000000001E-3</v>
      </c>
      <c r="L41" s="2">
        <f>(1/COUNT(D41:K41))*SQRT(SUMSQ(D41:K41))</f>
        <v>1.858791916138006E-2</v>
      </c>
    </row>
    <row r="42" spans="2:14" x14ac:dyDescent="0.55000000000000004">
      <c r="C42" s="2" t="s">
        <v>30</v>
      </c>
      <c r="D42" s="2">
        <v>14.788205</v>
      </c>
      <c r="E42" s="2">
        <v>16.604808999999999</v>
      </c>
      <c r="F42" s="2">
        <v>13.902208999999999</v>
      </c>
      <c r="G42" s="2">
        <v>16.661163999999999</v>
      </c>
      <c r="H42" s="2">
        <v>11.133114000000001</v>
      </c>
      <c r="I42" s="2">
        <v>15.949673000000001</v>
      </c>
      <c r="J42" s="2">
        <v>18.078036000000001</v>
      </c>
      <c r="K42" s="2">
        <v>13.588417</v>
      </c>
      <c r="L42" s="2">
        <f>AVERAGE(D42:K42)</f>
        <v>15.088203374999999</v>
      </c>
      <c r="M42" s="2">
        <f xml:space="preserve"> _xlfn.STDEV.S(D42:K42) / SQRT(COUNT(D42:K42))</f>
        <v>0.77740639775682974</v>
      </c>
      <c r="N42" s="2">
        <f>M42*$N$2</f>
        <v>0.87004146649608138</v>
      </c>
    </row>
    <row r="43" spans="2:14" x14ac:dyDescent="0.55000000000000004">
      <c r="C43" s="2" t="s">
        <v>31</v>
      </c>
      <c r="D43" s="2">
        <v>0.16689499999999999</v>
      </c>
      <c r="E43" s="2">
        <v>3.4748000000000001E-2</v>
      </c>
      <c r="F43" s="2">
        <v>3.2925000000000003E-2</v>
      </c>
      <c r="G43" s="2">
        <v>0.13866700000000001</v>
      </c>
      <c r="H43" s="2">
        <v>4.4588999999999997E-2</v>
      </c>
      <c r="I43" s="2">
        <v>9.2369999999999994E-2</v>
      </c>
      <c r="J43" s="2">
        <v>4.0261999999999999E-2</v>
      </c>
      <c r="K43" s="2">
        <v>3.2059999999999998E-2</v>
      </c>
      <c r="L43" s="2">
        <f>(1/COUNT(D43:K43))*SQRT(SUMSQ(D43:K43))</f>
        <v>3.1260804409235857E-2</v>
      </c>
    </row>
    <row r="44" spans="2:14" x14ac:dyDescent="0.55000000000000004">
      <c r="B44" s="2" t="s">
        <v>35</v>
      </c>
      <c r="C44" s="2" t="s">
        <v>22</v>
      </c>
      <c r="D44" s="2">
        <v>0.74244900000000003</v>
      </c>
      <c r="E44" s="2">
        <v>0.88784799999999997</v>
      </c>
      <c r="F44" s="2">
        <v>0.76208799999999999</v>
      </c>
      <c r="G44" s="2">
        <v>0.85478399999999999</v>
      </c>
      <c r="H44" s="2">
        <v>0.83280200000000004</v>
      </c>
      <c r="I44" s="2">
        <v>0.87378800000000001</v>
      </c>
      <c r="J44" s="2">
        <v>0.88783199999999995</v>
      </c>
      <c r="K44" s="2">
        <v>0.74244900000000003</v>
      </c>
      <c r="L44" s="2">
        <f>AVERAGE(D44:K44)</f>
        <v>0.8230050000000001</v>
      </c>
      <c r="M44" s="2">
        <f xml:space="preserve"> _xlfn.STDEV.S(D44:K44) / SQRT(COUNT(D44:K44))</f>
        <v>2.2670533454401606E-2</v>
      </c>
      <c r="N44" s="2">
        <f>M44*$N$2</f>
        <v>2.5371934460315243E-2</v>
      </c>
    </row>
    <row r="45" spans="2:14" x14ac:dyDescent="0.55000000000000004">
      <c r="C45" s="2" t="s">
        <v>23</v>
      </c>
      <c r="D45" s="2">
        <v>5.4199999999999995E-4</v>
      </c>
      <c r="E45" s="2">
        <v>1.3079999999999999E-3</v>
      </c>
      <c r="F45" s="2">
        <v>1.325E-3</v>
      </c>
      <c r="G45" s="2">
        <v>1.291E-3</v>
      </c>
      <c r="H45" s="2">
        <v>6.3900000000000003E-4</v>
      </c>
      <c r="I45" s="2">
        <v>8.1800000000000004E-4</v>
      </c>
      <c r="J45" s="2">
        <v>1.193E-3</v>
      </c>
      <c r="K45" s="2">
        <v>5.4199999999999995E-4</v>
      </c>
      <c r="L45" s="2">
        <f>(1/COUNT(D45:K45))*SQRT(SUMSQ(D45:K45))</f>
        <v>3.5841212312085651E-4</v>
      </c>
    </row>
    <row r="46" spans="2:14" x14ac:dyDescent="0.55000000000000004">
      <c r="C46" s="2" t="s">
        <v>24</v>
      </c>
      <c r="D46" s="2">
        <v>0.68140999999999996</v>
      </c>
      <c r="E46" s="2">
        <v>0.452436</v>
      </c>
      <c r="F46" s="2">
        <v>0.64636800000000005</v>
      </c>
      <c r="G46" s="2">
        <v>0.51844699999999999</v>
      </c>
      <c r="H46" s="2">
        <v>0.55427599999999999</v>
      </c>
      <c r="I46" s="2">
        <v>0.48875000000000002</v>
      </c>
      <c r="J46" s="2">
        <v>0.45205000000000001</v>
      </c>
      <c r="K46" s="2">
        <v>0.68140999999999996</v>
      </c>
      <c r="L46" s="2">
        <f>AVERAGE(D46:K46)</f>
        <v>0.55939337499999997</v>
      </c>
      <c r="M46" s="2">
        <f xml:space="preserve"> _xlfn.STDEV.S(D46:K46) / SQRT(COUNT(D46:K46))</f>
        <v>3.4588514493840636E-2</v>
      </c>
      <c r="N46" s="2">
        <f>M46*$N$2</f>
        <v>3.8710051732241089E-2</v>
      </c>
    </row>
    <row r="47" spans="2:14" x14ac:dyDescent="0.55000000000000004">
      <c r="C47" s="2" t="s">
        <v>25</v>
      </c>
      <c r="D47" s="2">
        <v>6.3900000000000003E-4</v>
      </c>
      <c r="E47" s="2">
        <v>2.539E-3</v>
      </c>
      <c r="F47" s="2">
        <v>1.4920000000000001E-3</v>
      </c>
      <c r="G47" s="2">
        <v>2.1389999999999998E-3</v>
      </c>
      <c r="H47" s="2">
        <v>9.6599999999999995E-4</v>
      </c>
      <c r="I47" s="2">
        <v>1.513E-3</v>
      </c>
      <c r="J47" s="2">
        <v>2.2039999999999998E-3</v>
      </c>
      <c r="K47" s="2">
        <v>6.3900000000000003E-4</v>
      </c>
      <c r="L47" s="2">
        <f>(1/COUNT(D47:K47))*SQRT(SUMSQ(D47:K47))</f>
        <v>5.8822414148434945E-4</v>
      </c>
    </row>
    <row r="48" spans="2:14" x14ac:dyDescent="0.55000000000000004">
      <c r="C48" s="2" t="s">
        <v>26</v>
      </c>
      <c r="D48" s="2">
        <v>0.31172</v>
      </c>
      <c r="E48" s="2">
        <v>0.58849300000000004</v>
      </c>
      <c r="F48" s="2">
        <v>0.46908899999999998</v>
      </c>
      <c r="G48" s="2">
        <v>0.49933699999999998</v>
      </c>
      <c r="H48" s="2">
        <v>0.49486000000000002</v>
      </c>
      <c r="I48" s="2">
        <v>0.38553900000000002</v>
      </c>
      <c r="J48" s="2">
        <v>0.51454</v>
      </c>
      <c r="K48" s="2">
        <v>0.31172</v>
      </c>
      <c r="L48" s="2">
        <f>AVERAGE(D48:K48)</f>
        <v>0.44691225000000001</v>
      </c>
      <c r="M48" s="2">
        <f xml:space="preserve"> _xlfn.STDEV.S(D48:K48) / SQRT(COUNT(D48:K48))</f>
        <v>3.5475931342727737E-2</v>
      </c>
      <c r="N48" s="2">
        <f>M48*$N$2</f>
        <v>3.9703212399334768E-2</v>
      </c>
    </row>
    <row r="49" spans="2:14" x14ac:dyDescent="0.55000000000000004">
      <c r="C49" s="2" t="s">
        <v>27</v>
      </c>
      <c r="D49" s="2">
        <v>6.0599999999999998E-4</v>
      </c>
      <c r="E49" s="2">
        <v>2.5209999999999998E-3</v>
      </c>
      <c r="F49" s="2">
        <v>8.61E-4</v>
      </c>
      <c r="G49" s="2">
        <v>2.4610000000000001E-3</v>
      </c>
      <c r="H49" s="2">
        <v>7.5199999999999996E-4</v>
      </c>
      <c r="I49" s="2">
        <v>1.3450000000000001E-3</v>
      </c>
      <c r="J49" s="2">
        <v>2.0820000000000001E-3</v>
      </c>
      <c r="K49" s="2">
        <v>6.0599999999999998E-4</v>
      </c>
      <c r="L49" s="2">
        <f>(1/COUNT(D49:K49))*SQRT(SUMSQ(D49:K49))</f>
        <v>5.6729908337666121E-4</v>
      </c>
    </row>
    <row r="50" spans="2:14" x14ac:dyDescent="0.55000000000000004">
      <c r="C50" s="2" t="s">
        <v>28</v>
      </c>
      <c r="D50" s="2">
        <v>2.7671190000000001</v>
      </c>
      <c r="E50" s="2">
        <v>2.6039590000000001</v>
      </c>
      <c r="F50" s="2">
        <v>2.2280389999999999</v>
      </c>
      <c r="G50" s="2">
        <v>3.3727130000000001</v>
      </c>
      <c r="H50" s="2">
        <v>1.772057</v>
      </c>
      <c r="I50" s="2">
        <v>3.418221</v>
      </c>
      <c r="J50" s="2">
        <v>3.0074809999999998</v>
      </c>
      <c r="K50" s="2">
        <v>2.7671190000000001</v>
      </c>
      <c r="L50" s="2">
        <f>AVERAGE(D50:K50)</f>
        <v>2.7420884999999999</v>
      </c>
      <c r="M50" s="2">
        <f xml:space="preserve"> _xlfn.STDEV.S(D50:K50) / SQRT(COUNT(D50:K50))</f>
        <v>0.19597815141917901</v>
      </c>
      <c r="N50" s="2">
        <f>M50*$N$2</f>
        <v>0.2193307371201598</v>
      </c>
    </row>
    <row r="51" spans="2:14" x14ac:dyDescent="0.55000000000000004">
      <c r="C51" s="2" t="s">
        <v>29</v>
      </c>
      <c r="D51" s="2">
        <v>6.3039999999999997E-3</v>
      </c>
      <c r="E51" s="2">
        <v>1.8616000000000001E-2</v>
      </c>
      <c r="F51" s="2">
        <v>7.1459999999999996E-3</v>
      </c>
      <c r="G51" s="2">
        <v>2.9489999999999999E-2</v>
      </c>
      <c r="H51" s="2">
        <v>6.2870000000000001E-3</v>
      </c>
      <c r="I51" s="2">
        <v>2.6832000000000002E-2</v>
      </c>
      <c r="J51" s="2">
        <v>2.0292000000000001E-2</v>
      </c>
      <c r="K51" s="2">
        <v>6.3039999999999997E-3</v>
      </c>
      <c r="L51" s="2">
        <f>(1/COUNT(D51:K51))*SQRT(SUMSQ(D51:K51))</f>
        <v>6.2724715535923316E-3</v>
      </c>
    </row>
    <row r="52" spans="2:14" x14ac:dyDescent="0.55000000000000004">
      <c r="C52" s="2" t="s">
        <v>30</v>
      </c>
      <c r="D52" s="2">
        <v>13.519586</v>
      </c>
      <c r="E52" s="2">
        <v>16.079159000000001</v>
      </c>
      <c r="F52" s="2">
        <v>13.607381999999999</v>
      </c>
      <c r="G52" s="2">
        <v>15.799325</v>
      </c>
      <c r="H52" s="2">
        <v>11.086842000000001</v>
      </c>
      <c r="I52" s="2">
        <v>15.909580999999999</v>
      </c>
      <c r="J52" s="2">
        <v>17.565550000000002</v>
      </c>
      <c r="K52" s="2">
        <v>13.519586</v>
      </c>
      <c r="L52" s="2">
        <f>AVERAGE(D52:K52)</f>
        <v>14.635876375000002</v>
      </c>
      <c r="M52" s="2">
        <f xml:space="preserve"> _xlfn.STDEV.S(D52:K52) / SQRT(COUNT(D52:K52))</f>
        <v>0.72932995835195913</v>
      </c>
      <c r="N52" s="2">
        <f>M52*$N$2</f>
        <v>0.81623628047700847</v>
      </c>
    </row>
    <row r="53" spans="2:14" x14ac:dyDescent="0.55000000000000004">
      <c r="C53" s="2" t="s">
        <v>31</v>
      </c>
      <c r="D53" s="2">
        <v>2.3207999999999999E-2</v>
      </c>
      <c r="E53" s="2">
        <v>2.8212000000000001E-2</v>
      </c>
      <c r="F53" s="2">
        <v>1.2434000000000001E-2</v>
      </c>
      <c r="G53" s="2">
        <v>6.1018000000000003E-2</v>
      </c>
      <c r="H53" s="2">
        <v>4.0530999999999998E-2</v>
      </c>
      <c r="I53" s="2">
        <v>3.2885999999999999E-2</v>
      </c>
      <c r="J53" s="2">
        <v>3.9611E-2</v>
      </c>
      <c r="K53" s="2">
        <v>2.3207999999999999E-2</v>
      </c>
      <c r="L53" s="2">
        <f>(1/COUNT(D53:K53))*SQRT(SUMSQ(D53:K53))</f>
        <v>1.2527608529513923E-2</v>
      </c>
    </row>
    <row r="54" spans="2:14" x14ac:dyDescent="0.55000000000000004">
      <c r="B54" s="2" t="s">
        <v>45</v>
      </c>
      <c r="C54" s="2" t="s">
        <v>22</v>
      </c>
      <c r="D54" s="2">
        <v>0.86368800000000001</v>
      </c>
      <c r="E54" s="2">
        <v>0.91187200000000002</v>
      </c>
      <c r="F54" s="2">
        <v>0.77504700000000004</v>
      </c>
      <c r="G54" s="2">
        <v>0.903111</v>
      </c>
      <c r="H54" s="2">
        <v>0.85029200000000005</v>
      </c>
      <c r="I54" s="2">
        <v>0.88248199999999999</v>
      </c>
      <c r="J54" s="2">
        <v>0.92083700000000002</v>
      </c>
      <c r="K54" s="2">
        <v>0.77505999999999997</v>
      </c>
      <c r="L54" s="2">
        <f>AVERAGE(D54:K54)</f>
        <v>0.86029862499999987</v>
      </c>
      <c r="M54" s="2">
        <f xml:space="preserve"> _xlfn.STDEV.S(D54:K54) / SQRT(COUNT(D54:K54))</f>
        <v>2.0395549496973156E-2</v>
      </c>
      <c r="N54" s="2">
        <f>M54*$N$2</f>
        <v>2.2825865397483533E-2</v>
      </c>
    </row>
    <row r="55" spans="2:14" x14ac:dyDescent="0.55000000000000004">
      <c r="C55" s="2" t="s">
        <v>23</v>
      </c>
      <c r="D55" s="2">
        <v>1.8580000000000001E-3</v>
      </c>
      <c r="E55" s="2">
        <v>1.921E-3</v>
      </c>
      <c r="F55" s="2">
        <v>5.0730000000000003E-3</v>
      </c>
      <c r="G55" s="2">
        <v>2.258E-3</v>
      </c>
      <c r="H55" s="2">
        <v>1.9090000000000001E-3</v>
      </c>
      <c r="I55" s="2">
        <v>1.5070000000000001E-3</v>
      </c>
      <c r="J55" s="2">
        <v>1.4250000000000001E-3</v>
      </c>
      <c r="K55" s="2">
        <v>1.818E-3</v>
      </c>
      <c r="L55" s="2">
        <f>(1/COUNT(D55:K55))*SQRT(SUMSQ(D55:K55))</f>
        <v>8.7702780208212343E-4</v>
      </c>
    </row>
    <row r="56" spans="2:14" x14ac:dyDescent="0.55000000000000004">
      <c r="C56" s="2" t="s">
        <v>24</v>
      </c>
      <c r="D56" s="2">
        <v>0.50536700000000001</v>
      </c>
      <c r="E56" s="2">
        <v>0.404727</v>
      </c>
      <c r="F56" s="2">
        <v>0.63231199999999999</v>
      </c>
      <c r="G56" s="2">
        <v>0.42754900000000001</v>
      </c>
      <c r="H56" s="2">
        <v>0.52691399999999999</v>
      </c>
      <c r="I56" s="2">
        <v>0.47287400000000002</v>
      </c>
      <c r="J56" s="2">
        <v>0.38503799999999999</v>
      </c>
      <c r="K56" s="2">
        <v>0.63853000000000004</v>
      </c>
      <c r="L56" s="2">
        <f>AVERAGE(D56:K56)</f>
        <v>0.49916387500000003</v>
      </c>
      <c r="M56" s="2">
        <f xml:space="preserve"> _xlfn.STDEV.S(D56:K56) / SQRT(COUNT(D56:K56))</f>
        <v>3.4258151985766899E-2</v>
      </c>
      <c r="N56" s="2">
        <f>M56*$N$2</f>
        <v>3.8340323515662016E-2</v>
      </c>
    </row>
    <row r="57" spans="2:14" x14ac:dyDescent="0.55000000000000004">
      <c r="C57" s="2" t="s">
        <v>25</v>
      </c>
      <c r="D57" s="2">
        <v>3.3419999999999999E-3</v>
      </c>
      <c r="E57" s="2">
        <v>4.0850000000000001E-3</v>
      </c>
      <c r="F57" s="2">
        <v>6.4079999999999996E-3</v>
      </c>
      <c r="G57" s="2">
        <v>4.3270000000000001E-3</v>
      </c>
      <c r="H57" s="2">
        <v>3.1389999999999999E-3</v>
      </c>
      <c r="I57" s="2">
        <v>3.075E-3</v>
      </c>
      <c r="J57" s="2">
        <v>2.4680000000000001E-3</v>
      </c>
      <c r="K57" s="2">
        <v>2.5890000000000002E-3</v>
      </c>
      <c r="L57" s="2">
        <f>(1/COUNT(D57:K57))*SQRT(SUMSQ(D57:K57))</f>
        <v>1.3678477220162339E-3</v>
      </c>
    </row>
    <row r="58" spans="2:14" x14ac:dyDescent="0.55000000000000004">
      <c r="C58" s="2" t="s">
        <v>26</v>
      </c>
      <c r="D58" s="2">
        <v>0.52351400000000003</v>
      </c>
      <c r="E58" s="2">
        <v>0.63315100000000002</v>
      </c>
      <c r="F58" s="2">
        <v>0.47691600000000001</v>
      </c>
      <c r="G58" s="2">
        <v>0.59955400000000003</v>
      </c>
      <c r="H58" s="2">
        <v>0.518289</v>
      </c>
      <c r="I58" s="2">
        <v>0.401783</v>
      </c>
      <c r="J58" s="2">
        <v>0.57872000000000001</v>
      </c>
      <c r="K58" s="2">
        <v>0.34339399999999998</v>
      </c>
      <c r="L58" s="2">
        <f>AVERAGE(D58:K58)</f>
        <v>0.50941512500000008</v>
      </c>
      <c r="M58" s="2">
        <f xml:space="preserve"> _xlfn.STDEV.S(D58:K58) / SQRT(COUNT(D58:K58))</f>
        <v>3.5030638269763881E-2</v>
      </c>
      <c r="N58" s="2">
        <f>M58*$N$2</f>
        <v>3.9204858591931187E-2</v>
      </c>
    </row>
    <row r="59" spans="2:14" x14ac:dyDescent="0.55000000000000004">
      <c r="C59" s="2" t="s">
        <v>27</v>
      </c>
      <c r="D59" s="2">
        <v>3.496E-3</v>
      </c>
      <c r="E59" s="2">
        <v>3.8990000000000001E-3</v>
      </c>
      <c r="F59" s="2">
        <v>2.977E-3</v>
      </c>
      <c r="G59" s="2">
        <v>4.9230000000000003E-3</v>
      </c>
      <c r="H59" s="2">
        <v>2.457E-3</v>
      </c>
      <c r="I59" s="2">
        <v>2.5739999999999999E-3</v>
      </c>
      <c r="J59" s="2">
        <v>2.5469999999999998E-3</v>
      </c>
      <c r="K59" s="2">
        <v>1.766E-3</v>
      </c>
      <c r="L59" s="2">
        <f>(1/COUNT(D59:K59))*SQRT(SUMSQ(D59:K59))</f>
        <v>1.1373692575962302E-3</v>
      </c>
    </row>
    <row r="60" spans="2:14" x14ac:dyDescent="0.55000000000000004">
      <c r="C60" s="2" t="s">
        <v>28</v>
      </c>
      <c r="D60" s="2">
        <v>2.0515400000000001</v>
      </c>
      <c r="E60" s="2">
        <v>2.214426</v>
      </c>
      <c r="F60" s="2">
        <v>2.0879799999999999</v>
      </c>
      <c r="G60" s="2">
        <v>2.4865189999999999</v>
      </c>
      <c r="H60" s="2">
        <v>1.581575</v>
      </c>
      <c r="I60" s="2">
        <v>3.6298759999999999</v>
      </c>
      <c r="J60" s="2">
        <v>2.4009770000000001</v>
      </c>
      <c r="K60" s="2">
        <v>2.496407</v>
      </c>
      <c r="L60" s="2">
        <f>AVERAGE(D60:K60)</f>
        <v>2.3686625000000001</v>
      </c>
      <c r="M60" s="2">
        <f xml:space="preserve"> _xlfn.STDEV.S(D60:K60) / SQRT(COUNT(D60:K60))</f>
        <v>0.20893255523895365</v>
      </c>
      <c r="N60" s="2">
        <f>M60*$N$2</f>
        <v>0.23382877640753991</v>
      </c>
    </row>
    <row r="61" spans="2:14" x14ac:dyDescent="0.55000000000000004">
      <c r="C61" s="2" t="s">
        <v>29</v>
      </c>
      <c r="D61" s="2">
        <v>3.5576999999999998E-2</v>
      </c>
      <c r="E61" s="2">
        <v>2.6179000000000001E-2</v>
      </c>
      <c r="F61" s="2">
        <v>3.4216999999999997E-2</v>
      </c>
      <c r="G61" s="2">
        <v>3.7664999999999997E-2</v>
      </c>
      <c r="H61" s="2">
        <v>1.5903E-2</v>
      </c>
      <c r="I61" s="2">
        <v>3.8732999999999997E-2</v>
      </c>
      <c r="J61" s="2">
        <v>2.2839999999999999E-2</v>
      </c>
      <c r="K61" s="2">
        <v>2.6147E-2</v>
      </c>
      <c r="L61" s="2">
        <f>(1/COUNT(D61:K61))*SQRT(SUMSQ(D61:K61))</f>
        <v>1.0824595973262697E-2</v>
      </c>
    </row>
    <row r="62" spans="2:14" x14ac:dyDescent="0.55000000000000004">
      <c r="C62" s="2" t="s">
        <v>30</v>
      </c>
      <c r="D62" s="2">
        <v>12.981826999999999</v>
      </c>
      <c r="E62" s="2">
        <v>15.331885</v>
      </c>
      <c r="F62" s="2">
        <v>13.100978</v>
      </c>
      <c r="G62" s="2">
        <v>14.491324000000001</v>
      </c>
      <c r="H62" s="2">
        <v>10.165792</v>
      </c>
      <c r="I62" s="2">
        <v>17.431805000000001</v>
      </c>
      <c r="J62" s="2">
        <v>16.564841999999999</v>
      </c>
      <c r="K62" s="2">
        <v>12.631667</v>
      </c>
      <c r="L62" s="2">
        <f>AVERAGE(D62:K62)</f>
        <v>14.087515</v>
      </c>
      <c r="M62" s="2">
        <f xml:space="preserve"> _xlfn.STDEV.S(D62:K62) / SQRT(COUNT(D62:K62))</f>
        <v>0.83160933659591663</v>
      </c>
      <c r="N62" s="2">
        <f>M62*$N$2</f>
        <v>0.93070318028185817</v>
      </c>
    </row>
    <row r="63" spans="2:14" x14ac:dyDescent="0.55000000000000004">
      <c r="C63" s="2" t="s">
        <v>31</v>
      </c>
      <c r="D63" s="2">
        <v>6.1882E-2</v>
      </c>
      <c r="E63" s="2">
        <v>5.8400000000000001E-2</v>
      </c>
      <c r="F63" s="2">
        <v>5.0821999999999999E-2</v>
      </c>
      <c r="G63" s="2">
        <v>8.3625000000000005E-2</v>
      </c>
      <c r="H63" s="2">
        <v>3.1845999999999999E-2</v>
      </c>
      <c r="I63" s="2">
        <v>4.9433999999999999E-2</v>
      </c>
      <c r="J63" s="2">
        <v>7.1295999999999998E-2</v>
      </c>
      <c r="K63" s="2">
        <v>4.6559999999999997E-2</v>
      </c>
      <c r="L63" s="2">
        <f>(1/COUNT(D63:K63))*SQRT(SUMSQ(D63:K63))</f>
        <v>2.0738249504614052E-2</v>
      </c>
    </row>
    <row r="64" spans="2:14" x14ac:dyDescent="0.55000000000000004">
      <c r="B64" s="2" t="s">
        <v>46</v>
      </c>
      <c r="C64" s="2" t="s">
        <v>22</v>
      </c>
      <c r="L64" s="2" t="e">
        <f>AVERAGE(D64:K64)</f>
        <v>#DIV/0!</v>
      </c>
      <c r="M64" s="2" t="e">
        <f xml:space="preserve"> _xlfn.STDEV.S(D64:K64) / SQRT(COUNT(D64:K64))</f>
        <v>#DIV/0!</v>
      </c>
      <c r="N64" s="2" t="e">
        <f>M64*$N$2</f>
        <v>#DIV/0!</v>
      </c>
    </row>
    <row r="65" spans="2:14" x14ac:dyDescent="0.55000000000000004">
      <c r="C65" s="2" t="s">
        <v>23</v>
      </c>
      <c r="L65" s="2" t="e">
        <f>(1/COUNT(D65:K65))*SQRT(SUMSQ(D65:K65))</f>
        <v>#DIV/0!</v>
      </c>
    </row>
    <row r="66" spans="2:14" x14ac:dyDescent="0.55000000000000004">
      <c r="C66" s="2" t="s">
        <v>24</v>
      </c>
      <c r="L66" s="2" t="e">
        <f>AVERAGE(D66:K66)</f>
        <v>#DIV/0!</v>
      </c>
      <c r="M66" s="2" t="e">
        <f xml:space="preserve"> _xlfn.STDEV.S(D66:K66) / SQRT(COUNT(D66:K66))</f>
        <v>#DIV/0!</v>
      </c>
      <c r="N66" s="2" t="e">
        <f>M66*$N$2</f>
        <v>#DIV/0!</v>
      </c>
    </row>
    <row r="67" spans="2:14" x14ac:dyDescent="0.55000000000000004">
      <c r="C67" s="2" t="s">
        <v>25</v>
      </c>
      <c r="L67" s="2" t="e">
        <f>(1/COUNT(D67:K67))*SQRT(SUMSQ(D67:K67))</f>
        <v>#DIV/0!</v>
      </c>
    </row>
    <row r="68" spans="2:14" x14ac:dyDescent="0.55000000000000004">
      <c r="C68" s="2" t="s">
        <v>26</v>
      </c>
      <c r="L68" s="2" t="e">
        <f>AVERAGE(D68:K68)</f>
        <v>#DIV/0!</v>
      </c>
      <c r="M68" s="2" t="e">
        <f xml:space="preserve"> _xlfn.STDEV.S(D68:K68) / SQRT(COUNT(D68:K68))</f>
        <v>#DIV/0!</v>
      </c>
      <c r="N68" s="2" t="e">
        <f>M68*$N$2</f>
        <v>#DIV/0!</v>
      </c>
    </row>
    <row r="69" spans="2:14" x14ac:dyDescent="0.55000000000000004">
      <c r="C69" s="2" t="s">
        <v>27</v>
      </c>
      <c r="L69" s="2" t="e">
        <f>(1/COUNT(D69:K69))*SQRT(SUMSQ(D69:K69))</f>
        <v>#DIV/0!</v>
      </c>
    </row>
    <row r="70" spans="2:14" x14ac:dyDescent="0.55000000000000004">
      <c r="C70" s="2" t="s">
        <v>28</v>
      </c>
      <c r="L70" s="2" t="e">
        <f>AVERAGE(D70:K70)</f>
        <v>#DIV/0!</v>
      </c>
      <c r="M70" s="2" t="e">
        <f xml:space="preserve"> _xlfn.STDEV.S(D70:K70) / SQRT(COUNT(D70:K70))</f>
        <v>#DIV/0!</v>
      </c>
      <c r="N70" s="2" t="e">
        <f>M70*$N$2</f>
        <v>#DIV/0!</v>
      </c>
    </row>
    <row r="71" spans="2:14" x14ac:dyDescent="0.55000000000000004">
      <c r="C71" s="2" t="s">
        <v>29</v>
      </c>
      <c r="L71" s="2" t="e">
        <f>(1/COUNT(D71:K71))*SQRT(SUMSQ(D71:K71))</f>
        <v>#DIV/0!</v>
      </c>
    </row>
    <row r="72" spans="2:14" x14ac:dyDescent="0.55000000000000004">
      <c r="C72" s="2" t="s">
        <v>30</v>
      </c>
      <c r="L72" s="2" t="e">
        <f>AVERAGE(D72:K72)</f>
        <v>#DIV/0!</v>
      </c>
      <c r="M72" s="2" t="e">
        <f xml:space="preserve"> _xlfn.STDEV.S(D72:K72) / SQRT(COUNT(D72:K72))</f>
        <v>#DIV/0!</v>
      </c>
      <c r="N72" s="2" t="e">
        <f>M72*$N$2</f>
        <v>#DIV/0!</v>
      </c>
    </row>
    <row r="73" spans="2:14" x14ac:dyDescent="0.55000000000000004">
      <c r="C73" s="2" t="s">
        <v>31</v>
      </c>
      <c r="L73" s="2" t="e">
        <f>(1/COUNT(D73:K73))*SQRT(SUMSQ(D73:K73))</f>
        <v>#DIV/0!</v>
      </c>
    </row>
    <row r="74" spans="2:14" x14ac:dyDescent="0.55000000000000004">
      <c r="B74" s="2" t="s">
        <v>36</v>
      </c>
      <c r="C74" s="2" t="s">
        <v>22</v>
      </c>
      <c r="D74" s="2">
        <v>0.86951999999999996</v>
      </c>
      <c r="E74" s="2">
        <v>0.91871800000000003</v>
      </c>
      <c r="F74" s="2">
        <v>0.78308699999999998</v>
      </c>
      <c r="G74" s="2">
        <v>0.905644</v>
      </c>
      <c r="H74" s="2">
        <v>0.85648100000000005</v>
      </c>
      <c r="I74" s="2">
        <v>0.88989200000000002</v>
      </c>
      <c r="J74" s="2">
        <v>0.92552599999999996</v>
      </c>
      <c r="K74" s="2">
        <v>0.77251000000000003</v>
      </c>
      <c r="L74" s="2">
        <f>AVERAGE(D74:K74)</f>
        <v>0.86517224999999987</v>
      </c>
      <c r="M74" s="2">
        <f xml:space="preserve"> _xlfn.STDEV.S(D74:K74) / SQRT(COUNT(D74:K74))</f>
        <v>2.0778368159793694E-2</v>
      </c>
      <c r="N74" s="2">
        <f>M74*$N$2</f>
        <v>2.3254300398486229E-2</v>
      </c>
    </row>
    <row r="75" spans="2:14" x14ac:dyDescent="0.55000000000000004">
      <c r="C75" s="2" t="s">
        <v>24</v>
      </c>
      <c r="D75" s="2">
        <v>0.49513099999999999</v>
      </c>
      <c r="E75" s="2">
        <v>0.39050499999999999</v>
      </c>
      <c r="F75" s="2">
        <v>0.62199099999999996</v>
      </c>
      <c r="G75" s="2">
        <v>0.42332700000000001</v>
      </c>
      <c r="H75" s="2">
        <v>0.51618399999999998</v>
      </c>
      <c r="I75" s="2">
        <v>0.458264</v>
      </c>
      <c r="J75" s="2">
        <v>0.37494</v>
      </c>
      <c r="K75" s="2">
        <v>0.64186200000000004</v>
      </c>
      <c r="L75" s="2">
        <f t="shared" ref="L75:L92" si="0">AVERAGE(D75:K75)</f>
        <v>0.49027549999999998</v>
      </c>
      <c r="M75" s="2">
        <f t="shared" ref="M75:M91" si="1" xml:space="preserve"> _xlfn.STDEV.S(D75:K75) / SQRT(COUNT(D75:K75))</f>
        <v>3.5301136715307921E-2</v>
      </c>
      <c r="N75" s="2">
        <f t="shared" ref="N75:N91" si="2">M75*$N$2</f>
        <v>3.950758939646936E-2</v>
      </c>
    </row>
    <row r="76" spans="2:14" x14ac:dyDescent="0.55000000000000004">
      <c r="C76" s="2" t="s">
        <v>26</v>
      </c>
      <c r="D76" s="2">
        <v>0.53613200000000005</v>
      </c>
      <c r="E76" s="2">
        <v>0.64738099999999998</v>
      </c>
      <c r="F76" s="2">
        <v>0.48223700000000003</v>
      </c>
      <c r="G76" s="2">
        <v>0.605464</v>
      </c>
      <c r="H76" s="2">
        <v>0.52665499999999998</v>
      </c>
      <c r="I76" s="2">
        <v>0.41505700000000001</v>
      </c>
      <c r="J76" s="2">
        <v>0.58725499999999997</v>
      </c>
      <c r="K76" s="2">
        <v>0.34128199999999997</v>
      </c>
      <c r="L76" s="2">
        <f t="shared" si="0"/>
        <v>0.51768287499999999</v>
      </c>
      <c r="M76" s="2">
        <f t="shared" si="1"/>
        <v>3.602926100677329E-2</v>
      </c>
      <c r="N76" s="2">
        <f t="shared" si="2"/>
        <v>4.0322476343844477E-2</v>
      </c>
    </row>
    <row r="77" spans="2:14" x14ac:dyDescent="0.55000000000000004">
      <c r="C77" s="2" t="s">
        <v>28</v>
      </c>
      <c r="D77" s="2">
        <v>1.9154199999999999</v>
      </c>
      <c r="E77" s="2">
        <v>2.1219440000000001</v>
      </c>
      <c r="F77" s="2">
        <v>2.021239</v>
      </c>
      <c r="G77" s="2">
        <v>2.463206</v>
      </c>
      <c r="H77" s="2">
        <v>1.526022</v>
      </c>
      <c r="I77" s="2">
        <v>3.3461940000000001</v>
      </c>
      <c r="J77" s="2">
        <v>2.3201209999999999</v>
      </c>
      <c r="K77" s="2">
        <v>2.510084</v>
      </c>
      <c r="L77" s="2">
        <f t="shared" si="0"/>
        <v>2.2780287499999998</v>
      </c>
      <c r="M77" s="2">
        <f t="shared" si="1"/>
        <v>0.18983976769415242</v>
      </c>
      <c r="N77" s="2">
        <f t="shared" si="2"/>
        <v>0.21246090894091146</v>
      </c>
    </row>
    <row r="78" spans="2:14" x14ac:dyDescent="0.55000000000000004">
      <c r="C78" s="2" t="s">
        <v>30</v>
      </c>
      <c r="D78" s="2">
        <v>12.778760999999999</v>
      </c>
      <c r="E78" s="2">
        <v>15.279602000000001</v>
      </c>
      <c r="F78" s="2">
        <v>12.779984000000001</v>
      </c>
      <c r="G78" s="2">
        <v>14.236516</v>
      </c>
      <c r="H78" s="2">
        <v>9.977366</v>
      </c>
      <c r="I78" s="2">
        <v>17.475238000000001</v>
      </c>
      <c r="J78" s="2">
        <v>16.470448000000001</v>
      </c>
      <c r="K78" s="2">
        <v>12.754531999999999</v>
      </c>
      <c r="L78" s="2">
        <f t="shared" si="0"/>
        <v>13.969055875</v>
      </c>
      <c r="M78" s="2">
        <f t="shared" si="1"/>
        <v>0.85124584995200647</v>
      </c>
      <c r="N78" s="2">
        <f t="shared" si="2"/>
        <v>0.95267956345351601</v>
      </c>
    </row>
    <row r="79" spans="2:14" x14ac:dyDescent="0.55000000000000004">
      <c r="B79" s="2" t="s">
        <v>37</v>
      </c>
      <c r="C79" s="2" t="s">
        <v>22</v>
      </c>
      <c r="D79" s="2">
        <v>0.85345000000000004</v>
      </c>
      <c r="E79" s="2">
        <v>0.90809700000000004</v>
      </c>
      <c r="F79" s="2">
        <v>0.78128799999999998</v>
      </c>
      <c r="G79" s="2">
        <v>0.87892800000000004</v>
      </c>
      <c r="H79" s="2">
        <v>0.84304299999999999</v>
      </c>
      <c r="I79" s="2">
        <v>0.88812100000000005</v>
      </c>
      <c r="J79" s="2">
        <v>0.91181000000000001</v>
      </c>
      <c r="K79" s="2">
        <v>0.74505299999999997</v>
      </c>
      <c r="L79" s="2">
        <f t="shared" si="0"/>
        <v>0.85122374999999995</v>
      </c>
      <c r="M79" s="2">
        <f t="shared" si="1"/>
        <v>2.1242356156097666E-2</v>
      </c>
      <c r="N79" s="2">
        <f t="shared" si="2"/>
        <v>2.3773576799999918E-2</v>
      </c>
    </row>
    <row r="80" spans="2:14" x14ac:dyDescent="0.55000000000000004">
      <c r="C80" s="2" t="s">
        <v>24</v>
      </c>
      <c r="D80" s="2">
        <v>0.52486299999999997</v>
      </c>
      <c r="E80" s="2">
        <v>0.41522900000000001</v>
      </c>
      <c r="F80" s="2">
        <v>0.62418200000000001</v>
      </c>
      <c r="G80" s="2">
        <v>0.477134</v>
      </c>
      <c r="H80" s="2">
        <v>0.538497</v>
      </c>
      <c r="I80" s="2">
        <v>0.46244499999999999</v>
      </c>
      <c r="J80" s="2">
        <v>0.40604000000000001</v>
      </c>
      <c r="K80" s="2">
        <v>0.678481</v>
      </c>
      <c r="L80" s="2">
        <f t="shared" si="0"/>
        <v>0.51585887499999994</v>
      </c>
      <c r="M80" s="2">
        <f t="shared" si="1"/>
        <v>3.4151089962441629E-2</v>
      </c>
      <c r="N80" s="2">
        <f t="shared" si="2"/>
        <v>3.8220504074956703E-2</v>
      </c>
    </row>
    <row r="81" spans="1:14" x14ac:dyDescent="0.55000000000000004">
      <c r="C81" s="2" t="s">
        <v>26</v>
      </c>
      <c r="D81" s="2">
        <v>0.51229199999999997</v>
      </c>
      <c r="E81" s="2">
        <v>0.62639</v>
      </c>
      <c r="F81" s="2">
        <v>0.48111900000000002</v>
      </c>
      <c r="G81" s="2">
        <v>0.55044400000000004</v>
      </c>
      <c r="H81" s="2">
        <v>0.50735399999999997</v>
      </c>
      <c r="I81" s="2">
        <v>0.41351100000000002</v>
      </c>
      <c r="J81" s="2">
        <v>0.56367599999999995</v>
      </c>
      <c r="K81" s="2">
        <v>0.31861699999999998</v>
      </c>
      <c r="L81" s="2">
        <f t="shared" si="0"/>
        <v>0.49667537500000003</v>
      </c>
      <c r="M81" s="2">
        <f t="shared" si="1"/>
        <v>3.3654506096051841E-2</v>
      </c>
      <c r="N81" s="2">
        <f t="shared" si="2"/>
        <v>3.7664747707889593E-2</v>
      </c>
    </row>
    <row r="82" spans="1:14" x14ac:dyDescent="0.55000000000000004">
      <c r="C82" s="2" t="s">
        <v>28</v>
      </c>
      <c r="D82" s="2">
        <v>2.2898299999999998</v>
      </c>
      <c r="E82" s="2">
        <v>2.3327110000000002</v>
      </c>
      <c r="F82" s="2">
        <v>2.131637</v>
      </c>
      <c r="G82" s="2">
        <v>2.8753630000000001</v>
      </c>
      <c r="H82" s="2">
        <v>1.70566</v>
      </c>
      <c r="I82" s="2">
        <v>3.2542990000000001</v>
      </c>
      <c r="J82" s="2">
        <v>2.5889739999999999</v>
      </c>
      <c r="K82" s="2">
        <v>2.7755879999999999</v>
      </c>
      <c r="L82" s="2">
        <f t="shared" si="0"/>
        <v>2.4942577499999996</v>
      </c>
      <c r="M82" s="2">
        <f t="shared" si="1"/>
        <v>0.17072796176015548</v>
      </c>
      <c r="N82" s="2">
        <f t="shared" si="2"/>
        <v>0.19107175687040789</v>
      </c>
    </row>
    <row r="83" spans="1:14" x14ac:dyDescent="0.55000000000000004">
      <c r="C83" s="2" t="s">
        <v>30</v>
      </c>
      <c r="D83" s="2">
        <v>14.667989</v>
      </c>
      <c r="E83" s="2">
        <v>16.050881</v>
      </c>
      <c r="F83" s="2">
        <v>13.813867999999999</v>
      </c>
      <c r="G83" s="2">
        <v>14.780381999999999</v>
      </c>
      <c r="H83" s="2">
        <v>11.012396000000001</v>
      </c>
      <c r="I83" s="2">
        <v>16.064730000000001</v>
      </c>
      <c r="J83" s="2">
        <v>17.758837</v>
      </c>
      <c r="K83" s="2">
        <v>13.829855999999999</v>
      </c>
      <c r="L83" s="2">
        <f t="shared" si="0"/>
        <v>14.747367375</v>
      </c>
      <c r="M83" s="2">
        <f t="shared" si="1"/>
        <v>0.70930287240531509</v>
      </c>
      <c r="N83" s="2">
        <f t="shared" si="2"/>
        <v>0.79382278442534426</v>
      </c>
    </row>
    <row r="84" spans="1:14" x14ac:dyDescent="0.55000000000000004">
      <c r="B84" s="2" t="s">
        <v>39</v>
      </c>
      <c r="C84" s="2" t="s">
        <v>22</v>
      </c>
      <c r="D84" s="2">
        <v>0.86098200000000003</v>
      </c>
      <c r="E84" s="2">
        <v>0.91195899999999996</v>
      </c>
      <c r="F84" s="2">
        <v>0.78440699999999997</v>
      </c>
      <c r="G84" s="2">
        <v>0.86492400000000003</v>
      </c>
      <c r="H84" s="2">
        <v>0.85129500000000002</v>
      </c>
      <c r="I84" s="2">
        <v>0.89205199999999996</v>
      </c>
      <c r="J84" s="2">
        <v>0.91497799999999996</v>
      </c>
      <c r="K84" s="2">
        <v>0.71909999999999996</v>
      </c>
      <c r="L84" s="2">
        <f t="shared" si="0"/>
        <v>0.8499621249999999</v>
      </c>
      <c r="M84" s="2">
        <f t="shared" si="1"/>
        <v>2.3759087046130896E-2</v>
      </c>
      <c r="N84" s="2">
        <f t="shared" si="2"/>
        <v>2.6590199149209629E-2</v>
      </c>
    </row>
    <row r="85" spans="1:14" x14ac:dyDescent="0.55000000000000004">
      <c r="C85" s="2" t="s">
        <v>24</v>
      </c>
      <c r="D85" s="2">
        <v>0.51032900000000003</v>
      </c>
      <c r="E85" s="2">
        <v>0.40678199999999998</v>
      </c>
      <c r="F85" s="2">
        <v>0.62011700000000003</v>
      </c>
      <c r="G85" s="2">
        <v>0.50255300000000003</v>
      </c>
      <c r="H85" s="2">
        <v>0.52516600000000002</v>
      </c>
      <c r="I85" s="2">
        <v>0.45323400000000003</v>
      </c>
      <c r="J85" s="2">
        <v>0.40006700000000001</v>
      </c>
      <c r="K85" s="2">
        <v>0.70343199999999995</v>
      </c>
      <c r="L85" s="2">
        <f t="shared" si="0"/>
        <v>0.51521000000000006</v>
      </c>
      <c r="M85" s="2">
        <f t="shared" si="1"/>
        <v>3.673547134777029E-2</v>
      </c>
      <c r="N85" s="2">
        <f t="shared" si="2"/>
        <v>4.1112838093514459E-2</v>
      </c>
    </row>
    <row r="86" spans="1:14" x14ac:dyDescent="0.55000000000000004">
      <c r="C86" s="2" t="s">
        <v>26</v>
      </c>
      <c r="D86" s="2">
        <v>0.520119</v>
      </c>
      <c r="E86" s="2">
        <v>0.63766500000000004</v>
      </c>
      <c r="F86" s="2">
        <v>0.48349799999999998</v>
      </c>
      <c r="G86" s="2">
        <v>0.53210500000000005</v>
      </c>
      <c r="H86" s="2">
        <v>0.51920900000000003</v>
      </c>
      <c r="I86" s="2">
        <v>0.417821</v>
      </c>
      <c r="J86" s="2">
        <v>0.56761399999999995</v>
      </c>
      <c r="K86" s="2">
        <v>0.29957899999999998</v>
      </c>
      <c r="L86" s="2">
        <f t="shared" si="0"/>
        <v>0.49720124999999998</v>
      </c>
      <c r="M86" s="2">
        <f t="shared" si="1"/>
        <v>3.5971073041279639E-2</v>
      </c>
      <c r="N86" s="2">
        <f t="shared" si="2"/>
        <v>4.0257354751101482E-2</v>
      </c>
    </row>
    <row r="87" spans="1:14" x14ac:dyDescent="0.55000000000000004">
      <c r="C87" s="2" t="s">
        <v>28</v>
      </c>
      <c r="D87" s="2">
        <v>2.1328149999999999</v>
      </c>
      <c r="E87" s="2">
        <v>2.269304</v>
      </c>
      <c r="F87" s="2">
        <v>2.0928040000000001</v>
      </c>
      <c r="G87" s="2">
        <v>3.167421</v>
      </c>
      <c r="H87" s="2">
        <v>1.6020080000000001</v>
      </c>
      <c r="I87" s="2">
        <v>2.8984899999999998</v>
      </c>
      <c r="J87" s="2">
        <v>2.5357120000000002</v>
      </c>
      <c r="K87" s="2">
        <v>3.502532</v>
      </c>
      <c r="L87" s="2">
        <f t="shared" si="0"/>
        <v>2.52513575</v>
      </c>
      <c r="M87" s="2">
        <f t="shared" si="1"/>
        <v>0.22223620256889054</v>
      </c>
      <c r="N87" s="2">
        <f t="shared" si="2"/>
        <v>0.24871767475733905</v>
      </c>
    </row>
    <row r="88" spans="1:14" x14ac:dyDescent="0.55000000000000004">
      <c r="C88" s="2" t="s">
        <v>30</v>
      </c>
      <c r="D88" s="2">
        <v>13.548735000000001</v>
      </c>
      <c r="E88" s="2">
        <v>16.015637999999999</v>
      </c>
      <c r="F88" s="2">
        <v>13.325196</v>
      </c>
      <c r="G88" s="2">
        <v>15.759347999999999</v>
      </c>
      <c r="H88" s="2">
        <v>10.233008</v>
      </c>
      <c r="I88" s="2">
        <v>15.301273999999999</v>
      </c>
      <c r="J88" s="2">
        <v>16.892299000000001</v>
      </c>
      <c r="K88" s="2">
        <v>16.522532999999999</v>
      </c>
      <c r="L88" s="2">
        <f t="shared" si="0"/>
        <v>14.699753875000001</v>
      </c>
      <c r="M88" s="2">
        <f t="shared" si="1"/>
        <v>0.78503830182717005</v>
      </c>
      <c r="N88" s="2">
        <f t="shared" si="2"/>
        <v>0.87858278160318104</v>
      </c>
    </row>
    <row r="89" spans="1:14" x14ac:dyDescent="0.55000000000000004">
      <c r="B89" s="2" t="s">
        <v>61</v>
      </c>
      <c r="C89" s="2" t="s">
        <v>22</v>
      </c>
      <c r="D89" s="2">
        <v>0.89872200000000002</v>
      </c>
      <c r="E89" s="2">
        <v>0.934944</v>
      </c>
      <c r="F89" s="2">
        <v>0.84722600000000003</v>
      </c>
      <c r="G89" s="2">
        <v>0.93304600000000004</v>
      </c>
      <c r="H89" s="2">
        <v>0.89434899999999995</v>
      </c>
      <c r="I89" s="2">
        <v>0.92859499999999995</v>
      </c>
      <c r="J89" s="2">
        <v>0.94691400000000003</v>
      </c>
      <c r="K89" s="2">
        <v>0.85023300000000002</v>
      </c>
      <c r="L89" s="2">
        <f t="shared" si="0"/>
        <v>0.90425362500000006</v>
      </c>
      <c r="M89" s="2">
        <f t="shared" si="1"/>
        <v>1.3681575539672607E-2</v>
      </c>
      <c r="N89" s="2">
        <f t="shared" si="2"/>
        <v>1.5311860155590152E-2</v>
      </c>
    </row>
    <row r="90" spans="1:14" x14ac:dyDescent="0.55000000000000004">
      <c r="C90" s="2" t="s">
        <v>24</v>
      </c>
      <c r="D90" s="2">
        <v>0.44800299999999998</v>
      </c>
      <c r="E90" s="2">
        <v>0.35425600000000002</v>
      </c>
      <c r="F90" s="2">
        <v>0.55141799999999996</v>
      </c>
      <c r="G90" s="2">
        <v>0.35045100000000001</v>
      </c>
      <c r="H90" s="2">
        <v>0.45775199999999999</v>
      </c>
      <c r="I90" s="2">
        <v>0.374502</v>
      </c>
      <c r="J90" s="2">
        <v>0.32357999999999998</v>
      </c>
      <c r="K90" s="2">
        <v>0.54554800000000003</v>
      </c>
      <c r="L90" s="2">
        <f t="shared" si="0"/>
        <v>0.42568875000000006</v>
      </c>
      <c r="M90" s="2">
        <f t="shared" si="1"/>
        <v>3.1484037585253137E-2</v>
      </c>
      <c r="N90" s="2">
        <f t="shared" si="2"/>
        <v>3.5235648061208324E-2</v>
      </c>
    </row>
    <row r="91" spans="1:14" x14ac:dyDescent="0.55000000000000004">
      <c r="C91" s="2" t="s">
        <v>26</v>
      </c>
      <c r="D91" s="2">
        <v>0.62374300000000005</v>
      </c>
      <c r="E91" s="2">
        <v>0.72817699999999996</v>
      </c>
      <c r="F91" s="2">
        <v>0.596252</v>
      </c>
      <c r="G91" s="2">
        <v>0.699716</v>
      </c>
      <c r="H91" s="2">
        <v>0.59708799999999995</v>
      </c>
      <c r="I91" s="2">
        <v>0.58854300000000004</v>
      </c>
      <c r="J91" s="2">
        <v>0.67090000000000005</v>
      </c>
      <c r="K91" s="2">
        <v>0.43575599999999998</v>
      </c>
      <c r="L91" s="2">
        <f t="shared" si="0"/>
        <v>0.617521875</v>
      </c>
      <c r="M91" s="2">
        <f t="shared" si="1"/>
        <v>3.1802099222848573E-2</v>
      </c>
      <c r="N91" s="2">
        <f t="shared" si="2"/>
        <v>3.5591609646304818E-2</v>
      </c>
    </row>
    <row r="92" spans="1:14" x14ac:dyDescent="0.55000000000000004">
      <c r="A92" s="2" t="s">
        <v>20</v>
      </c>
      <c r="B92" s="2" t="s">
        <v>21</v>
      </c>
      <c r="C92" s="2" t="s">
        <v>22</v>
      </c>
      <c r="D92" s="2">
        <v>0.85226100000000005</v>
      </c>
      <c r="E92" s="2">
        <v>0.907439</v>
      </c>
      <c r="F92" s="2">
        <v>0.77134599999999998</v>
      </c>
      <c r="G92" s="2">
        <v>0.85538499999999995</v>
      </c>
      <c r="H92" s="2">
        <v>0.84435099999999996</v>
      </c>
      <c r="I92" s="2">
        <v>0.88062799999999997</v>
      </c>
      <c r="J92" s="2">
        <v>0.90708100000000003</v>
      </c>
      <c r="K92" s="2">
        <v>0.74917800000000001</v>
      </c>
      <c r="L92" s="2">
        <f t="shared" si="0"/>
        <v>0.84595862499999985</v>
      </c>
      <c r="M92" s="2">
        <f xml:space="preserve"> _xlfn.STDEV.S(D92:K92) / SQRT(COUNT(D92:K92))</f>
        <v>2.060792189819375E-2</v>
      </c>
      <c r="N92" s="2">
        <f>M92*$N$2</f>
        <v>2.3063543908921583E-2</v>
      </c>
    </row>
    <row r="93" spans="1:14" x14ac:dyDescent="0.55000000000000004">
      <c r="A93" s="2">
        <v>0.33300000000000002</v>
      </c>
      <c r="C93" s="2" t="s">
        <v>23</v>
      </c>
      <c r="D93" s="2">
        <v>2.7099999999999997E-4</v>
      </c>
      <c r="E93" s="2">
        <v>1.4809999999999999E-3</v>
      </c>
      <c r="F93" s="2">
        <v>2.4800000000000001E-4</v>
      </c>
      <c r="G93" s="2">
        <v>5.1900000000000004E-4</v>
      </c>
      <c r="H93" s="2">
        <v>5.0600000000000005E-4</v>
      </c>
      <c r="I93" s="2">
        <v>2.9100000000000003E-4</v>
      </c>
      <c r="J93" s="2">
        <v>1.8599999999999999E-4</v>
      </c>
      <c r="K93" s="2">
        <v>2.5700000000000001E-4</v>
      </c>
      <c r="L93" s="2">
        <f>(1/COUNT(D93:K93))*SQRT(SUMSQ(D93:K93))</f>
        <v>2.1791013772883534E-4</v>
      </c>
    </row>
    <row r="94" spans="1:14" x14ac:dyDescent="0.55000000000000004">
      <c r="C94" s="2" t="s">
        <v>24</v>
      </c>
      <c r="D94" s="2">
        <v>0.52415299999999998</v>
      </c>
      <c r="E94" s="2">
        <v>0.41703099999999999</v>
      </c>
      <c r="F94" s="2">
        <v>0.63657399999999997</v>
      </c>
      <c r="G94" s="2">
        <v>0.51843600000000001</v>
      </c>
      <c r="H94" s="2">
        <v>0.53687700000000005</v>
      </c>
      <c r="I94" s="2">
        <v>0.47620899999999999</v>
      </c>
      <c r="J94" s="2">
        <v>0.41615999999999997</v>
      </c>
      <c r="K94" s="2">
        <v>0.67289500000000002</v>
      </c>
      <c r="L94" s="2">
        <f>AVERAGE(D94:K94)</f>
        <v>0.52479187500000002</v>
      </c>
      <c r="M94" s="2">
        <f xml:space="preserve"> _xlfn.STDEV.S(D94:K94) / SQRT(COUNT(D94:K94))</f>
        <v>3.2838952493536848E-2</v>
      </c>
      <c r="N94" s="2">
        <f>M94*$N$2</f>
        <v>3.675201344896694E-2</v>
      </c>
    </row>
    <row r="95" spans="1:14" x14ac:dyDescent="0.55000000000000004">
      <c r="C95" s="2" t="s">
        <v>25</v>
      </c>
      <c r="D95" s="2">
        <v>4.3600000000000003E-4</v>
      </c>
      <c r="E95" s="2">
        <v>3.2929999999999999E-3</v>
      </c>
      <c r="F95" s="2">
        <v>3.0699999999999998E-4</v>
      </c>
      <c r="G95" s="2">
        <v>9.1E-4</v>
      </c>
      <c r="H95" s="2">
        <v>8.0099999999999995E-4</v>
      </c>
      <c r="I95" s="2">
        <v>5.8900000000000001E-4</v>
      </c>
      <c r="J95" s="2">
        <v>3.7500000000000001E-4</v>
      </c>
      <c r="K95" s="2">
        <v>3.3799999999999998E-4</v>
      </c>
      <c r="L95" s="2">
        <f>(1/COUNT(D95:K95))*SQRT(SUMSQ(D95:K95))</f>
        <v>4.5414213427626382E-4</v>
      </c>
    </row>
    <row r="96" spans="1:14" x14ac:dyDescent="0.55000000000000004">
      <c r="C96" s="2" t="s">
        <v>26</v>
      </c>
      <c r="D96" s="2">
        <v>0.50558099999999995</v>
      </c>
      <c r="E96" s="2">
        <v>0.62710900000000003</v>
      </c>
      <c r="F96" s="2">
        <v>0.47359600000000002</v>
      </c>
      <c r="G96" s="2">
        <v>0.51046800000000003</v>
      </c>
      <c r="H96" s="2">
        <v>0.50916300000000003</v>
      </c>
      <c r="I96" s="2">
        <v>0.39812900000000001</v>
      </c>
      <c r="J96" s="2">
        <v>0.55186199999999996</v>
      </c>
      <c r="K96" s="2">
        <v>0.32333400000000001</v>
      </c>
      <c r="L96" s="2">
        <f>AVERAGE(D96:K96)</f>
        <v>0.48740524999999996</v>
      </c>
      <c r="M96" s="2">
        <f xml:space="preserve"> _xlfn.STDEV.S(D96:K96) / SQRT(COUNT(D96:K96))</f>
        <v>3.2756618107616292E-2</v>
      </c>
      <c r="N96" s="2">
        <f>M96*$N$2</f>
        <v>3.665986816938592E-2</v>
      </c>
    </row>
    <row r="97" spans="2:14" x14ac:dyDescent="0.55000000000000004">
      <c r="C97" s="2" t="s">
        <v>27</v>
      </c>
      <c r="D97" s="2">
        <v>5.1099999999999995E-4</v>
      </c>
      <c r="E97" s="2">
        <v>3.2820000000000002E-3</v>
      </c>
      <c r="F97" s="2">
        <v>1.93E-4</v>
      </c>
      <c r="G97" s="2">
        <v>1.1379999999999999E-3</v>
      </c>
      <c r="H97" s="2">
        <v>5.5999999999999995E-4</v>
      </c>
      <c r="I97" s="2">
        <v>4.9299999999999995E-4</v>
      </c>
      <c r="J97" s="2">
        <v>3.2400000000000001E-4</v>
      </c>
      <c r="K97" s="2">
        <v>3.2400000000000001E-4</v>
      </c>
      <c r="L97" s="2">
        <f>(1/COUNT(D97:K97))*SQRT(SUMSQ(D97:K97))</f>
        <v>4.5296831773866924E-4</v>
      </c>
    </row>
    <row r="98" spans="2:14" x14ac:dyDescent="0.55000000000000004">
      <c r="C98" s="2" t="s">
        <v>28</v>
      </c>
      <c r="D98" s="2">
        <v>2.2885939999999998</v>
      </c>
      <c r="E98" s="2">
        <v>2.3351310000000001</v>
      </c>
      <c r="F98" s="2">
        <v>2.1585369999999999</v>
      </c>
      <c r="G98" s="2">
        <v>3.4334090000000002</v>
      </c>
      <c r="H98" s="2">
        <v>1.6741550000000001</v>
      </c>
      <c r="I98" s="2">
        <v>3.4048639999999999</v>
      </c>
      <c r="J98" s="2">
        <v>2.6756720000000001</v>
      </c>
      <c r="K98" s="2">
        <v>2.6811940000000001</v>
      </c>
      <c r="L98" s="2">
        <f>AVERAGE(D98:K98)</f>
        <v>2.5814445000000004</v>
      </c>
      <c r="M98" s="2">
        <f xml:space="preserve"> _xlfn.STDEV.S(D98:K98) / SQRT(COUNT(D98:K98))</f>
        <v>0.21427405318998391</v>
      </c>
      <c r="N98" s="2">
        <f>M98*$N$2</f>
        <v>0.23980676259855893</v>
      </c>
    </row>
    <row r="99" spans="2:14" x14ac:dyDescent="0.55000000000000004">
      <c r="C99" s="2" t="s">
        <v>29</v>
      </c>
      <c r="D99" s="2">
        <v>5.0289999999999996E-3</v>
      </c>
      <c r="E99" s="2">
        <v>2.0653999999999999E-2</v>
      </c>
      <c r="F99" s="2">
        <v>1.4580000000000001E-3</v>
      </c>
      <c r="G99" s="2">
        <v>1.0904E-2</v>
      </c>
      <c r="H99" s="2">
        <v>4.7200000000000002E-3</v>
      </c>
      <c r="I99" s="2">
        <v>7.4710000000000002E-3</v>
      </c>
      <c r="J99" s="2">
        <v>2.9619999999999998E-3</v>
      </c>
      <c r="K99" s="2">
        <v>2.2629999999999998E-3</v>
      </c>
      <c r="L99" s="2">
        <f>(1/COUNT(D99:K99))*SQRT(SUMSQ(D99:K99))</f>
        <v>3.2231835751900632E-3</v>
      </c>
    </row>
    <row r="100" spans="2:14" x14ac:dyDescent="0.55000000000000004">
      <c r="C100" s="2" t="s">
        <v>30</v>
      </c>
      <c r="D100" s="2">
        <v>13.701658999999999</v>
      </c>
      <c r="E100" s="2">
        <v>16.055422</v>
      </c>
      <c r="F100" s="2">
        <v>13.380960999999999</v>
      </c>
      <c r="G100" s="2">
        <v>16.470685</v>
      </c>
      <c r="H100" s="2">
        <v>10.544352</v>
      </c>
      <c r="I100" s="2">
        <v>16.043818000000002</v>
      </c>
      <c r="J100" s="2">
        <v>17.114215000000002</v>
      </c>
      <c r="K100" s="2">
        <v>13.401388000000001</v>
      </c>
      <c r="L100" s="2">
        <f>AVERAGE(D100:K100)</f>
        <v>14.589062500000001</v>
      </c>
      <c r="M100" s="2">
        <f xml:space="preserve"> _xlfn.STDEV.S(D100:K100) / SQRT(COUNT(D100:K100))</f>
        <v>0.78148976414165705</v>
      </c>
      <c r="N100" s="2">
        <f>M100*$N$2</f>
        <v>0.87461140326010489</v>
      </c>
    </row>
    <row r="101" spans="2:14" x14ac:dyDescent="0.55000000000000004">
      <c r="C101" s="2" t="s">
        <v>31</v>
      </c>
      <c r="D101" s="2">
        <v>1.3408E-2</v>
      </c>
      <c r="E101" s="2">
        <v>3.3089E-2</v>
      </c>
      <c r="F101" s="2">
        <v>5.4660000000000004E-3</v>
      </c>
      <c r="G101" s="2">
        <v>2.2412000000000001E-2</v>
      </c>
      <c r="H101" s="2">
        <v>2.6672000000000001E-2</v>
      </c>
      <c r="I101" s="2">
        <v>1.5948E-2</v>
      </c>
      <c r="J101" s="2">
        <v>4.9919999999999999E-3</v>
      </c>
      <c r="K101" s="2">
        <v>2.2093000000000002E-2</v>
      </c>
      <c r="L101" s="2">
        <f>(1/COUNT(D101:K101))*SQRT(SUMSQ(D101:K101))</f>
        <v>7.1650042371759976E-3</v>
      </c>
    </row>
    <row r="102" spans="2:14" x14ac:dyDescent="0.55000000000000004">
      <c r="B102" s="2" t="s">
        <v>32</v>
      </c>
      <c r="C102" s="2" t="s">
        <v>22</v>
      </c>
      <c r="D102" s="2">
        <v>0.83720000000000006</v>
      </c>
      <c r="E102" s="2">
        <v>0.87956900000000005</v>
      </c>
      <c r="F102" s="2">
        <v>0.76032100000000002</v>
      </c>
      <c r="G102" s="2">
        <v>0.86131100000000005</v>
      </c>
      <c r="H102" s="2">
        <v>0.83213099999999995</v>
      </c>
      <c r="I102" s="2">
        <v>0.875726</v>
      </c>
      <c r="J102" s="2">
        <v>0.89108699999999996</v>
      </c>
      <c r="K102" s="2">
        <v>0.72993600000000003</v>
      </c>
      <c r="L102" s="2">
        <f>AVERAGE(D102:K102)</f>
        <v>0.83341012500000011</v>
      </c>
      <c r="M102" s="2">
        <f xml:space="preserve"> _xlfn.STDEV.S(D102:K102) / SQRT(COUNT(D102:K102))</f>
        <v>2.0741293270083831E-2</v>
      </c>
      <c r="N102" s="2">
        <f>M102*$N$2</f>
        <v>2.3212807697234446E-2</v>
      </c>
    </row>
    <row r="103" spans="2:14" x14ac:dyDescent="0.55000000000000004">
      <c r="C103" s="2" t="s">
        <v>23</v>
      </c>
      <c r="D103" s="2">
        <v>1.5020000000000001E-3</v>
      </c>
      <c r="E103" s="2">
        <v>4.3620000000000004E-3</v>
      </c>
      <c r="F103" s="2">
        <v>2.5690000000000001E-3</v>
      </c>
      <c r="G103" s="2">
        <v>2.0790000000000001E-3</v>
      </c>
      <c r="H103" s="2">
        <v>1.0690000000000001E-3</v>
      </c>
      <c r="I103" s="2">
        <v>1.2310000000000001E-3</v>
      </c>
      <c r="J103" s="2">
        <v>3.8549999999999999E-3</v>
      </c>
      <c r="K103" s="2">
        <v>9.1399999999999999E-4</v>
      </c>
      <c r="L103" s="2">
        <f>(1/COUNT(D103:K103))*SQRT(SUMSQ(D103:K103))</f>
        <v>8.8881586429642452E-4</v>
      </c>
    </row>
    <row r="104" spans="2:14" x14ac:dyDescent="0.55000000000000004">
      <c r="C104" s="2" t="s">
        <v>24</v>
      </c>
      <c r="D104" s="2">
        <v>0.548902</v>
      </c>
      <c r="E104" s="2">
        <v>0.47227799999999998</v>
      </c>
      <c r="F104" s="2">
        <v>0.64965300000000004</v>
      </c>
      <c r="G104" s="2">
        <v>0.50790100000000005</v>
      </c>
      <c r="H104" s="2">
        <v>0.555311</v>
      </c>
      <c r="I104" s="2">
        <v>0.485593</v>
      </c>
      <c r="J104" s="2">
        <v>0.44412699999999999</v>
      </c>
      <c r="K104" s="2">
        <v>0.69774099999999994</v>
      </c>
      <c r="L104" s="2">
        <f>AVERAGE(D104:K104)</f>
        <v>0.54518825000000004</v>
      </c>
      <c r="M104" s="2">
        <f xml:space="preserve"> _xlfn.STDEV.S(D104:K104) / SQRT(COUNT(D104:K104))</f>
        <v>3.1274333718350852E-2</v>
      </c>
      <c r="N104" s="2">
        <f>M104*$N$2</f>
        <v>3.5000956064311958E-2</v>
      </c>
    </row>
    <row r="105" spans="2:14" x14ac:dyDescent="0.55000000000000004">
      <c r="C105" s="2" t="s">
        <v>25</v>
      </c>
      <c r="D105" s="2">
        <v>2.0349999999999999E-3</v>
      </c>
      <c r="E105" s="2">
        <v>8.4049999999999993E-3</v>
      </c>
      <c r="F105" s="2">
        <v>2.9629999999999999E-3</v>
      </c>
      <c r="G105" s="2">
        <v>3.3990000000000001E-3</v>
      </c>
      <c r="H105" s="2">
        <v>1.619E-3</v>
      </c>
      <c r="I105" s="2">
        <v>2.2680000000000001E-3</v>
      </c>
      <c r="J105" s="2">
        <v>6.9389999999999999E-3</v>
      </c>
      <c r="K105" s="2">
        <v>1.101E-3</v>
      </c>
      <c r="L105" s="2">
        <f>(1/COUNT(D105:K105))*SQRT(SUMSQ(D105:K105))</f>
        <v>1.5423436255825092E-3</v>
      </c>
    </row>
    <row r="106" spans="2:14" x14ac:dyDescent="0.55000000000000004">
      <c r="C106" s="2" t="s">
        <v>26</v>
      </c>
      <c r="D106" s="2">
        <v>0.49403399999999997</v>
      </c>
      <c r="E106" s="2">
        <v>0.56881000000000004</v>
      </c>
      <c r="F106" s="2">
        <v>0.46432400000000001</v>
      </c>
      <c r="G106" s="2">
        <v>0.52302099999999996</v>
      </c>
      <c r="H106" s="2">
        <v>0.49408800000000003</v>
      </c>
      <c r="I106" s="2">
        <v>0.39067800000000003</v>
      </c>
      <c r="J106" s="2">
        <v>0.52790899999999996</v>
      </c>
      <c r="K106" s="2">
        <v>0.29685</v>
      </c>
      <c r="L106" s="2">
        <f>AVERAGE(D106:K106)</f>
        <v>0.46996424999999997</v>
      </c>
      <c r="M106" s="2">
        <f xml:space="preserve"> _xlfn.STDEV.S(D106:K106) / SQRT(COUNT(D106:K106))</f>
        <v>3.0877369387830006E-2</v>
      </c>
      <c r="N106" s="2">
        <f>M106*$N$2</f>
        <v>3.4556689810175692E-2</v>
      </c>
    </row>
    <row r="107" spans="2:14" x14ac:dyDescent="0.55000000000000004">
      <c r="C107" s="2" t="s">
        <v>27</v>
      </c>
      <c r="D107" s="2">
        <v>2.189E-3</v>
      </c>
      <c r="E107" s="2">
        <v>9.1500000000000001E-3</v>
      </c>
      <c r="F107" s="2">
        <v>1.745E-3</v>
      </c>
      <c r="G107" s="2">
        <v>4.1830000000000001E-3</v>
      </c>
      <c r="H107" s="2">
        <v>1.181E-3</v>
      </c>
      <c r="I107" s="2">
        <v>2.075E-3</v>
      </c>
      <c r="J107" s="2">
        <v>6.5110000000000003E-3</v>
      </c>
      <c r="K107" s="2">
        <v>7.1199999999999996E-4</v>
      </c>
      <c r="L107" s="2">
        <f>(1/COUNT(D107:K107))*SQRT(SUMSQ(D107:K107))</f>
        <v>1.5695201595551426E-3</v>
      </c>
    </row>
    <row r="108" spans="2:14" x14ac:dyDescent="0.55000000000000004">
      <c r="C108" s="2" t="s">
        <v>28</v>
      </c>
      <c r="D108" s="2">
        <v>2.6004749999999999</v>
      </c>
      <c r="E108" s="2">
        <v>2.7189030000000001</v>
      </c>
      <c r="F108" s="2">
        <v>2.305723</v>
      </c>
      <c r="G108" s="2">
        <v>3.2476509999999998</v>
      </c>
      <c r="H108" s="2">
        <v>1.7710570000000001</v>
      </c>
      <c r="I108" s="2">
        <v>3.5276689999999999</v>
      </c>
      <c r="J108" s="2">
        <v>3.0699079999999999</v>
      </c>
      <c r="K108" s="2">
        <v>3.1041509999999999</v>
      </c>
      <c r="L108" s="2">
        <f>AVERAGE(D108:K108)</f>
        <v>2.793192125</v>
      </c>
      <c r="M108" s="2">
        <f xml:space="preserve"> _xlfn.STDEV.S(D108:K108) / SQRT(COUNT(D108:K108))</f>
        <v>0.20019193345489311</v>
      </c>
      <c r="N108" s="2">
        <f>M108*$N$2</f>
        <v>0.22404662975035436</v>
      </c>
    </row>
    <row r="109" spans="2:14" x14ac:dyDescent="0.55000000000000004">
      <c r="C109" s="2" t="s">
        <v>29</v>
      </c>
      <c r="D109" s="2">
        <v>4.6835000000000002E-2</v>
      </c>
      <c r="E109" s="2">
        <v>6.1795000000000003E-2</v>
      </c>
      <c r="F109" s="2">
        <v>1.6372999999999999E-2</v>
      </c>
      <c r="G109" s="2">
        <v>5.2873000000000003E-2</v>
      </c>
      <c r="H109" s="2">
        <v>8.5190000000000005E-3</v>
      </c>
      <c r="I109" s="2">
        <v>3.2718999999999998E-2</v>
      </c>
      <c r="J109" s="2">
        <v>7.7531000000000003E-2</v>
      </c>
      <c r="K109" s="2">
        <v>7.554E-3</v>
      </c>
      <c r="L109" s="2">
        <f>(1/COUNT(D109:K109))*SQRT(SUMSQ(D109:K109))</f>
        <v>1.595256332605751E-2</v>
      </c>
    </row>
    <row r="110" spans="2:14" x14ac:dyDescent="0.55000000000000004">
      <c r="C110" s="2" t="s">
        <v>30</v>
      </c>
      <c r="D110" s="2">
        <v>15.754028</v>
      </c>
      <c r="E110" s="2">
        <v>16.391438999999998</v>
      </c>
      <c r="F110" s="2">
        <v>14.808953000000001</v>
      </c>
      <c r="G110" s="2">
        <v>16.129453000000002</v>
      </c>
      <c r="H110" s="2">
        <v>11.121136</v>
      </c>
      <c r="I110" s="2">
        <v>16.090599999999998</v>
      </c>
      <c r="J110" s="2">
        <v>18.613931000000001</v>
      </c>
      <c r="K110" s="2">
        <v>14.819186999999999</v>
      </c>
      <c r="L110" s="2">
        <f>AVERAGE(D110:K110)</f>
        <v>15.466090874999999</v>
      </c>
      <c r="M110" s="2">
        <f xml:space="preserve"> _xlfn.STDEV.S(D110:K110) / SQRT(COUNT(D110:K110))</f>
        <v>0.74889302861293994</v>
      </c>
      <c r="N110" s="2">
        <f>M110*$N$2</f>
        <v>0.83813046913835987</v>
      </c>
    </row>
    <row r="111" spans="2:14" x14ac:dyDescent="0.55000000000000004">
      <c r="C111" s="2" t="s">
        <v>31</v>
      </c>
      <c r="D111" s="2">
        <v>6.2809000000000004E-2</v>
      </c>
      <c r="E111" s="2">
        <v>4.6755999999999999E-2</v>
      </c>
      <c r="F111" s="2">
        <v>3.5647999999999999E-2</v>
      </c>
      <c r="G111" s="2">
        <v>0.10799300000000001</v>
      </c>
      <c r="H111" s="2">
        <v>4.5076999999999999E-2</v>
      </c>
      <c r="I111" s="2">
        <v>5.9373000000000002E-2</v>
      </c>
      <c r="J111" s="2">
        <v>0.151033</v>
      </c>
      <c r="K111" s="2">
        <v>3.1161000000000001E-2</v>
      </c>
      <c r="L111" s="2">
        <f>(1/COUNT(D111:K111))*SQRT(SUMSQ(D111:K111))</f>
        <v>2.7500973289026516E-2</v>
      </c>
    </row>
    <row r="112" spans="2:14" x14ac:dyDescent="0.55000000000000004">
      <c r="B112" s="2" t="s">
        <v>33</v>
      </c>
      <c r="C112" s="2" t="s">
        <v>22</v>
      </c>
      <c r="D112" s="2">
        <v>0.85234500000000002</v>
      </c>
      <c r="E112" s="2">
        <v>0.909335</v>
      </c>
      <c r="F112" s="2">
        <v>0.77138399999999996</v>
      </c>
      <c r="G112" s="2">
        <v>0.860487</v>
      </c>
      <c r="H112" s="2">
        <v>0.84443400000000002</v>
      </c>
      <c r="I112" s="2">
        <v>0.88315999999999995</v>
      </c>
      <c r="J112" s="2">
        <v>0.9073</v>
      </c>
      <c r="K112" s="2">
        <v>0.74946000000000002</v>
      </c>
      <c r="L112" s="2">
        <f>AVERAGE(D112:K112)</f>
        <v>0.84723812500000006</v>
      </c>
      <c r="M112" s="2">
        <f xml:space="preserve"> _xlfn.STDEV.S(D112:K112) / SQRT(COUNT(D112:K112))</f>
        <v>2.0821399449877025E-2</v>
      </c>
      <c r="N112" s="2">
        <f>M112*$N$2</f>
        <v>2.3302459259588154E-2</v>
      </c>
    </row>
    <row r="113" spans="2:14" x14ac:dyDescent="0.55000000000000004">
      <c r="C113" s="2" t="s">
        <v>23</v>
      </c>
      <c r="D113" s="2">
        <v>1.4899999999999999E-4</v>
      </c>
      <c r="E113" s="2">
        <v>2.72E-4</v>
      </c>
      <c r="F113" s="2">
        <v>1.4300000000000001E-4</v>
      </c>
      <c r="G113" s="2">
        <v>3.2899999999999997E-4</v>
      </c>
      <c r="H113" s="2">
        <v>2.0000000000000001E-4</v>
      </c>
      <c r="I113" s="2">
        <v>1.6100000000000001E-4</v>
      </c>
      <c r="J113" s="2">
        <v>8.8999999999999995E-5</v>
      </c>
      <c r="K113" s="2">
        <v>8.3999999999999995E-5</v>
      </c>
      <c r="L113" s="2">
        <f>(1/COUNT(D113:K113))*SQRT(SUMSQ(D113:K113))</f>
        <v>6.9120931164156051E-5</v>
      </c>
    </row>
    <row r="114" spans="2:14" x14ac:dyDescent="0.55000000000000004">
      <c r="C114" s="2" t="s">
        <v>24</v>
      </c>
      <c r="D114" s="2">
        <v>0.52397499999999997</v>
      </c>
      <c r="E114" s="2">
        <v>0.412545</v>
      </c>
      <c r="F114" s="2">
        <v>0.63649299999999998</v>
      </c>
      <c r="G114" s="2">
        <v>0.50870400000000005</v>
      </c>
      <c r="H114" s="2">
        <v>0.53664500000000004</v>
      </c>
      <c r="I114" s="2">
        <v>0.47086800000000001</v>
      </c>
      <c r="J114" s="2">
        <v>0.41583700000000001</v>
      </c>
      <c r="K114" s="2">
        <v>0.67241099999999998</v>
      </c>
      <c r="L114" s="2">
        <f>AVERAGE(D114:K114)</f>
        <v>0.52218475000000009</v>
      </c>
      <c r="M114" s="2">
        <f xml:space="preserve"> _xlfn.STDEV.S(D114:K114) / SQRT(COUNT(D114:K114))</f>
        <v>3.327173408720413E-2</v>
      </c>
      <c r="N114" s="2">
        <f>M114*$N$2</f>
        <v>3.7236364920106457E-2</v>
      </c>
    </row>
    <row r="115" spans="2:14" x14ac:dyDescent="0.55000000000000004">
      <c r="C115" s="2" t="s">
        <v>25</v>
      </c>
      <c r="D115" s="2">
        <v>2.3000000000000001E-4</v>
      </c>
      <c r="E115" s="2">
        <v>5.9800000000000001E-4</v>
      </c>
      <c r="F115" s="2">
        <v>1.7799999999999999E-4</v>
      </c>
      <c r="G115" s="2">
        <v>5.8E-4</v>
      </c>
      <c r="H115" s="2">
        <v>3.2400000000000001E-4</v>
      </c>
      <c r="I115" s="2">
        <v>3.1300000000000002E-4</v>
      </c>
      <c r="J115" s="2">
        <v>1.8200000000000001E-4</v>
      </c>
      <c r="K115" s="2">
        <v>1.05E-4</v>
      </c>
      <c r="L115" s="2">
        <f>(1/COUNT(D115:K115))*SQRT(SUMSQ(D115:K115))</f>
        <v>1.265949495438108E-4</v>
      </c>
    </row>
    <row r="116" spans="2:14" x14ac:dyDescent="0.55000000000000004">
      <c r="C116" s="2" t="s">
        <v>26</v>
      </c>
      <c r="D116" s="2">
        <v>0.50585199999999997</v>
      </c>
      <c r="E116" s="2">
        <v>0.63089099999999998</v>
      </c>
      <c r="F116" s="2">
        <v>0.47375</v>
      </c>
      <c r="G116" s="2">
        <v>0.5141</v>
      </c>
      <c r="H116" s="2">
        <v>0.50976699999999997</v>
      </c>
      <c r="I116" s="2">
        <v>0.40153699999999998</v>
      </c>
      <c r="J116" s="2">
        <v>0.55196900000000004</v>
      </c>
      <c r="K116" s="2">
        <v>0.32457200000000003</v>
      </c>
      <c r="L116" s="2">
        <f>AVERAGE(D116:K116)</f>
        <v>0.48905474999999998</v>
      </c>
      <c r="M116" s="2">
        <f xml:space="preserve"> _xlfn.STDEV.S(D116:K116) / SQRT(COUNT(D116:K116))</f>
        <v>3.2831360527131689E-2</v>
      </c>
      <c r="N116" s="2">
        <f>M116*$N$2</f>
        <v>3.674351683046239E-2</v>
      </c>
    </row>
    <row r="117" spans="2:14" x14ac:dyDescent="0.55000000000000004">
      <c r="C117" s="2" t="s">
        <v>27</v>
      </c>
      <c r="D117" s="2">
        <v>2.5599999999999999E-4</v>
      </c>
      <c r="E117" s="2">
        <v>6.0999999999999997E-4</v>
      </c>
      <c r="F117" s="2">
        <v>1.0900000000000001E-4</v>
      </c>
      <c r="G117" s="2">
        <v>6.5099999999999999E-4</v>
      </c>
      <c r="H117" s="2">
        <v>2.5399999999999999E-4</v>
      </c>
      <c r="I117" s="2">
        <v>2.8800000000000001E-4</v>
      </c>
      <c r="J117" s="2">
        <v>1.7799999999999999E-4</v>
      </c>
      <c r="K117" s="2">
        <v>8.0000000000000007E-5</v>
      </c>
      <c r="L117" s="2">
        <f>(1/COUNT(D117:K117))*SQRT(SUMSQ(D117:K117))</f>
        <v>1.2862627550387984E-4</v>
      </c>
    </row>
    <row r="118" spans="2:14" x14ac:dyDescent="0.55000000000000004">
      <c r="C118" s="2" t="s">
        <v>28</v>
      </c>
      <c r="D118" s="2">
        <v>2.2889810000000002</v>
      </c>
      <c r="E118" s="2">
        <v>2.307013</v>
      </c>
      <c r="F118" s="2">
        <v>2.158909</v>
      </c>
      <c r="G118" s="2">
        <v>3.379928</v>
      </c>
      <c r="H118" s="2">
        <v>1.6671670000000001</v>
      </c>
      <c r="I118" s="2">
        <v>3.1090840000000002</v>
      </c>
      <c r="J118" s="2">
        <v>2.673746</v>
      </c>
      <c r="K118" s="2">
        <v>2.678884</v>
      </c>
      <c r="L118" s="2">
        <f>AVERAGE(D118:K118)</f>
        <v>2.5329640000000002</v>
      </c>
      <c r="M118" s="2">
        <f xml:space="preserve"> _xlfn.STDEV.S(D118:K118) / SQRT(COUNT(D118:K118))</f>
        <v>0.19320962138420661</v>
      </c>
      <c r="N118" s="2">
        <f>M118*$N$2</f>
        <v>0.21623231145937782</v>
      </c>
    </row>
    <row r="119" spans="2:14" x14ac:dyDescent="0.55000000000000004">
      <c r="C119" s="2" t="s">
        <v>29</v>
      </c>
      <c r="D119" s="2">
        <v>2.8110000000000001E-3</v>
      </c>
      <c r="E119" s="2">
        <v>3.5119999999999999E-3</v>
      </c>
      <c r="F119" s="2">
        <v>8.8000000000000003E-4</v>
      </c>
      <c r="G119" s="2">
        <v>6.9690000000000004E-3</v>
      </c>
      <c r="H119" s="2">
        <v>1.9629999999999999E-3</v>
      </c>
      <c r="I119" s="2">
        <v>4.2570000000000004E-3</v>
      </c>
      <c r="J119" s="2">
        <v>1.4989999999999999E-3</v>
      </c>
      <c r="K119" s="2">
        <v>8.6700000000000004E-4</v>
      </c>
      <c r="L119" s="2">
        <f>(1/COUNT(D119:K119))*SQRT(SUMSQ(D119:K119))</f>
        <v>1.2154688781494984E-3</v>
      </c>
    </row>
    <row r="120" spans="2:14" x14ac:dyDescent="0.55000000000000004">
      <c r="C120" s="2" t="s">
        <v>30</v>
      </c>
      <c r="D120" s="2">
        <v>13.689845999999999</v>
      </c>
      <c r="E120" s="2">
        <v>16.017610000000001</v>
      </c>
      <c r="F120" s="2">
        <v>13.376466000000001</v>
      </c>
      <c r="G120" s="2">
        <v>16.020707000000002</v>
      </c>
      <c r="H120" s="2">
        <v>10.454361</v>
      </c>
      <c r="I120" s="2">
        <v>15.404109999999999</v>
      </c>
      <c r="J120" s="2">
        <v>17.111416999999999</v>
      </c>
      <c r="K120" s="2">
        <v>13.398953000000001</v>
      </c>
      <c r="L120" s="2">
        <f>AVERAGE(D120:K120)</f>
        <v>14.434183750000003</v>
      </c>
      <c r="M120" s="2">
        <f xml:space="preserve"> _xlfn.STDEV.S(D120:K120) / SQRT(COUNT(D120:K120))</f>
        <v>0.75256854065198275</v>
      </c>
      <c r="N120" s="2">
        <f>M120*$N$2</f>
        <v>0.84224395198825674</v>
      </c>
    </row>
    <row r="121" spans="2:14" x14ac:dyDescent="0.55000000000000004">
      <c r="C121" s="2" t="s">
        <v>31</v>
      </c>
      <c r="D121" s="2">
        <v>3.9779999999999998E-3</v>
      </c>
      <c r="E121" s="2">
        <v>5.9630000000000004E-3</v>
      </c>
      <c r="F121" s="2">
        <v>3.1589999999999999E-3</v>
      </c>
      <c r="G121" s="2">
        <v>1.8179000000000001E-2</v>
      </c>
      <c r="H121" s="2">
        <v>1.0612999999999999E-2</v>
      </c>
      <c r="I121" s="2">
        <v>7.2049999999999996E-3</v>
      </c>
      <c r="J121" s="2">
        <v>2.5959999999999998E-3</v>
      </c>
      <c r="K121" s="2">
        <v>4.3629999999999997E-3</v>
      </c>
      <c r="L121" s="2">
        <f>(1/COUNT(D121:K121))*SQRT(SUMSQ(D121:K121))</f>
        <v>3.0159988861486668E-3</v>
      </c>
    </row>
    <row r="122" spans="2:14" x14ac:dyDescent="0.55000000000000004">
      <c r="B122" s="2" t="s">
        <v>34</v>
      </c>
      <c r="C122" s="2" t="s">
        <v>22</v>
      </c>
      <c r="D122" s="2">
        <v>0.83003400000000005</v>
      </c>
      <c r="E122" s="2">
        <v>0.90168300000000001</v>
      </c>
      <c r="F122" s="2">
        <v>0.761374</v>
      </c>
      <c r="G122" s="2">
        <v>0.85008300000000003</v>
      </c>
      <c r="H122" s="2">
        <v>0.832291</v>
      </c>
      <c r="I122" s="2">
        <v>0.88086799999999998</v>
      </c>
      <c r="J122" s="2">
        <v>0.89791799999999999</v>
      </c>
      <c r="K122" s="2">
        <v>0.74406600000000001</v>
      </c>
      <c r="L122" s="2">
        <f>AVERAGE(D122:K122)</f>
        <v>0.83728962500000004</v>
      </c>
      <c r="M122" s="2">
        <f xml:space="preserve"> _xlfn.STDEV.S(D122:K122) / SQRT(COUNT(D122:K122))</f>
        <v>2.0880830466292608E-2</v>
      </c>
      <c r="N122" s="2">
        <f>M122*$N$2</f>
        <v>2.3368972024117449E-2</v>
      </c>
    </row>
    <row r="123" spans="2:14" x14ac:dyDescent="0.55000000000000004">
      <c r="C123" s="2" t="s">
        <v>23</v>
      </c>
      <c r="D123" s="2">
        <v>6.169E-3</v>
      </c>
      <c r="E123" s="2">
        <v>1.3190000000000001E-3</v>
      </c>
      <c r="F123" s="2">
        <v>2.4069999999999999E-3</v>
      </c>
      <c r="G123" s="2">
        <v>5.581E-3</v>
      </c>
      <c r="H123" s="2">
        <v>1.9289999999999999E-3</v>
      </c>
      <c r="I123" s="2">
        <v>1.023E-3</v>
      </c>
      <c r="J123" s="2">
        <v>2.0200000000000001E-3</v>
      </c>
      <c r="K123" s="2">
        <v>6.1399999999999996E-4</v>
      </c>
      <c r="L123" s="2">
        <f>(1/COUNT(D123:K123))*SQRT(SUMSQ(D123:K123))</f>
        <v>1.15894953783588E-3</v>
      </c>
    </row>
    <row r="124" spans="2:14" x14ac:dyDescent="0.55000000000000004">
      <c r="C124" s="2" t="s">
        <v>24</v>
      </c>
      <c r="D124" s="2">
        <v>0.56076499999999996</v>
      </c>
      <c r="E124" s="2">
        <v>0.42908200000000002</v>
      </c>
      <c r="F124" s="2">
        <v>0.64859900000000004</v>
      </c>
      <c r="G124" s="2">
        <v>0.52528799999999998</v>
      </c>
      <c r="H124" s="2">
        <v>0.55524200000000001</v>
      </c>
      <c r="I124" s="2">
        <v>0.474715</v>
      </c>
      <c r="J124" s="2">
        <v>0.43395600000000001</v>
      </c>
      <c r="K124" s="2">
        <v>0.67941700000000005</v>
      </c>
      <c r="L124" s="2">
        <f>AVERAGE(D124:K124)</f>
        <v>0.53838299999999994</v>
      </c>
      <c r="M124" s="2">
        <f xml:space="preserve"> _xlfn.STDEV.S(D124:K124) / SQRT(COUNT(D124:K124))</f>
        <v>3.2705431996404473E-2</v>
      </c>
      <c r="N124" s="2">
        <f>M124*$N$2</f>
        <v>3.6602582765777894E-2</v>
      </c>
    </row>
    <row r="125" spans="2:14" x14ac:dyDescent="0.55000000000000004">
      <c r="C125" s="2" t="s">
        <v>25</v>
      </c>
      <c r="D125" s="2">
        <v>8.9020000000000002E-3</v>
      </c>
      <c r="E125" s="2">
        <v>2.7070000000000002E-3</v>
      </c>
      <c r="F125" s="2">
        <v>2.813E-3</v>
      </c>
      <c r="G125" s="2">
        <v>8.4589999999999995E-3</v>
      </c>
      <c r="H125" s="2">
        <v>2.9169999999999999E-3</v>
      </c>
      <c r="I125" s="2">
        <v>1.8810000000000001E-3</v>
      </c>
      <c r="J125" s="2">
        <v>3.6440000000000001E-3</v>
      </c>
      <c r="K125" s="2">
        <v>7.6499999999999995E-4</v>
      </c>
      <c r="L125" s="2">
        <f>(1/COUNT(D125:K125))*SQRT(SUMSQ(D125:K125))</f>
        <v>1.731834801951387E-3</v>
      </c>
    </row>
    <row r="126" spans="2:14" x14ac:dyDescent="0.55000000000000004">
      <c r="C126" s="2" t="s">
        <v>26</v>
      </c>
      <c r="D126" s="2">
        <v>0.47895100000000002</v>
      </c>
      <c r="E126" s="2">
        <v>0.61479499999999998</v>
      </c>
      <c r="F126" s="2">
        <v>0.46508100000000002</v>
      </c>
      <c r="G126" s="2">
        <v>0.49227900000000002</v>
      </c>
      <c r="H126" s="2">
        <v>0.49381799999999998</v>
      </c>
      <c r="I126" s="2">
        <v>0.39826299999999998</v>
      </c>
      <c r="J126" s="2">
        <v>0.53646199999999999</v>
      </c>
      <c r="K126" s="2">
        <v>0.31696800000000003</v>
      </c>
      <c r="L126" s="2">
        <f>AVERAGE(D126:K126)</f>
        <v>0.47457712500000004</v>
      </c>
      <c r="M126" s="2">
        <f xml:space="preserve"> _xlfn.STDEV.S(D126:K126) / SQRT(COUNT(D126:K126))</f>
        <v>3.1324382049221923E-2</v>
      </c>
      <c r="N126" s="2">
        <f>M126*$N$2</f>
        <v>3.5056968110665561E-2</v>
      </c>
    </row>
    <row r="127" spans="2:14" x14ac:dyDescent="0.55000000000000004">
      <c r="C127" s="2" t="s">
        <v>27</v>
      </c>
      <c r="D127" s="2">
        <v>1.0236E-2</v>
      </c>
      <c r="E127" s="2">
        <v>2.8419999999999999E-3</v>
      </c>
      <c r="F127" s="2">
        <v>1.634E-3</v>
      </c>
      <c r="G127" s="2">
        <v>8.2799999999999992E-3</v>
      </c>
      <c r="H127" s="2">
        <v>2.176E-3</v>
      </c>
      <c r="I127" s="2">
        <v>1.707E-3</v>
      </c>
      <c r="J127" s="2">
        <v>3.5130000000000001E-3</v>
      </c>
      <c r="K127" s="2">
        <v>5.9999999999999995E-4</v>
      </c>
      <c r="L127" s="2">
        <f>(1/COUNT(D127:K127))*SQRT(SUMSQ(D127:K127))</f>
        <v>1.7872421579769205E-3</v>
      </c>
    </row>
    <row r="128" spans="2:14" x14ac:dyDescent="0.55000000000000004">
      <c r="C128" s="2" t="s">
        <v>28</v>
      </c>
      <c r="D128" s="2">
        <v>2.7102979999999999</v>
      </c>
      <c r="E128" s="2">
        <v>2.4180359999999999</v>
      </c>
      <c r="F128" s="2">
        <v>2.296554</v>
      </c>
      <c r="G128" s="2">
        <v>3.6281560000000002</v>
      </c>
      <c r="H128" s="2">
        <v>1.7892049999999999</v>
      </c>
      <c r="I128" s="2">
        <v>3.3174739999999998</v>
      </c>
      <c r="J128" s="2">
        <v>2.921789</v>
      </c>
      <c r="K128" s="2">
        <v>2.7491590000000001</v>
      </c>
      <c r="L128" s="2">
        <f>AVERAGE(D128:K128)</f>
        <v>2.7288338749999999</v>
      </c>
      <c r="M128" s="2">
        <f xml:space="preserve"> _xlfn.STDEV.S(D128:K128) / SQRT(COUNT(D128:K128))</f>
        <v>0.20527113964021879</v>
      </c>
      <c r="N128" s="2">
        <f>M128*$N$2</f>
        <v>0.22973106971749108</v>
      </c>
    </row>
    <row r="129" spans="2:14" x14ac:dyDescent="0.55000000000000004">
      <c r="C129" s="2" t="s">
        <v>29</v>
      </c>
      <c r="D129" s="2">
        <v>0.14077600000000001</v>
      </c>
      <c r="E129" s="2">
        <v>1.8068000000000001E-2</v>
      </c>
      <c r="F129" s="2">
        <v>1.4541999999999999E-2</v>
      </c>
      <c r="G129" s="2">
        <v>0.118589</v>
      </c>
      <c r="H129" s="2">
        <v>1.6955999999999999E-2</v>
      </c>
      <c r="I129" s="2">
        <v>3.9631E-2</v>
      </c>
      <c r="J129" s="2">
        <v>3.8037000000000001E-2</v>
      </c>
      <c r="K129" s="2">
        <v>5.0749999999999997E-3</v>
      </c>
      <c r="L129" s="2">
        <f>(1/COUNT(D129:K129))*SQRT(SUMSQ(D129:K129))</f>
        <v>2.4286649681460801E-2</v>
      </c>
    </row>
    <row r="130" spans="2:14" x14ac:dyDescent="0.55000000000000004">
      <c r="C130" s="2" t="s">
        <v>30</v>
      </c>
      <c r="D130" s="2">
        <v>15.739735</v>
      </c>
      <c r="E130" s="2">
        <v>16.219714</v>
      </c>
      <c r="F130" s="2">
        <v>14.806252000000001</v>
      </c>
      <c r="G130" s="2">
        <v>17.211438000000001</v>
      </c>
      <c r="H130" s="2">
        <v>11.107832999999999</v>
      </c>
      <c r="I130" s="2">
        <v>15.925124</v>
      </c>
      <c r="J130" s="2">
        <v>18.204893999999999</v>
      </c>
      <c r="K130" s="2">
        <v>13.568189</v>
      </c>
      <c r="L130" s="2">
        <f>AVERAGE(D130:K130)</f>
        <v>15.347897374999999</v>
      </c>
      <c r="M130" s="2">
        <f xml:space="preserve"> _xlfn.STDEV.S(D130:K130) / SQRT(COUNT(D130:K130))</f>
        <v>0.78286210724011318</v>
      </c>
      <c r="N130" s="2">
        <f>M130*$N$2</f>
        <v>0.87614727356598576</v>
      </c>
    </row>
    <row r="131" spans="2:14" x14ac:dyDescent="0.55000000000000004">
      <c r="C131" s="2" t="s">
        <v>31</v>
      </c>
      <c r="D131" s="2">
        <v>0.103503</v>
      </c>
      <c r="E131" s="2">
        <v>3.5659000000000003E-2</v>
      </c>
      <c r="F131" s="2">
        <v>4.3950999999999997E-2</v>
      </c>
      <c r="G131" s="2">
        <v>0.33224799999999999</v>
      </c>
      <c r="H131" s="2">
        <v>8.0828999999999998E-2</v>
      </c>
      <c r="I131" s="2">
        <v>8.1794000000000006E-2</v>
      </c>
      <c r="J131" s="2">
        <v>6.7486000000000004E-2</v>
      </c>
      <c r="K131" s="2">
        <v>2.5488E-2</v>
      </c>
      <c r="L131" s="2">
        <f>(1/COUNT(D131:K131))*SQRT(SUMSQ(D131:K131))</f>
        <v>4.7224934358742095E-2</v>
      </c>
    </row>
    <row r="132" spans="2:14" x14ac:dyDescent="0.55000000000000004">
      <c r="B132" s="2" t="s">
        <v>35</v>
      </c>
      <c r="C132" s="2" t="s">
        <v>22</v>
      </c>
      <c r="D132" s="2">
        <v>0.74166799999999999</v>
      </c>
      <c r="E132" s="2">
        <v>0.88415100000000002</v>
      </c>
      <c r="F132" s="2">
        <v>0.754494</v>
      </c>
      <c r="G132" s="2">
        <v>0.84932200000000002</v>
      </c>
      <c r="H132" s="2">
        <v>0.82978399999999997</v>
      </c>
      <c r="I132" s="2">
        <v>0.86759900000000001</v>
      </c>
      <c r="J132" s="2">
        <v>0.87698100000000001</v>
      </c>
      <c r="K132" s="2">
        <v>0.74166799999999999</v>
      </c>
      <c r="L132" s="2">
        <f>AVERAGE(D132:K132)</f>
        <v>0.81820837499999999</v>
      </c>
      <c r="M132" s="2">
        <f xml:space="preserve"> _xlfn.STDEV.S(D132:K132) / SQRT(COUNT(D132:K132))</f>
        <v>2.2006702479778342E-2</v>
      </c>
      <c r="N132" s="2">
        <f>M132*$N$2</f>
        <v>2.4629001965376596E-2</v>
      </c>
    </row>
    <row r="133" spans="2:14" x14ac:dyDescent="0.55000000000000004">
      <c r="C133" s="2" t="s">
        <v>23</v>
      </c>
      <c r="D133" s="2">
        <v>5.6899999999999995E-4</v>
      </c>
      <c r="E133" s="2">
        <v>1.372E-3</v>
      </c>
      <c r="F133" s="2">
        <v>1.3060000000000001E-3</v>
      </c>
      <c r="G133" s="2">
        <v>1.1980000000000001E-3</v>
      </c>
      <c r="H133" s="2">
        <v>5.2300000000000003E-4</v>
      </c>
      <c r="I133" s="2">
        <v>9.59E-4</v>
      </c>
      <c r="J133" s="2">
        <v>1.5640000000000001E-3</v>
      </c>
      <c r="K133" s="2">
        <v>5.6899999999999995E-4</v>
      </c>
      <c r="L133" s="2">
        <f>(1/COUNT(D133:K133))*SQRT(SUMSQ(D133:K133))</f>
        <v>3.8140472270280034E-4</v>
      </c>
    </row>
    <row r="134" spans="2:14" x14ac:dyDescent="0.55000000000000004">
      <c r="C134" s="2" t="s">
        <v>24</v>
      </c>
      <c r="D134" s="2">
        <v>0.68235299999999999</v>
      </c>
      <c r="E134" s="2">
        <v>0.45927400000000002</v>
      </c>
      <c r="F134" s="2">
        <v>0.65531099999999998</v>
      </c>
      <c r="G134" s="2">
        <v>0.52701399999999998</v>
      </c>
      <c r="H134" s="2">
        <v>0.55874999999999997</v>
      </c>
      <c r="I134" s="2">
        <v>0.50052700000000006</v>
      </c>
      <c r="J134" s="2">
        <v>0.471194</v>
      </c>
      <c r="K134" s="2">
        <v>0.68235299999999999</v>
      </c>
      <c r="L134" s="2">
        <f>AVERAGE(D134:K134)</f>
        <v>0.56709699999999996</v>
      </c>
      <c r="M134" s="2">
        <f xml:space="preserve"> _xlfn.STDEV.S(D134:K134) / SQRT(COUNT(D134:K134))</f>
        <v>3.3080170420834186E-2</v>
      </c>
      <c r="N134" s="2">
        <f>M134*$N$2</f>
        <v>3.7021974694226162E-2</v>
      </c>
    </row>
    <row r="135" spans="2:14" x14ac:dyDescent="0.55000000000000004">
      <c r="C135" s="2" t="s">
        <v>25</v>
      </c>
      <c r="D135" s="2">
        <v>6.5099999999999999E-4</v>
      </c>
      <c r="E135" s="2">
        <v>2.617E-3</v>
      </c>
      <c r="F135" s="2">
        <v>1.449E-3</v>
      </c>
      <c r="G135" s="2">
        <v>1.949E-3</v>
      </c>
      <c r="H135" s="2">
        <v>7.7499999999999997E-4</v>
      </c>
      <c r="I135" s="2">
        <v>1.7129999999999999E-3</v>
      </c>
      <c r="J135" s="2">
        <v>2.8470000000000001E-3</v>
      </c>
      <c r="K135" s="2">
        <v>6.5099999999999999E-4</v>
      </c>
      <c r="L135" s="2">
        <f>(1/COUNT(D135:K135))*SQRT(SUMSQ(D135:K135))</f>
        <v>6.2792933519624646E-4</v>
      </c>
    </row>
    <row r="136" spans="2:14" x14ac:dyDescent="0.55000000000000004">
      <c r="C136" s="2" t="s">
        <v>26</v>
      </c>
      <c r="D136" s="2">
        <v>0.31032100000000001</v>
      </c>
      <c r="E136" s="2">
        <v>0.58189500000000005</v>
      </c>
      <c r="F136" s="2">
        <v>0.46356900000000001</v>
      </c>
      <c r="G136" s="2">
        <v>0.49071500000000001</v>
      </c>
      <c r="H136" s="2">
        <v>0.49079600000000001</v>
      </c>
      <c r="I136" s="2">
        <v>0.37412299999999998</v>
      </c>
      <c r="J136" s="2">
        <v>0.49513200000000002</v>
      </c>
      <c r="K136" s="2">
        <v>0.31032100000000001</v>
      </c>
      <c r="L136" s="2">
        <f>AVERAGE(D136:K136)</f>
        <v>0.43960900000000003</v>
      </c>
      <c r="M136" s="2">
        <f xml:space="preserve"> _xlfn.STDEV.S(D136:K136) / SQRT(COUNT(D136:K136))</f>
        <v>3.4551543591216129E-2</v>
      </c>
      <c r="N136" s="2">
        <f>M136*$N$2</f>
        <v>3.8668675409085113E-2</v>
      </c>
    </row>
    <row r="137" spans="2:14" x14ac:dyDescent="0.55000000000000004">
      <c r="C137" s="2" t="s">
        <v>27</v>
      </c>
      <c r="D137" s="2">
        <v>5.7200000000000003E-4</v>
      </c>
      <c r="E137" s="2">
        <v>2.6220000000000002E-3</v>
      </c>
      <c r="F137" s="2">
        <v>8.25E-4</v>
      </c>
      <c r="G137" s="2">
        <v>2.1719999999999999E-3</v>
      </c>
      <c r="H137" s="2">
        <v>5.2700000000000002E-4</v>
      </c>
      <c r="I137" s="2">
        <v>1.474E-3</v>
      </c>
      <c r="J137" s="2">
        <v>2.5799999999999998E-3</v>
      </c>
      <c r="K137" s="2">
        <v>5.7200000000000003E-4</v>
      </c>
      <c r="L137" s="2">
        <f>(1/COUNT(D137:K137))*SQRT(SUMSQ(D137:K137))</f>
        <v>5.8675838830816898E-4</v>
      </c>
    </row>
    <row r="138" spans="2:14" x14ac:dyDescent="0.55000000000000004">
      <c r="C138" s="2" t="s">
        <v>28</v>
      </c>
      <c r="D138" s="2">
        <v>2.778931</v>
      </c>
      <c r="E138" s="2">
        <v>2.6651120000000001</v>
      </c>
      <c r="F138" s="2">
        <v>2.2625359999999999</v>
      </c>
      <c r="G138" s="2">
        <v>3.4951530000000002</v>
      </c>
      <c r="H138" s="2">
        <v>1.8038320000000001</v>
      </c>
      <c r="I138" s="2">
        <v>3.8269860000000002</v>
      </c>
      <c r="J138" s="2">
        <v>3.219061</v>
      </c>
      <c r="K138" s="2">
        <v>2.778931</v>
      </c>
      <c r="L138" s="2">
        <f>AVERAGE(D138:K138)</f>
        <v>2.8538177500000002</v>
      </c>
      <c r="M138" s="2">
        <f xml:space="preserve"> _xlfn.STDEV.S(D138:K138) / SQRT(COUNT(D138:K138))</f>
        <v>0.23109522122120274</v>
      </c>
      <c r="N138" s="2">
        <f>M138*$N$2</f>
        <v>0.25863232635039785</v>
      </c>
    </row>
    <row r="139" spans="2:14" x14ac:dyDescent="0.55000000000000004">
      <c r="C139" s="2" t="s">
        <v>29</v>
      </c>
      <c r="D139" s="2">
        <v>5.9249999999999997E-3</v>
      </c>
      <c r="E139" s="2">
        <v>1.9566E-2</v>
      </c>
      <c r="F139" s="2">
        <v>7.7169999999999999E-3</v>
      </c>
      <c r="G139" s="2">
        <v>2.5599E-2</v>
      </c>
      <c r="H139" s="2">
        <v>4.3730000000000002E-3</v>
      </c>
      <c r="I139" s="2">
        <v>3.1184E-2</v>
      </c>
      <c r="J139" s="2">
        <v>2.7545E-2</v>
      </c>
      <c r="K139" s="2">
        <v>5.9249999999999997E-3</v>
      </c>
      <c r="L139" s="2">
        <f>(1/COUNT(D139:K139))*SQRT(SUMSQ(D139:K139))</f>
        <v>6.752537145862287E-3</v>
      </c>
    </row>
    <row r="140" spans="2:14" x14ac:dyDescent="0.55000000000000004">
      <c r="C140" s="2" t="s">
        <v>30</v>
      </c>
      <c r="D140" s="2">
        <v>13.547672</v>
      </c>
      <c r="E140" s="2">
        <v>16.148174000000001</v>
      </c>
      <c r="F140" s="2">
        <v>13.548945</v>
      </c>
      <c r="G140" s="2">
        <v>16.111621</v>
      </c>
      <c r="H140" s="2">
        <v>11.290459</v>
      </c>
      <c r="I140" s="2">
        <v>16.652729000000001</v>
      </c>
      <c r="J140" s="2">
        <v>17.860952999999999</v>
      </c>
      <c r="K140" s="2">
        <v>13.547672</v>
      </c>
      <c r="L140" s="2">
        <f>AVERAGE(D140:K140)</f>
        <v>14.838528125</v>
      </c>
      <c r="M140" s="2">
        <f xml:space="preserve"> _xlfn.STDEV.S(D140:K140) / SQRT(COUNT(D140:K140))</f>
        <v>0.77167203605816825</v>
      </c>
      <c r="N140" s="2">
        <f>M140*$N$2</f>
        <v>0.86362380325569865</v>
      </c>
    </row>
    <row r="141" spans="2:14" x14ac:dyDescent="0.55000000000000004">
      <c r="C141" s="2" t="s">
        <v>31</v>
      </c>
      <c r="D141" s="2">
        <v>2.2898000000000002E-2</v>
      </c>
      <c r="E141" s="2">
        <v>1.942E-2</v>
      </c>
      <c r="F141" s="2">
        <v>1.7527999999999998E-2</v>
      </c>
      <c r="G141" s="2">
        <v>7.7946000000000001E-2</v>
      </c>
      <c r="H141" s="2">
        <v>2.5756000000000001E-2</v>
      </c>
      <c r="I141" s="2">
        <v>4.8330999999999999E-2</v>
      </c>
      <c r="J141" s="2">
        <v>5.7335999999999998E-2</v>
      </c>
      <c r="K141" s="2">
        <v>2.2898000000000002E-2</v>
      </c>
      <c r="L141" s="2">
        <f>(1/COUNT(D141:K141))*SQRT(SUMSQ(D141:K141))</f>
        <v>1.4840430892602983E-2</v>
      </c>
    </row>
    <row r="142" spans="2:14" x14ac:dyDescent="0.55000000000000004">
      <c r="B142" s="2" t="s">
        <v>45</v>
      </c>
      <c r="C142" s="2" t="s">
        <v>22</v>
      </c>
      <c r="D142" s="2">
        <v>0.85212699999999997</v>
      </c>
      <c r="E142" s="2">
        <v>0.89768899999999996</v>
      </c>
      <c r="F142" s="2">
        <v>0.73097999999999996</v>
      </c>
      <c r="G142" s="2">
        <v>0.889127</v>
      </c>
      <c r="H142" s="2">
        <v>0.842302</v>
      </c>
      <c r="I142" s="2">
        <v>0.87644599999999995</v>
      </c>
      <c r="J142" s="2">
        <v>0.91167299999999996</v>
      </c>
      <c r="K142" s="2">
        <v>0.77061100000000005</v>
      </c>
      <c r="L142" s="2">
        <f>AVERAGE(D142:K142)</f>
        <v>0.84636937499999998</v>
      </c>
      <c r="M142" s="2">
        <f xml:space="preserve"> _xlfn.STDEV.S(D142:K142) / SQRT(COUNT(D142:K142))</f>
        <v>2.265219094018556E-2</v>
      </c>
      <c r="N142" s="2">
        <f>M142*$N$2</f>
        <v>2.5351406268093259E-2</v>
      </c>
    </row>
    <row r="143" spans="2:14" x14ac:dyDescent="0.55000000000000004">
      <c r="C143" s="2" t="s">
        <v>23</v>
      </c>
      <c r="D143" s="2">
        <v>2.3570000000000002E-3</v>
      </c>
      <c r="E143" s="2">
        <v>3.1549999999999998E-3</v>
      </c>
      <c r="F143" s="2">
        <v>9.3039999999999998E-3</v>
      </c>
      <c r="G143" s="2">
        <v>1.977E-3</v>
      </c>
      <c r="H143" s="2">
        <v>2.0309999999999998E-3</v>
      </c>
      <c r="I143" s="2">
        <v>6.38E-4</v>
      </c>
      <c r="J143" s="2">
        <v>2.7030000000000001E-3</v>
      </c>
      <c r="K143" s="2">
        <v>3.9960000000000004E-3</v>
      </c>
      <c r="L143" s="2">
        <f>(1/COUNT(D143:K143))*SQRT(SUMSQ(D143:K143))</f>
        <v>1.4458380409385417E-3</v>
      </c>
    </row>
    <row r="144" spans="2:14" x14ac:dyDescent="0.55000000000000004">
      <c r="C144" s="2" t="s">
        <v>24</v>
      </c>
      <c r="D144" s="2">
        <v>0.52409300000000003</v>
      </c>
      <c r="E144" s="2">
        <v>0.43260900000000002</v>
      </c>
      <c r="F144" s="2">
        <v>0.68460799999999999</v>
      </c>
      <c r="G144" s="2">
        <v>0.45263999999999999</v>
      </c>
      <c r="H144" s="2">
        <v>0.53950600000000004</v>
      </c>
      <c r="I144" s="2">
        <v>0.48366799999999999</v>
      </c>
      <c r="J144" s="2">
        <v>0.40365099999999998</v>
      </c>
      <c r="K144" s="2">
        <v>0.64475400000000005</v>
      </c>
      <c r="L144" s="2">
        <f>AVERAGE(D144:K144)</f>
        <v>0.52069112499999992</v>
      </c>
      <c r="M144" s="2">
        <f xml:space="preserve"> _xlfn.STDEV.S(D144:K144) / SQRT(COUNT(D144:K144))</f>
        <v>3.5376654464308356E-2</v>
      </c>
      <c r="N144" s="2">
        <f>M144*$N$2</f>
        <v>3.9592105774616498E-2</v>
      </c>
    </row>
    <row r="145" spans="2:14" x14ac:dyDescent="0.55000000000000004">
      <c r="C145" s="2" t="s">
        <v>25</v>
      </c>
      <c r="D145" s="2">
        <v>3.8600000000000001E-3</v>
      </c>
      <c r="E145" s="2">
        <v>5.3610000000000003E-3</v>
      </c>
      <c r="F145" s="2">
        <v>1.1528E-2</v>
      </c>
      <c r="G145" s="2">
        <v>3.4329999999999999E-3</v>
      </c>
      <c r="H145" s="2">
        <v>3.0140000000000002E-3</v>
      </c>
      <c r="I145" s="2">
        <v>1.2030000000000001E-3</v>
      </c>
      <c r="J145" s="2">
        <v>5.483E-3</v>
      </c>
      <c r="K145" s="2">
        <v>5.2719999999999998E-3</v>
      </c>
      <c r="L145" s="2">
        <f>(1/COUNT(D145:K145))*SQRT(SUMSQ(D145:K145))</f>
        <v>2.0027671170158553E-3</v>
      </c>
    </row>
    <row r="146" spans="2:14" x14ac:dyDescent="0.55000000000000004">
      <c r="C146" s="2" t="s">
        <v>26</v>
      </c>
      <c r="D146" s="2">
        <v>0.50363899999999995</v>
      </c>
      <c r="E146" s="2">
        <v>0.60687500000000005</v>
      </c>
      <c r="F146" s="2">
        <v>0.44529800000000003</v>
      </c>
      <c r="G146" s="2">
        <v>0.57443900000000003</v>
      </c>
      <c r="H146" s="2">
        <v>0.507911</v>
      </c>
      <c r="I146" s="2">
        <v>0.39251399999999997</v>
      </c>
      <c r="J146" s="2">
        <v>0.56199200000000005</v>
      </c>
      <c r="K146" s="2">
        <v>0.337953</v>
      </c>
      <c r="L146" s="2">
        <f>AVERAGE(D146:K146)</f>
        <v>0.49132762499999999</v>
      </c>
      <c r="M146" s="2">
        <f xml:space="preserve"> _xlfn.STDEV.S(D146:K146) / SQRT(COUNT(D146:K146))</f>
        <v>3.3027413709748973E-2</v>
      </c>
      <c r="N146" s="2">
        <f>M146*$N$2</f>
        <v>3.6962931539432822E-2</v>
      </c>
    </row>
    <row r="147" spans="2:14" x14ac:dyDescent="0.55000000000000004">
      <c r="C147" s="2" t="s">
        <v>27</v>
      </c>
      <c r="D147" s="2">
        <v>4.797E-3</v>
      </c>
      <c r="E147" s="2">
        <v>5.8890000000000001E-3</v>
      </c>
      <c r="F147" s="2">
        <v>6.7590000000000003E-3</v>
      </c>
      <c r="G147" s="2">
        <v>3.349E-3</v>
      </c>
      <c r="H147" s="2">
        <v>2.212E-3</v>
      </c>
      <c r="I147" s="2">
        <v>8.8900000000000003E-4</v>
      </c>
      <c r="J147" s="2">
        <v>4.2389999999999997E-3</v>
      </c>
      <c r="K147" s="2">
        <v>4.4200000000000003E-3</v>
      </c>
      <c r="L147" s="2">
        <f>(1/COUNT(D147:K147))*SQRT(SUMSQ(D147:K147))</f>
        <v>1.5701323491190162E-3</v>
      </c>
    </row>
    <row r="148" spans="2:14" x14ac:dyDescent="0.55000000000000004">
      <c r="C148" s="2" t="s">
        <v>28</v>
      </c>
      <c r="D148" s="2">
        <v>2.2572800000000002</v>
      </c>
      <c r="E148" s="2">
        <v>2.425853</v>
      </c>
      <c r="F148" s="2">
        <v>2.4296160000000002</v>
      </c>
      <c r="G148" s="2">
        <v>2.7259090000000001</v>
      </c>
      <c r="H148" s="2">
        <v>1.6643829999999999</v>
      </c>
      <c r="I148" s="2">
        <v>3.8300519999999998</v>
      </c>
      <c r="J148" s="2">
        <v>2.5555819999999998</v>
      </c>
      <c r="K148" s="2">
        <v>2.5428320000000002</v>
      </c>
      <c r="L148" s="2">
        <f>AVERAGE(D148:K148)</f>
        <v>2.553938375</v>
      </c>
      <c r="M148" s="2">
        <f xml:space="preserve"> _xlfn.STDEV.S(D148:K148) / SQRT(COUNT(D148:K148))</f>
        <v>0.21419878975022713</v>
      </c>
      <c r="N148" s="2">
        <f>M148*$N$2</f>
        <v>0.23972253083292328</v>
      </c>
    </row>
    <row r="149" spans="2:14" x14ac:dyDescent="0.55000000000000004">
      <c r="C149" s="2" t="s">
        <v>29</v>
      </c>
      <c r="D149" s="2">
        <v>4.8016999999999997E-2</v>
      </c>
      <c r="E149" s="2">
        <v>4.2102000000000001E-2</v>
      </c>
      <c r="F149" s="2">
        <v>5.3675E-2</v>
      </c>
      <c r="G149" s="2">
        <v>2.2610999999999999E-2</v>
      </c>
      <c r="H149" s="2">
        <v>1.3042E-2</v>
      </c>
      <c r="I149" s="2">
        <v>2.1701999999999999E-2</v>
      </c>
      <c r="J149" s="2">
        <v>4.0620000000000003E-2</v>
      </c>
      <c r="K149" s="2">
        <v>2.9751E-2</v>
      </c>
      <c r="L149" s="2">
        <f>(1/COUNT(D149:K149))*SQRT(SUMSQ(D149:K149))</f>
        <v>1.2897826008672935E-2</v>
      </c>
    </row>
    <row r="150" spans="2:14" x14ac:dyDescent="0.55000000000000004">
      <c r="C150" s="2" t="s">
        <v>30</v>
      </c>
      <c r="D150" s="2">
        <v>13.340821999999999</v>
      </c>
      <c r="E150" s="2">
        <v>15.616222</v>
      </c>
      <c r="F150" s="2">
        <v>14.899127</v>
      </c>
      <c r="G150" s="2">
        <v>14.909071000000001</v>
      </c>
      <c r="H150" s="2">
        <v>10.558363999999999</v>
      </c>
      <c r="I150" s="2">
        <v>17.537524999999999</v>
      </c>
      <c r="J150" s="2">
        <v>16.693441</v>
      </c>
      <c r="K150" s="2">
        <v>12.693566000000001</v>
      </c>
      <c r="L150" s="2">
        <f>AVERAGE(D150:K150)</f>
        <v>14.531017250000001</v>
      </c>
      <c r="M150" s="2">
        <f xml:space="preserve"> _xlfn.STDEV.S(D150:K150) / SQRT(COUNT(D150:K150))</f>
        <v>0.79895053680610784</v>
      </c>
      <c r="N150" s="2">
        <f>M150*$N$2</f>
        <v>0.89415278637576756</v>
      </c>
    </row>
    <row r="151" spans="2:14" x14ac:dyDescent="0.55000000000000004">
      <c r="C151" s="2" t="s">
        <v>31</v>
      </c>
      <c r="D151" s="2">
        <v>6.4746999999999999E-2</v>
      </c>
      <c r="E151" s="2">
        <v>3.2238000000000003E-2</v>
      </c>
      <c r="F151" s="2">
        <v>3.2829999999999998E-2</v>
      </c>
      <c r="G151" s="2">
        <v>4.7391000000000003E-2</v>
      </c>
      <c r="H151" s="2">
        <v>5.9151000000000002E-2</v>
      </c>
      <c r="I151" s="2">
        <v>4.0141000000000003E-2</v>
      </c>
      <c r="J151" s="2">
        <v>6.898E-2</v>
      </c>
      <c r="K151" s="2">
        <v>6.2447000000000003E-2</v>
      </c>
      <c r="L151" s="2">
        <f>(1/COUNT(D151:K151))*SQRT(SUMSQ(D151:K151))</f>
        <v>1.8676182745762715E-2</v>
      </c>
    </row>
    <row r="152" spans="2:14" x14ac:dyDescent="0.55000000000000004">
      <c r="B152" s="2" t="s">
        <v>46</v>
      </c>
      <c r="C152" s="2" t="s">
        <v>22</v>
      </c>
      <c r="L152" s="2" t="e">
        <f>AVERAGE(D152:K152)</f>
        <v>#DIV/0!</v>
      </c>
      <c r="M152" s="2" t="e">
        <f xml:space="preserve"> _xlfn.STDEV.S(D152:K152) / SQRT(COUNT(D152:K152))</f>
        <v>#DIV/0!</v>
      </c>
      <c r="N152" s="2" t="e">
        <f>M152*$N$2</f>
        <v>#DIV/0!</v>
      </c>
    </row>
    <row r="153" spans="2:14" x14ac:dyDescent="0.55000000000000004">
      <c r="C153" s="2" t="s">
        <v>23</v>
      </c>
      <c r="L153" s="2" t="e">
        <f>(1/COUNT(D153:K153))*SQRT(SUMSQ(D153:K153))</f>
        <v>#DIV/0!</v>
      </c>
    </row>
    <row r="154" spans="2:14" x14ac:dyDescent="0.55000000000000004">
      <c r="C154" s="2" t="s">
        <v>24</v>
      </c>
      <c r="L154" s="2" t="e">
        <f>AVERAGE(D154:K154)</f>
        <v>#DIV/0!</v>
      </c>
      <c r="M154" s="2" t="e">
        <f xml:space="preserve"> _xlfn.STDEV.S(D154:K154) / SQRT(COUNT(D154:K154))</f>
        <v>#DIV/0!</v>
      </c>
      <c r="N154" s="2" t="e">
        <f>M154*$N$2</f>
        <v>#DIV/0!</v>
      </c>
    </row>
    <row r="155" spans="2:14" x14ac:dyDescent="0.55000000000000004">
      <c r="C155" s="2" t="s">
        <v>25</v>
      </c>
      <c r="L155" s="2" t="e">
        <f>(1/COUNT(D155:K155))*SQRT(SUMSQ(D155:K155))</f>
        <v>#DIV/0!</v>
      </c>
    </row>
    <row r="156" spans="2:14" x14ac:dyDescent="0.55000000000000004">
      <c r="C156" s="2" t="s">
        <v>26</v>
      </c>
      <c r="L156" s="2" t="e">
        <f>AVERAGE(D156:K156)</f>
        <v>#DIV/0!</v>
      </c>
      <c r="M156" s="2" t="e">
        <f xml:space="preserve"> _xlfn.STDEV.S(D156:K156) / SQRT(COUNT(D156:K156))</f>
        <v>#DIV/0!</v>
      </c>
      <c r="N156" s="2" t="e">
        <f>M156*$N$2</f>
        <v>#DIV/0!</v>
      </c>
    </row>
    <row r="157" spans="2:14" x14ac:dyDescent="0.55000000000000004">
      <c r="C157" s="2" t="s">
        <v>27</v>
      </c>
      <c r="L157" s="2" t="e">
        <f>(1/COUNT(D157:K157))*SQRT(SUMSQ(D157:K157))</f>
        <v>#DIV/0!</v>
      </c>
    </row>
    <row r="158" spans="2:14" x14ac:dyDescent="0.55000000000000004">
      <c r="C158" s="2" t="s">
        <v>28</v>
      </c>
      <c r="L158" s="2" t="e">
        <f>AVERAGE(D158:K158)</f>
        <v>#DIV/0!</v>
      </c>
      <c r="M158" s="2" t="e">
        <f xml:space="preserve"> _xlfn.STDEV.S(D158:K158) / SQRT(COUNT(D158:K158))</f>
        <v>#DIV/0!</v>
      </c>
      <c r="N158" s="2" t="e">
        <f>M158*$N$2</f>
        <v>#DIV/0!</v>
      </c>
    </row>
    <row r="159" spans="2:14" x14ac:dyDescent="0.55000000000000004">
      <c r="C159" s="2" t="s">
        <v>29</v>
      </c>
      <c r="L159" s="2" t="e">
        <f>(1/COUNT(D159:K159))*SQRT(SUMSQ(D159:K159))</f>
        <v>#DIV/0!</v>
      </c>
    </row>
    <row r="160" spans="2:14" x14ac:dyDescent="0.55000000000000004">
      <c r="C160" s="2" t="s">
        <v>30</v>
      </c>
      <c r="L160" s="2" t="e">
        <f>AVERAGE(D160:K160)</f>
        <v>#DIV/0!</v>
      </c>
      <c r="M160" s="2" t="e">
        <f xml:space="preserve"> _xlfn.STDEV.S(D160:K160) / SQRT(COUNT(D160:K160))</f>
        <v>#DIV/0!</v>
      </c>
      <c r="N160" s="2" t="e">
        <f>M160*$N$2</f>
        <v>#DIV/0!</v>
      </c>
    </row>
    <row r="161" spans="2:14" x14ac:dyDescent="0.55000000000000004">
      <c r="C161" s="2" t="s">
        <v>31</v>
      </c>
      <c r="L161" s="2" t="e">
        <f>(1/COUNT(D161:K161))*SQRT(SUMSQ(D161:K161))</f>
        <v>#DIV/0!</v>
      </c>
    </row>
    <row r="162" spans="2:14" x14ac:dyDescent="0.55000000000000004">
      <c r="B162" s="2" t="s">
        <v>36</v>
      </c>
      <c r="C162" s="2" t="s">
        <v>22</v>
      </c>
      <c r="D162" s="2">
        <v>0.86036400000000002</v>
      </c>
      <c r="E162" s="2">
        <v>0.90885000000000005</v>
      </c>
      <c r="F162" s="2">
        <v>0.76681299999999997</v>
      </c>
      <c r="G162" s="2">
        <v>0.89357799999999998</v>
      </c>
      <c r="H162" s="2">
        <v>0.85084599999999999</v>
      </c>
      <c r="I162" s="2">
        <v>0.88445300000000004</v>
      </c>
      <c r="J162" s="2">
        <v>0.91767299999999996</v>
      </c>
      <c r="K162" s="2">
        <v>0.76830299999999996</v>
      </c>
      <c r="L162" s="2">
        <f>AVERAGE(D162:K162)</f>
        <v>0.85635999999999979</v>
      </c>
      <c r="M162" s="2">
        <f xml:space="preserve"> _xlfn.STDEV.S(D162:K162) / SQRT(COUNT(D162:K162))</f>
        <v>2.0919922541511891E-2</v>
      </c>
      <c r="N162" s="2">
        <f>M162*$N$2</f>
        <v>2.3412722276945699E-2</v>
      </c>
    </row>
    <row r="163" spans="2:14" x14ac:dyDescent="0.55000000000000004">
      <c r="C163" s="2" t="s">
        <v>24</v>
      </c>
      <c r="D163" s="2">
        <v>0.51062399999999997</v>
      </c>
      <c r="E163" s="2">
        <v>0.41364299999999998</v>
      </c>
      <c r="F163" s="2">
        <v>0.64208200000000004</v>
      </c>
      <c r="G163" s="2">
        <v>0.44595000000000001</v>
      </c>
      <c r="H163" s="2">
        <v>0.52600000000000002</v>
      </c>
      <c r="I163" s="2">
        <v>0.46901199999999998</v>
      </c>
      <c r="J163" s="2">
        <v>0.39244400000000002</v>
      </c>
      <c r="K163" s="2">
        <v>0.64783999999999997</v>
      </c>
      <c r="L163" s="2">
        <f t="shared" ref="L163:L180" si="3">AVERAGE(D163:K163)</f>
        <v>0.50594937500000015</v>
      </c>
      <c r="M163" s="2">
        <f t="shared" ref="M163:M179" si="4" xml:space="preserve"> _xlfn.STDEV.S(D163:K163) / SQRT(COUNT(D163:K163))</f>
        <v>3.4188853766843358E-2</v>
      </c>
      <c r="N163" s="2">
        <f t="shared" ref="N163:N179" si="5">M163*$N$2</f>
        <v>3.8262767781374551E-2</v>
      </c>
    </row>
    <row r="164" spans="2:14" x14ac:dyDescent="0.55000000000000004">
      <c r="C164" s="2" t="s">
        <v>26</v>
      </c>
      <c r="D164" s="2">
        <v>0.51783599999999996</v>
      </c>
      <c r="E164" s="2">
        <v>0.62891799999999998</v>
      </c>
      <c r="F164" s="2">
        <v>0.46990500000000002</v>
      </c>
      <c r="G164" s="2">
        <v>0.58175100000000002</v>
      </c>
      <c r="H164" s="2">
        <v>0.51802400000000004</v>
      </c>
      <c r="I164" s="2">
        <v>0.40443400000000002</v>
      </c>
      <c r="J164" s="2">
        <v>0.57158100000000001</v>
      </c>
      <c r="K164" s="2">
        <v>0.33488499999999999</v>
      </c>
      <c r="L164" s="2">
        <f t="shared" si="3"/>
        <v>0.50341675000000008</v>
      </c>
      <c r="M164" s="2">
        <f t="shared" si="4"/>
        <v>3.4402565030900667E-2</v>
      </c>
      <c r="N164" s="2">
        <f t="shared" si="5"/>
        <v>3.8501944693377935E-2</v>
      </c>
    </row>
    <row r="165" spans="2:14" x14ac:dyDescent="0.55000000000000004">
      <c r="C165" s="2" t="s">
        <v>28</v>
      </c>
      <c r="D165" s="2">
        <v>2.0851510000000002</v>
      </c>
      <c r="E165" s="2">
        <v>2.2789480000000002</v>
      </c>
      <c r="F165" s="2">
        <v>2.1218789999999998</v>
      </c>
      <c r="G165" s="2">
        <v>2.689575</v>
      </c>
      <c r="H165" s="2">
        <v>1.593332</v>
      </c>
      <c r="I165" s="2">
        <v>3.5627949999999999</v>
      </c>
      <c r="J165" s="2">
        <v>2.4658159999999998</v>
      </c>
      <c r="K165" s="2">
        <v>2.6466750000000001</v>
      </c>
      <c r="L165" s="2">
        <f t="shared" si="3"/>
        <v>2.4305213749999997</v>
      </c>
      <c r="M165" s="2">
        <f t="shared" si="4"/>
        <v>0.20421984791631381</v>
      </c>
      <c r="N165" s="2">
        <f t="shared" si="5"/>
        <v>0.22855450698811208</v>
      </c>
    </row>
    <row r="166" spans="2:14" x14ac:dyDescent="0.55000000000000004">
      <c r="C166" s="2" t="s">
        <v>30</v>
      </c>
      <c r="D166" s="2">
        <v>13.062428000000001</v>
      </c>
      <c r="E166" s="2">
        <v>15.474391000000001</v>
      </c>
      <c r="F166" s="2">
        <v>13.014568000000001</v>
      </c>
      <c r="G166" s="2">
        <v>14.756477</v>
      </c>
      <c r="H166" s="2">
        <v>10.295423</v>
      </c>
      <c r="I166" s="2">
        <v>17.751448</v>
      </c>
      <c r="J166" s="2">
        <v>16.515509000000002</v>
      </c>
      <c r="K166" s="2">
        <v>13.046098000000001</v>
      </c>
      <c r="L166" s="2">
        <f t="shared" si="3"/>
        <v>14.239542750000002</v>
      </c>
      <c r="M166" s="2">
        <f t="shared" si="4"/>
        <v>0.83636250387695854</v>
      </c>
      <c r="N166" s="2">
        <f t="shared" si="5"/>
        <v>0.93602273083306486</v>
      </c>
    </row>
    <row r="167" spans="2:14" x14ac:dyDescent="0.55000000000000004">
      <c r="B167" s="2" t="s">
        <v>37</v>
      </c>
      <c r="C167" s="2" t="s">
        <v>22</v>
      </c>
      <c r="D167" s="2">
        <v>0.82760599999999995</v>
      </c>
      <c r="E167" s="2">
        <v>0.87949500000000003</v>
      </c>
      <c r="F167" s="2">
        <v>0.751637</v>
      </c>
      <c r="G167" s="2">
        <v>0.85482400000000003</v>
      </c>
      <c r="H167" s="2">
        <v>0.81480300000000006</v>
      </c>
      <c r="I167" s="2">
        <v>0.86671600000000004</v>
      </c>
      <c r="J167" s="2">
        <v>0.89456899999999995</v>
      </c>
      <c r="K167" s="2">
        <v>0.70914600000000005</v>
      </c>
      <c r="L167" s="2">
        <f t="shared" si="3"/>
        <v>0.82484950000000001</v>
      </c>
      <c r="M167" s="2">
        <f t="shared" si="4"/>
        <v>2.2894991009420124E-2</v>
      </c>
      <c r="N167" s="2">
        <f t="shared" si="5"/>
        <v>2.5623138181943891E-2</v>
      </c>
    </row>
    <row r="168" spans="2:14" x14ac:dyDescent="0.55000000000000004">
      <c r="C168" s="2" t="s">
        <v>24</v>
      </c>
      <c r="D168" s="2">
        <v>0.567577</v>
      </c>
      <c r="E168" s="2">
        <v>0.46864899999999998</v>
      </c>
      <c r="F168" s="2">
        <v>0.66020500000000004</v>
      </c>
      <c r="G168" s="2">
        <v>0.51870099999999997</v>
      </c>
      <c r="H168" s="2">
        <v>0.58255199999999996</v>
      </c>
      <c r="I168" s="2">
        <v>0.50283599999999995</v>
      </c>
      <c r="J168" s="2">
        <v>0.43979699999999999</v>
      </c>
      <c r="K168" s="2">
        <v>0.72348800000000002</v>
      </c>
      <c r="L168" s="2">
        <f t="shared" si="3"/>
        <v>0.55797562499999998</v>
      </c>
      <c r="M168" s="2">
        <f t="shared" si="4"/>
        <v>3.408751440773828E-2</v>
      </c>
      <c r="N168" s="2">
        <f t="shared" si="5"/>
        <v>3.8149352912569809E-2</v>
      </c>
    </row>
    <row r="169" spans="2:14" x14ac:dyDescent="0.55000000000000004">
      <c r="C169" s="2" t="s">
        <v>26</v>
      </c>
      <c r="D169" s="2">
        <v>0.464308</v>
      </c>
      <c r="E169" s="2">
        <v>0.57555699999999999</v>
      </c>
      <c r="F169" s="2">
        <v>0.45983099999999999</v>
      </c>
      <c r="G169" s="2">
        <v>0.51518600000000003</v>
      </c>
      <c r="H169" s="2">
        <v>0.46690199999999998</v>
      </c>
      <c r="I169" s="2">
        <v>0.37646200000000002</v>
      </c>
      <c r="J169" s="2">
        <v>0.53074399999999999</v>
      </c>
      <c r="K169" s="2">
        <v>0.27657999999999999</v>
      </c>
      <c r="L169" s="2">
        <f t="shared" si="3"/>
        <v>0.45819625000000003</v>
      </c>
      <c r="M169" s="2">
        <f t="shared" si="4"/>
        <v>3.3291279194166197E-2</v>
      </c>
      <c r="N169" s="2">
        <f t="shared" si="5"/>
        <v>3.725823900497785E-2</v>
      </c>
    </row>
    <row r="170" spans="2:14" x14ac:dyDescent="0.55000000000000004">
      <c r="C170" s="2" t="s">
        <v>28</v>
      </c>
      <c r="D170" s="2">
        <v>2.8274680000000001</v>
      </c>
      <c r="E170" s="2">
        <v>2.7359200000000001</v>
      </c>
      <c r="F170" s="2">
        <v>2.345526</v>
      </c>
      <c r="G170" s="2">
        <v>3.3409550000000001</v>
      </c>
      <c r="H170" s="2">
        <v>2.0232540000000001</v>
      </c>
      <c r="I170" s="2">
        <v>4.0073400000000001</v>
      </c>
      <c r="J170" s="2">
        <v>2.8989859999999998</v>
      </c>
      <c r="K170" s="2">
        <v>3.3564189999999998</v>
      </c>
      <c r="L170" s="2">
        <f t="shared" si="3"/>
        <v>2.9419835000000001</v>
      </c>
      <c r="M170" s="2">
        <f t="shared" si="4"/>
        <v>0.22051764214408293</v>
      </c>
      <c r="N170" s="2">
        <f t="shared" si="5"/>
        <v>0.24679433217027502</v>
      </c>
    </row>
    <row r="171" spans="2:14" x14ac:dyDescent="0.55000000000000004">
      <c r="C171" s="2" t="s">
        <v>30</v>
      </c>
      <c r="D171" s="2">
        <v>16.148557</v>
      </c>
      <c r="E171" s="2">
        <v>16.384855000000002</v>
      </c>
      <c r="F171" s="2">
        <v>14.852394</v>
      </c>
      <c r="G171" s="2">
        <v>16.428498999999999</v>
      </c>
      <c r="H171" s="2">
        <v>13.166216</v>
      </c>
      <c r="I171" s="2">
        <v>17.596644000000001</v>
      </c>
      <c r="J171" s="2">
        <v>18.263767000000001</v>
      </c>
      <c r="K171" s="2">
        <v>15.706023999999999</v>
      </c>
      <c r="L171" s="2">
        <f t="shared" si="3"/>
        <v>16.068369500000003</v>
      </c>
      <c r="M171" s="2">
        <f t="shared" si="4"/>
        <v>0.55780285030910737</v>
      </c>
      <c r="N171" s="2">
        <f t="shared" si="5"/>
        <v>0.62427015174942502</v>
      </c>
    </row>
    <row r="172" spans="2:14" x14ac:dyDescent="0.55000000000000004">
      <c r="B172" s="2" t="s">
        <v>39</v>
      </c>
      <c r="C172" s="2" t="s">
        <v>22</v>
      </c>
      <c r="D172" s="2">
        <v>0.85383900000000001</v>
      </c>
      <c r="E172" s="2">
        <v>0.90549100000000005</v>
      </c>
      <c r="F172" s="2">
        <v>0.77238899999999999</v>
      </c>
      <c r="G172" s="2">
        <v>0.85109400000000002</v>
      </c>
      <c r="H172" s="2">
        <v>0.84861799999999998</v>
      </c>
      <c r="I172" s="2">
        <v>0.88778199999999996</v>
      </c>
      <c r="J172" s="2">
        <v>0.908161</v>
      </c>
      <c r="K172" s="2">
        <v>0.72425099999999998</v>
      </c>
      <c r="L172" s="2">
        <f t="shared" si="3"/>
        <v>0.84395312499999986</v>
      </c>
      <c r="M172" s="2">
        <f t="shared" si="4"/>
        <v>2.2932758054362123E-2</v>
      </c>
      <c r="N172" s="2">
        <f t="shared" si="5"/>
        <v>2.5665405515041963E-2</v>
      </c>
    </row>
    <row r="173" spans="2:14" x14ac:dyDescent="0.55000000000000004">
      <c r="C173" s="2" t="s">
        <v>24</v>
      </c>
      <c r="D173" s="2">
        <v>0.52172700000000005</v>
      </c>
      <c r="E173" s="2">
        <v>0.421711</v>
      </c>
      <c r="F173" s="2">
        <v>0.63497000000000003</v>
      </c>
      <c r="G173" s="2">
        <v>0.52543300000000004</v>
      </c>
      <c r="H173" s="2">
        <v>0.52968800000000005</v>
      </c>
      <c r="I173" s="2">
        <v>0.46198400000000001</v>
      </c>
      <c r="J173" s="2">
        <v>0.41461100000000001</v>
      </c>
      <c r="K173" s="2">
        <v>0.69934700000000005</v>
      </c>
      <c r="L173" s="2">
        <f t="shared" si="3"/>
        <v>0.52618387500000008</v>
      </c>
      <c r="M173" s="2">
        <f t="shared" si="4"/>
        <v>3.5187585901664944E-2</v>
      </c>
      <c r="N173" s="2">
        <f t="shared" si="5"/>
        <v>3.9380507966847958E-2</v>
      </c>
    </row>
    <row r="174" spans="2:14" x14ac:dyDescent="0.55000000000000004">
      <c r="C174" s="2" t="s">
        <v>26</v>
      </c>
      <c r="D174" s="2">
        <v>0.508405</v>
      </c>
      <c r="E174" s="2">
        <v>0.62174600000000002</v>
      </c>
      <c r="F174" s="2">
        <v>0.47472799999999998</v>
      </c>
      <c r="G174" s="2">
        <v>0.50546400000000002</v>
      </c>
      <c r="H174" s="2">
        <v>0.51518799999999998</v>
      </c>
      <c r="I174" s="2">
        <v>0.40913100000000002</v>
      </c>
      <c r="J174" s="2">
        <v>0.55288599999999999</v>
      </c>
      <c r="K174" s="2">
        <v>0.29805500000000001</v>
      </c>
      <c r="L174" s="2">
        <f t="shared" si="3"/>
        <v>0.48570037500000007</v>
      </c>
      <c r="M174" s="2">
        <f t="shared" si="4"/>
        <v>3.432824486428121E-2</v>
      </c>
      <c r="N174" s="2">
        <f t="shared" si="5"/>
        <v>3.8418768600484432E-2</v>
      </c>
    </row>
    <row r="175" spans="2:14" x14ac:dyDescent="0.55000000000000004">
      <c r="C175" s="2" t="s">
        <v>28</v>
      </c>
      <c r="D175" s="2">
        <v>2.2598479999999999</v>
      </c>
      <c r="E175" s="2">
        <v>2.4202330000000001</v>
      </c>
      <c r="F175" s="2">
        <v>2.161254</v>
      </c>
      <c r="G175" s="2">
        <v>3.4278520000000001</v>
      </c>
      <c r="H175" s="2">
        <v>1.633696</v>
      </c>
      <c r="I175" s="2">
        <v>3.049944</v>
      </c>
      <c r="J175" s="2">
        <v>2.6636730000000002</v>
      </c>
      <c r="K175" s="2">
        <v>3.3878110000000001</v>
      </c>
      <c r="L175" s="2">
        <f t="shared" si="3"/>
        <v>2.6255388749999997</v>
      </c>
      <c r="M175" s="2">
        <f t="shared" si="4"/>
        <v>0.22286815917411504</v>
      </c>
      <c r="N175" s="2">
        <f t="shared" si="5"/>
        <v>0.24942493476080432</v>
      </c>
    </row>
    <row r="176" spans="2:14" x14ac:dyDescent="0.55000000000000004">
      <c r="C176" s="2" t="s">
        <v>30</v>
      </c>
      <c r="D176" s="2">
        <v>13.665335000000001</v>
      </c>
      <c r="E176" s="2">
        <v>16.408937999999999</v>
      </c>
      <c r="F176" s="2">
        <v>13.456215</v>
      </c>
      <c r="G176" s="2">
        <v>16.298566999999998</v>
      </c>
      <c r="H176" s="2">
        <v>10.374344000000001</v>
      </c>
      <c r="I176" s="2">
        <v>15.404545000000001</v>
      </c>
      <c r="J176" s="2">
        <v>17.084914000000001</v>
      </c>
      <c r="K176" s="2">
        <v>15.799731</v>
      </c>
      <c r="L176" s="2">
        <f t="shared" si="3"/>
        <v>14.811573624999998</v>
      </c>
      <c r="M176" s="2">
        <f t="shared" si="4"/>
        <v>0.7803242856857685</v>
      </c>
      <c r="N176" s="2">
        <f t="shared" si="5"/>
        <v>0.87330704740728871</v>
      </c>
    </row>
    <row r="177" spans="1:14" x14ac:dyDescent="0.55000000000000004">
      <c r="B177" s="2" t="s">
        <v>61</v>
      </c>
      <c r="C177" s="2" t="s">
        <v>22</v>
      </c>
      <c r="D177" s="2">
        <v>0.85437399999999997</v>
      </c>
      <c r="E177" s="2">
        <v>0.88423799999999997</v>
      </c>
      <c r="F177" s="2">
        <v>0.78746400000000005</v>
      </c>
      <c r="G177" s="2">
        <v>0.88343700000000003</v>
      </c>
      <c r="H177" s="2">
        <v>0.83660400000000001</v>
      </c>
      <c r="I177" s="2">
        <v>0.86845600000000001</v>
      </c>
      <c r="J177" s="2">
        <v>0.91478599999999999</v>
      </c>
      <c r="K177" s="2">
        <v>0.79050399999999998</v>
      </c>
      <c r="L177" s="2">
        <f t="shared" si="3"/>
        <v>0.85248287500000008</v>
      </c>
      <c r="M177" s="2">
        <f t="shared" si="4"/>
        <v>1.6051210458846905E-2</v>
      </c>
      <c r="N177" s="2">
        <f t="shared" si="5"/>
        <v>1.7963858706267911E-2</v>
      </c>
    </row>
    <row r="178" spans="1:14" x14ac:dyDescent="0.55000000000000004">
      <c r="C178" s="2" t="s">
        <v>24</v>
      </c>
      <c r="D178" s="2">
        <v>0.53297799999999995</v>
      </c>
      <c r="E178" s="2">
        <v>0.46290500000000001</v>
      </c>
      <c r="F178" s="2">
        <v>0.64592799999999995</v>
      </c>
      <c r="G178" s="2">
        <v>0.44852399999999998</v>
      </c>
      <c r="H178" s="2">
        <v>0.56453200000000003</v>
      </c>
      <c r="I178" s="2">
        <v>0.50695299999999999</v>
      </c>
      <c r="J178" s="2">
        <v>0.40421600000000002</v>
      </c>
      <c r="K178" s="2">
        <v>0.64089799999999997</v>
      </c>
      <c r="L178" s="2">
        <f t="shared" si="3"/>
        <v>0.52586675000000005</v>
      </c>
      <c r="M178" s="2">
        <f t="shared" si="4"/>
        <v>3.1137707250414089E-2</v>
      </c>
      <c r="N178" s="2">
        <f t="shared" si="5"/>
        <v>3.4848049305544755E-2</v>
      </c>
    </row>
    <row r="179" spans="1:14" x14ac:dyDescent="0.55000000000000004">
      <c r="C179" s="2" t="s">
        <v>26</v>
      </c>
      <c r="D179" s="2">
        <v>0.53396500000000002</v>
      </c>
      <c r="E179" s="2">
        <v>0.62921000000000005</v>
      </c>
      <c r="F179" s="2">
        <v>0.53636700000000004</v>
      </c>
      <c r="G179" s="2">
        <v>0.61109100000000005</v>
      </c>
      <c r="H179" s="2">
        <v>0.50859299999999996</v>
      </c>
      <c r="I179" s="2">
        <v>0.44813399999999998</v>
      </c>
      <c r="J179" s="2">
        <v>0.60597699999999999</v>
      </c>
      <c r="K179" s="2">
        <v>0.35225299999999998</v>
      </c>
      <c r="L179" s="2">
        <f t="shared" si="3"/>
        <v>0.52819875000000005</v>
      </c>
      <c r="M179" s="2">
        <f t="shared" si="4"/>
        <v>3.2997694839807648E-2</v>
      </c>
      <c r="N179" s="2">
        <f t="shared" si="5"/>
        <v>3.6929671394853404E-2</v>
      </c>
    </row>
    <row r="180" spans="1:14" ht="13.5" customHeight="1" x14ac:dyDescent="0.55000000000000004">
      <c r="A180" s="2" t="s">
        <v>20</v>
      </c>
      <c r="B180" s="2" t="s">
        <v>21</v>
      </c>
      <c r="C180" s="2" t="s">
        <v>22</v>
      </c>
      <c r="D180" s="2">
        <v>0.85504000000000002</v>
      </c>
      <c r="E180" s="2">
        <v>0.909416</v>
      </c>
      <c r="F180" s="2">
        <v>0.76097199999999998</v>
      </c>
      <c r="G180" s="2">
        <v>0.85224500000000003</v>
      </c>
      <c r="H180" s="2">
        <v>0.84253500000000003</v>
      </c>
      <c r="I180" s="2">
        <v>0.87842200000000004</v>
      </c>
      <c r="J180" s="2">
        <v>0.88819899999999996</v>
      </c>
      <c r="K180" s="2">
        <v>0.74846599999999996</v>
      </c>
      <c r="L180" s="2">
        <f t="shared" si="3"/>
        <v>0.84191187499999998</v>
      </c>
      <c r="M180" s="2">
        <f xml:space="preserve"> _xlfn.STDEV.S(D180:K180) / SQRT(COUNT(D180:K180))</f>
        <v>2.052663705098251E-2</v>
      </c>
      <c r="N180" s="2">
        <f>M180*$N$2</f>
        <v>2.2972573230167666E-2</v>
      </c>
    </row>
    <row r="181" spans="1:14" x14ac:dyDescent="0.55000000000000004">
      <c r="A181" s="2">
        <v>0.5</v>
      </c>
      <c r="C181" s="2" t="s">
        <v>23</v>
      </c>
      <c r="D181" s="2">
        <v>2.5099999999999998E-4</v>
      </c>
      <c r="E181" s="2">
        <v>7.6800000000000002E-4</v>
      </c>
      <c r="F181" s="2">
        <v>8.9099999999999997E-4</v>
      </c>
      <c r="G181" s="2">
        <v>9.7199999999999999E-4</v>
      </c>
      <c r="H181" s="2">
        <v>5.2499999999999997E-4</v>
      </c>
      <c r="I181" s="2">
        <v>4.5800000000000002E-4</v>
      </c>
      <c r="J181" s="2">
        <v>8.8900000000000003E-4</v>
      </c>
      <c r="K181" s="2">
        <v>2.1699999999999999E-4</v>
      </c>
      <c r="L181" s="2">
        <f>(1/COUNT(D181:K181))*SQRT(SUMSQ(D181:K181))</f>
        <v>2.4090613446942359E-4</v>
      </c>
    </row>
    <row r="182" spans="1:14" x14ac:dyDescent="0.55000000000000004">
      <c r="C182" s="2" t="s">
        <v>24</v>
      </c>
      <c r="D182" s="2">
        <v>0.52012899999999995</v>
      </c>
      <c r="E182" s="2">
        <v>0.41272599999999998</v>
      </c>
      <c r="F182" s="2">
        <v>0.64903299999999997</v>
      </c>
      <c r="G182" s="2">
        <v>0.52233700000000005</v>
      </c>
      <c r="H182" s="2">
        <v>0.53965600000000002</v>
      </c>
      <c r="I182" s="2">
        <v>0.48030499999999998</v>
      </c>
      <c r="J182" s="2">
        <v>0.45300499999999999</v>
      </c>
      <c r="K182" s="2">
        <v>0.67381500000000005</v>
      </c>
      <c r="L182" s="2">
        <f>AVERAGE(D182:K182)</f>
        <v>0.53137575000000004</v>
      </c>
      <c r="M182" s="2">
        <f xml:space="preserve"> _xlfn.STDEV.S(D182:K182) / SQRT(COUNT(D182:K182))</f>
        <v>3.1970097211942793E-2</v>
      </c>
      <c r="N182" s="2">
        <f>M182*$N$2</f>
        <v>3.5779626129345966E-2</v>
      </c>
    </row>
    <row r="183" spans="1:14" x14ac:dyDescent="0.55000000000000004">
      <c r="C183" s="2" t="s">
        <v>25</v>
      </c>
      <c r="D183" s="2">
        <v>4.7100000000000001E-4</v>
      </c>
      <c r="E183" s="2">
        <v>1.65E-3</v>
      </c>
      <c r="F183" s="2">
        <v>1.078E-3</v>
      </c>
      <c r="G183" s="2">
        <v>1.6310000000000001E-3</v>
      </c>
      <c r="H183" s="2">
        <v>8.52E-4</v>
      </c>
      <c r="I183" s="2">
        <v>8.6600000000000002E-4</v>
      </c>
      <c r="J183" s="2">
        <v>1.8010000000000001E-3</v>
      </c>
      <c r="K183" s="2">
        <v>2.4800000000000001E-4</v>
      </c>
      <c r="L183" s="2">
        <f>(1/COUNT(D183:K183))*SQRT(SUMSQ(D183:K183))</f>
        <v>4.2477109644489699E-4</v>
      </c>
    </row>
    <row r="184" spans="1:14" x14ac:dyDescent="0.55000000000000004">
      <c r="C184" s="2" t="s">
        <v>26</v>
      </c>
      <c r="D184" s="2">
        <v>0.51131400000000005</v>
      </c>
      <c r="E184" s="2">
        <v>0.63118700000000005</v>
      </c>
      <c r="F184" s="2">
        <v>0.46590399999999998</v>
      </c>
      <c r="G184" s="2">
        <v>0.49860500000000002</v>
      </c>
      <c r="H184" s="2">
        <v>0.50678400000000001</v>
      </c>
      <c r="I184" s="2">
        <v>0.39427400000000001</v>
      </c>
      <c r="J184" s="2">
        <v>0.51438399999999995</v>
      </c>
      <c r="K184" s="2">
        <v>0.322378</v>
      </c>
      <c r="L184" s="2">
        <f>AVERAGE(D184:K184)</f>
        <v>0.48060375000000005</v>
      </c>
      <c r="M184" s="2">
        <f xml:space="preserve"> _xlfn.STDEV.S(D184:K184) / SQRT(COUNT(D184:K184))</f>
        <v>3.2313554974626582E-2</v>
      </c>
      <c r="N184" s="2">
        <f>M184*$N$2</f>
        <v>3.6164010019660103E-2</v>
      </c>
    </row>
    <row r="185" spans="1:14" x14ac:dyDescent="0.55000000000000004">
      <c r="C185" s="2" t="s">
        <v>27</v>
      </c>
      <c r="D185" s="2">
        <v>5.0100000000000003E-4</v>
      </c>
      <c r="E185" s="2">
        <v>1.593E-3</v>
      </c>
      <c r="F185" s="2">
        <v>6.6299999999999996E-4</v>
      </c>
      <c r="G185" s="2">
        <v>2.0300000000000001E-3</v>
      </c>
      <c r="H185" s="2">
        <v>8.61E-4</v>
      </c>
      <c r="I185" s="2">
        <v>7.5199999999999996E-4</v>
      </c>
      <c r="J185" s="2">
        <v>1.7570000000000001E-3</v>
      </c>
      <c r="K185" s="2">
        <v>2.42E-4</v>
      </c>
      <c r="L185" s="2">
        <f>(1/COUNT(D185:K185))*SQRT(SUMSQ(D185:K185))</f>
        <v>4.2941742876250377E-4</v>
      </c>
    </row>
    <row r="186" spans="1:14" x14ac:dyDescent="0.55000000000000004">
      <c r="C186" s="2" t="s">
        <v>28</v>
      </c>
      <c r="D186" s="2">
        <v>2.222261</v>
      </c>
      <c r="E186" s="2">
        <v>2.3106110000000002</v>
      </c>
      <c r="F186" s="2">
        <v>2.216974</v>
      </c>
      <c r="G186" s="2">
        <v>3.547679</v>
      </c>
      <c r="H186" s="2">
        <v>1.6928179999999999</v>
      </c>
      <c r="I186" s="2">
        <v>3.473325</v>
      </c>
      <c r="J186" s="2">
        <v>3.0224500000000001</v>
      </c>
      <c r="K186" s="2">
        <v>2.6924549999999998</v>
      </c>
      <c r="L186" s="2">
        <f>AVERAGE(D186:K186)</f>
        <v>2.6473216249999996</v>
      </c>
      <c r="M186" s="2">
        <f xml:space="preserve"> _xlfn.STDEV.S(D186:K186) / SQRT(COUNT(D186:K186))</f>
        <v>0.23245622191116411</v>
      </c>
      <c r="N186" s="2">
        <f>M186*$N$2</f>
        <v>0.26015550269627424</v>
      </c>
    </row>
    <row r="187" spans="1:14" x14ac:dyDescent="0.55000000000000004">
      <c r="C187" s="2" t="s">
        <v>29</v>
      </c>
      <c r="D187" s="2">
        <v>6.3990000000000002E-3</v>
      </c>
      <c r="E187" s="2">
        <v>1.1563E-2</v>
      </c>
      <c r="F187" s="2">
        <v>5.4440000000000001E-3</v>
      </c>
      <c r="G187" s="2">
        <v>2.5111000000000001E-2</v>
      </c>
      <c r="H187" s="2">
        <v>5.6629999999999996E-3</v>
      </c>
      <c r="I187" s="2">
        <v>1.2999E-2</v>
      </c>
      <c r="J187" s="2">
        <v>1.4307E-2</v>
      </c>
      <c r="K187" s="2">
        <v>2.1670000000000001E-3</v>
      </c>
      <c r="L187" s="2">
        <f>(1/COUNT(D187:K187))*SQRT(SUMSQ(D187:K187))</f>
        <v>4.4110644530968943E-3</v>
      </c>
    </row>
    <row r="188" spans="1:14" x14ac:dyDescent="0.55000000000000004">
      <c r="C188" s="2" t="s">
        <v>30</v>
      </c>
      <c r="D188" s="2">
        <v>13.69631</v>
      </c>
      <c r="E188" s="2">
        <v>16.074180999999999</v>
      </c>
      <c r="F188" s="2">
        <v>13.461447</v>
      </c>
      <c r="G188" s="2">
        <v>16.208252999999999</v>
      </c>
      <c r="H188" s="2">
        <v>10.621674000000001</v>
      </c>
      <c r="I188" s="2">
        <v>16.099661000000001</v>
      </c>
      <c r="J188" s="2">
        <v>17.383346</v>
      </c>
      <c r="K188" s="2">
        <v>13.426173</v>
      </c>
      <c r="L188" s="2">
        <f>AVERAGE(D188:K188)</f>
        <v>14.621380625</v>
      </c>
      <c r="M188" s="2">
        <f xml:space="preserve"> _xlfn.STDEV.S(D188:K188) / SQRT(COUNT(D188:K188))</f>
        <v>0.77999467137051026</v>
      </c>
      <c r="N188" s="2">
        <f>M188*$N$2</f>
        <v>0.87293815653752882</v>
      </c>
    </row>
    <row r="189" spans="1:14" x14ac:dyDescent="0.55000000000000004">
      <c r="C189" s="2" t="s">
        <v>31</v>
      </c>
      <c r="D189" s="2">
        <v>2.2946000000000001E-2</v>
      </c>
      <c r="E189" s="2">
        <v>1.0371E-2</v>
      </c>
      <c r="F189" s="2">
        <v>1.5358E-2</v>
      </c>
      <c r="G189" s="2">
        <v>6.7067000000000002E-2</v>
      </c>
      <c r="H189" s="2">
        <v>3.9523999999999997E-2</v>
      </c>
      <c r="I189" s="2">
        <v>2.2076999999999999E-2</v>
      </c>
      <c r="J189" s="2">
        <v>1.5216E-2</v>
      </c>
      <c r="K189" s="2">
        <v>6.0660000000000002E-3</v>
      </c>
      <c r="L189" s="2">
        <f>(1/COUNT(D189:K189))*SQRT(SUMSQ(D189:K189))</f>
        <v>1.0958580204998045E-2</v>
      </c>
    </row>
    <row r="190" spans="1:14" x14ac:dyDescent="0.55000000000000004">
      <c r="B190" s="2" t="s">
        <v>32</v>
      </c>
      <c r="C190" s="2" t="s">
        <v>22</v>
      </c>
      <c r="D190" s="2">
        <v>0.83372199999999996</v>
      </c>
      <c r="E190" s="2">
        <v>0.88438399999999995</v>
      </c>
      <c r="F190" s="2">
        <v>0.75524000000000002</v>
      </c>
      <c r="G190" s="2">
        <v>0.854576</v>
      </c>
      <c r="H190" s="2">
        <v>0.83056099999999999</v>
      </c>
      <c r="I190" s="2">
        <v>0.87566900000000003</v>
      </c>
      <c r="J190" s="2">
        <v>0.89009499999999997</v>
      </c>
      <c r="K190" s="2">
        <v>0.74425799999999998</v>
      </c>
      <c r="L190" s="2">
        <f>AVERAGE(D190:K190)</f>
        <v>0.83356312500000007</v>
      </c>
      <c r="M190" s="2">
        <f xml:space="preserve"> _xlfn.STDEV.S(D190:K190) / SQRT(COUNT(D190:K190))</f>
        <v>1.987101941669028E-2</v>
      </c>
      <c r="N190" s="2">
        <f>M190*$N$2</f>
        <v>2.2238832770034835E-2</v>
      </c>
    </row>
    <row r="191" spans="1:14" x14ac:dyDescent="0.55000000000000004">
      <c r="C191" s="2" t="s">
        <v>23</v>
      </c>
      <c r="D191" s="2">
        <v>1.776E-3</v>
      </c>
      <c r="E191" s="2">
        <v>2.1540000000000001E-3</v>
      </c>
      <c r="F191" s="2">
        <v>3.1679999999999998E-3</v>
      </c>
      <c r="G191" s="2">
        <v>2.6930000000000001E-3</v>
      </c>
      <c r="H191" s="2">
        <v>7.3800000000000005E-4</v>
      </c>
      <c r="I191" s="2">
        <v>1.4829999999999999E-3</v>
      </c>
      <c r="J191" s="2">
        <v>3.052E-3</v>
      </c>
      <c r="K191" s="2">
        <v>5.5400000000000002E-4</v>
      </c>
      <c r="L191" s="2">
        <f>(1/COUNT(D191:K191))*SQRT(SUMSQ(D191:K191))</f>
        <v>7.6493380024025609E-4</v>
      </c>
    </row>
    <row r="192" spans="1:14" x14ac:dyDescent="0.55000000000000004">
      <c r="C192" s="2" t="s">
        <v>24</v>
      </c>
      <c r="D192" s="2">
        <v>0.55478799999999995</v>
      </c>
      <c r="E192" s="2">
        <v>0.46446999999999999</v>
      </c>
      <c r="F192" s="2">
        <v>0.65538799999999997</v>
      </c>
      <c r="G192" s="2">
        <v>0.51878000000000002</v>
      </c>
      <c r="H192" s="2">
        <v>0.557701</v>
      </c>
      <c r="I192" s="2">
        <v>0.485481</v>
      </c>
      <c r="J192" s="2">
        <v>0.44661499999999998</v>
      </c>
      <c r="K192" s="2">
        <v>0.67892699999999995</v>
      </c>
      <c r="L192" s="2">
        <f>AVERAGE(D192:K192)</f>
        <v>0.54526875000000008</v>
      </c>
      <c r="M192" s="2">
        <f xml:space="preserve"> _xlfn.STDEV.S(D192:K192) / SQRT(COUNT(D192:K192))</f>
        <v>3.011086161749944E-2</v>
      </c>
      <c r="N192" s="2">
        <f>M192*$N$2</f>
        <v>3.3698845642050321E-2</v>
      </c>
    </row>
    <row r="193" spans="2:14" x14ac:dyDescent="0.55000000000000004">
      <c r="C193" s="2" t="s">
        <v>25</v>
      </c>
      <c r="D193" s="2">
        <v>2.552E-3</v>
      </c>
      <c r="E193" s="2">
        <v>4.287E-3</v>
      </c>
      <c r="F193" s="2">
        <v>3.6619999999999999E-3</v>
      </c>
      <c r="G193" s="2">
        <v>4.1900000000000001E-3</v>
      </c>
      <c r="H193" s="2">
        <v>1.109E-3</v>
      </c>
      <c r="I193" s="2">
        <v>2.6679999999999998E-3</v>
      </c>
      <c r="J193" s="2">
        <v>5.267E-3</v>
      </c>
      <c r="K193" s="2">
        <v>7.1299999999999998E-4</v>
      </c>
      <c r="L193" s="2">
        <f>(1/COUNT(D193:K193))*SQRT(SUMSQ(D193:K193))</f>
        <v>1.2019202084581156E-3</v>
      </c>
    </row>
    <row r="194" spans="2:14" x14ac:dyDescent="0.55000000000000004">
      <c r="C194" s="2" t="s">
        <v>26</v>
      </c>
      <c r="D194" s="2">
        <v>0.48660500000000001</v>
      </c>
      <c r="E194" s="2">
        <v>0.58166700000000005</v>
      </c>
      <c r="F194" s="2">
        <v>0.46163900000000002</v>
      </c>
      <c r="G194" s="2">
        <v>0.50983699999999998</v>
      </c>
      <c r="H194" s="2">
        <v>0.49196099999999998</v>
      </c>
      <c r="I194" s="2">
        <v>0.39137100000000002</v>
      </c>
      <c r="J194" s="2">
        <v>0.52563099999999996</v>
      </c>
      <c r="K194" s="2">
        <v>0.31785600000000003</v>
      </c>
      <c r="L194" s="2">
        <f>AVERAGE(D194:K194)</f>
        <v>0.47082087500000003</v>
      </c>
      <c r="M194" s="2">
        <f xml:space="preserve"> _xlfn.STDEV.S(D194:K194) / SQRT(COUNT(D194:K194))</f>
        <v>2.906401714223603E-2</v>
      </c>
      <c r="N194" s="2">
        <f>M194*$N$2</f>
        <v>3.2527260091584617E-2</v>
      </c>
    </row>
    <row r="195" spans="2:14" x14ac:dyDescent="0.55000000000000004">
      <c r="C195" s="2" t="s">
        <v>27</v>
      </c>
      <c r="D195" s="2">
        <v>2.8170000000000001E-3</v>
      </c>
      <c r="E195" s="2">
        <v>4.7019999999999996E-3</v>
      </c>
      <c r="F195" s="2">
        <v>2.026E-3</v>
      </c>
      <c r="G195" s="2">
        <v>5.0369999999999998E-3</v>
      </c>
      <c r="H195" s="2">
        <v>8.6600000000000002E-4</v>
      </c>
      <c r="I195" s="2">
        <v>2.4329999999999998E-3</v>
      </c>
      <c r="J195" s="2">
        <v>4.7569999999999999E-3</v>
      </c>
      <c r="K195" s="2">
        <v>5.1800000000000001E-4</v>
      </c>
      <c r="L195" s="2">
        <f>(1/COUNT(D195:K195))*SQRT(SUMSQ(D195:K195))</f>
        <v>1.1798249075604395E-3</v>
      </c>
    </row>
    <row r="196" spans="2:14" x14ac:dyDescent="0.55000000000000004">
      <c r="C196" s="2" t="s">
        <v>28</v>
      </c>
      <c r="D196" s="2">
        <v>2.664917</v>
      </c>
      <c r="E196" s="2">
        <v>2.7467579999999998</v>
      </c>
      <c r="F196" s="2">
        <v>2.3353549999999998</v>
      </c>
      <c r="G196" s="2">
        <v>3.4137520000000001</v>
      </c>
      <c r="H196" s="2">
        <v>1.7874110000000001</v>
      </c>
      <c r="I196" s="2">
        <v>3.5462150000000001</v>
      </c>
      <c r="J196" s="2">
        <v>3.0807259999999999</v>
      </c>
      <c r="K196" s="2">
        <v>2.7592750000000001</v>
      </c>
      <c r="L196" s="2">
        <f>AVERAGE(D196:K196)</f>
        <v>2.7918011249999997</v>
      </c>
      <c r="M196" s="2">
        <f xml:space="preserve"> _xlfn.STDEV.S(D196:K196) / SQRT(COUNT(D196:K196))</f>
        <v>0.20159054020548017</v>
      </c>
      <c r="N196" s="2">
        <f>M196*$N$2</f>
        <v>0.22561189326226169</v>
      </c>
    </row>
    <row r="197" spans="2:14" x14ac:dyDescent="0.55000000000000004">
      <c r="C197" s="2" t="s">
        <v>29</v>
      </c>
      <c r="D197" s="2">
        <v>5.1587000000000001E-2</v>
      </c>
      <c r="E197" s="2">
        <v>2.8129000000000001E-2</v>
      </c>
      <c r="F197" s="2">
        <v>1.9282000000000001E-2</v>
      </c>
      <c r="G197" s="2">
        <v>8.3444000000000004E-2</v>
      </c>
      <c r="H197" s="2">
        <v>6.1739999999999998E-3</v>
      </c>
      <c r="I197" s="2">
        <v>4.8722000000000001E-2</v>
      </c>
      <c r="J197" s="2">
        <v>6.651E-2</v>
      </c>
      <c r="K197" s="2">
        <v>5.6670000000000002E-3</v>
      </c>
      <c r="L197" s="2">
        <f>(1/COUNT(D197:K197))*SQRT(SUMSQ(D197:K197))</f>
        <v>1.6608921933613723E-2</v>
      </c>
    </row>
    <row r="198" spans="2:14" x14ac:dyDescent="0.55000000000000004">
      <c r="C198" s="2" t="s">
        <v>30</v>
      </c>
      <c r="D198" s="2">
        <v>15.708947999999999</v>
      </c>
      <c r="E198" s="2">
        <v>16.905674999999999</v>
      </c>
      <c r="F198" s="2">
        <v>14.801359</v>
      </c>
      <c r="G198" s="2">
        <v>16.524265</v>
      </c>
      <c r="H198" s="2">
        <v>11.170056000000001</v>
      </c>
      <c r="I198" s="2">
        <v>16.217701000000002</v>
      </c>
      <c r="J198" s="2">
        <v>18.598236</v>
      </c>
      <c r="K198" s="2">
        <v>13.582109000000001</v>
      </c>
      <c r="L198" s="2">
        <f>AVERAGE(D198:K198)</f>
        <v>15.438543624999999</v>
      </c>
      <c r="M198" s="2">
        <f xml:space="preserve"> _xlfn.STDEV.S(D198:K198) / SQRT(COUNT(D198:K198))</f>
        <v>0.80253467202941475</v>
      </c>
      <c r="N198" s="2">
        <f>M198*$N$2</f>
        <v>0.89816400402821295</v>
      </c>
    </row>
    <row r="199" spans="2:14" x14ac:dyDescent="0.55000000000000004">
      <c r="C199" s="2" t="s">
        <v>31</v>
      </c>
      <c r="D199" s="2">
        <v>6.6369999999999998E-2</v>
      </c>
      <c r="E199" s="2">
        <v>2.2578000000000001E-2</v>
      </c>
      <c r="F199" s="2">
        <v>4.1708000000000002E-2</v>
      </c>
      <c r="G199" s="2">
        <v>0.21582399999999999</v>
      </c>
      <c r="H199" s="2">
        <v>3.2155000000000003E-2</v>
      </c>
      <c r="I199" s="2">
        <v>8.9718000000000006E-2</v>
      </c>
      <c r="J199" s="2">
        <v>0.108885</v>
      </c>
      <c r="K199" s="2">
        <v>2.6518E-2</v>
      </c>
      <c r="L199" s="2">
        <f>(1/COUNT(D199:K199))*SQRT(SUMSQ(D199:K199))</f>
        <v>3.4204511380536484E-2</v>
      </c>
    </row>
    <row r="200" spans="2:14" x14ac:dyDescent="0.55000000000000004">
      <c r="B200" s="2" t="s">
        <v>33</v>
      </c>
      <c r="C200" s="2" t="s">
        <v>22</v>
      </c>
      <c r="D200" s="2">
        <v>0.85545899999999997</v>
      </c>
      <c r="E200" s="2">
        <v>0.90853600000000001</v>
      </c>
      <c r="F200" s="2">
        <v>0.76084600000000002</v>
      </c>
      <c r="G200" s="2">
        <v>0.85342099999999999</v>
      </c>
      <c r="H200" s="2">
        <v>0.842754</v>
      </c>
      <c r="I200" s="2">
        <v>0.88064600000000004</v>
      </c>
      <c r="J200" s="2">
        <v>0.88933499999999999</v>
      </c>
      <c r="K200" s="2">
        <v>0.748668</v>
      </c>
      <c r="L200" s="2">
        <f>AVERAGE(D200:K200)</f>
        <v>0.84245812499999995</v>
      </c>
      <c r="M200" s="2">
        <f xml:space="preserve"> _xlfn.STDEV.S(D200:K200) / SQRT(COUNT(D200:K200))</f>
        <v>2.0601864594391082E-2</v>
      </c>
      <c r="N200" s="2">
        <f>M200*$N$2</f>
        <v>2.305676482207757E-2</v>
      </c>
    </row>
    <row r="201" spans="2:14" x14ac:dyDescent="0.55000000000000004">
      <c r="C201" s="2" t="s">
        <v>23</v>
      </c>
      <c r="D201" s="2">
        <v>2.32E-4</v>
      </c>
      <c r="E201" s="2">
        <v>3.0899999999999998E-4</v>
      </c>
      <c r="F201" s="2">
        <v>1.7200000000000001E-4</v>
      </c>
      <c r="G201" s="2">
        <v>3.7199999999999999E-4</v>
      </c>
      <c r="H201" s="2">
        <v>2.0599999999999999E-4</v>
      </c>
      <c r="I201" s="2">
        <v>1.2799999999999999E-4</v>
      </c>
      <c r="J201" s="2">
        <v>1.6899999999999999E-4</v>
      </c>
      <c r="K201" s="2">
        <v>7.7999999999999999E-5</v>
      </c>
      <c r="L201" s="2">
        <f>(1/COUNT(D201:K201))*SQRT(SUMSQ(D201:K201))</f>
        <v>8.0111055728906738E-5</v>
      </c>
    </row>
    <row r="202" spans="2:14" x14ac:dyDescent="0.55000000000000004">
      <c r="C202" s="2" t="s">
        <v>24</v>
      </c>
      <c r="D202" s="2">
        <v>0.51956400000000003</v>
      </c>
      <c r="E202" s="2">
        <v>0.41436099999999998</v>
      </c>
      <c r="F202" s="2">
        <v>0.64916099999999999</v>
      </c>
      <c r="G202" s="2">
        <v>0.52020699999999997</v>
      </c>
      <c r="H202" s="2">
        <v>0.53928600000000004</v>
      </c>
      <c r="I202" s="2">
        <v>0.47572799999999998</v>
      </c>
      <c r="J202" s="2">
        <v>0.45187500000000003</v>
      </c>
      <c r="K202" s="2">
        <v>0.67338500000000001</v>
      </c>
      <c r="L202" s="2">
        <f>AVERAGE(D202:K202)</f>
        <v>0.53044587499999996</v>
      </c>
      <c r="M202" s="2">
        <f xml:space="preserve"> _xlfn.STDEV.S(D202:K202) / SQRT(COUNT(D202:K202))</f>
        <v>3.2034969280480573E-2</v>
      </c>
      <c r="N202" s="2">
        <f>M202*$N$2</f>
        <v>3.5852228297025709E-2</v>
      </c>
    </row>
    <row r="203" spans="2:14" x14ac:dyDescent="0.55000000000000004">
      <c r="C203" s="2" t="s">
        <v>25</v>
      </c>
      <c r="D203" s="2">
        <v>3.8999999999999999E-4</v>
      </c>
      <c r="E203" s="2">
        <v>7.1400000000000001E-4</v>
      </c>
      <c r="F203" s="2">
        <v>2.0900000000000001E-4</v>
      </c>
      <c r="G203" s="2">
        <v>6.2399999999999999E-4</v>
      </c>
      <c r="H203" s="2">
        <v>3.2600000000000001E-4</v>
      </c>
      <c r="I203" s="2">
        <v>2.4399999999999999E-4</v>
      </c>
      <c r="J203" s="2">
        <v>2.8400000000000002E-4</v>
      </c>
      <c r="K203" s="2">
        <v>9.8999999999999994E-5</v>
      </c>
      <c r="L203" s="2">
        <f>(1/COUNT(D203:K203))*SQRT(SUMSQ(D203:K203))</f>
        <v>1.4530259374835673E-4</v>
      </c>
    </row>
    <row r="204" spans="2:14" x14ac:dyDescent="0.55000000000000004">
      <c r="C204" s="2" t="s">
        <v>26</v>
      </c>
      <c r="D204" s="2">
        <v>0.51198399999999999</v>
      </c>
      <c r="E204" s="2">
        <v>0.62901099999999999</v>
      </c>
      <c r="F204" s="2">
        <v>0.465976</v>
      </c>
      <c r="G204" s="2">
        <v>0.50137500000000002</v>
      </c>
      <c r="H204" s="2">
        <v>0.50731599999999999</v>
      </c>
      <c r="I204" s="2">
        <v>0.39678000000000002</v>
      </c>
      <c r="J204" s="2">
        <v>0.51880499999999996</v>
      </c>
      <c r="K204" s="2">
        <v>0.32344699999999998</v>
      </c>
      <c r="L204" s="2">
        <f>AVERAGE(D204:K204)</f>
        <v>0.48183674999999998</v>
      </c>
      <c r="M204" s="2">
        <f xml:space="preserve"> _xlfn.STDEV.S(D204:K204) / SQRT(COUNT(D204:K204))</f>
        <v>3.20547050434042E-2</v>
      </c>
      <c r="N204" s="2">
        <f>M204*$N$2</f>
        <v>3.587431575625686E-2</v>
      </c>
    </row>
    <row r="205" spans="2:14" x14ac:dyDescent="0.55000000000000004">
      <c r="C205" s="2" t="s">
        <v>27</v>
      </c>
      <c r="D205" s="2">
        <v>4.5199999999999998E-4</v>
      </c>
      <c r="E205" s="2">
        <v>7.1299999999999998E-4</v>
      </c>
      <c r="F205" s="2">
        <v>1.2799999999999999E-4</v>
      </c>
      <c r="G205" s="2">
        <v>7.0299999999999996E-4</v>
      </c>
      <c r="H205" s="2">
        <v>2.5099999999999998E-4</v>
      </c>
      <c r="I205" s="2">
        <v>2.2000000000000001E-4</v>
      </c>
      <c r="J205" s="2">
        <v>2.9500000000000001E-4</v>
      </c>
      <c r="K205" s="2">
        <v>8.7000000000000001E-5</v>
      </c>
      <c r="L205" s="2">
        <f>(1/COUNT(D205:K205))*SQRT(SUMSQ(D205:K205))</f>
        <v>1.4943963036959104E-4</v>
      </c>
    </row>
    <row r="206" spans="2:14" x14ac:dyDescent="0.55000000000000004">
      <c r="C206" s="2" t="s">
        <v>28</v>
      </c>
      <c r="D206" s="2">
        <v>2.2151510000000001</v>
      </c>
      <c r="E206" s="2">
        <v>2.3188499999999999</v>
      </c>
      <c r="F206" s="2">
        <v>2.218788</v>
      </c>
      <c r="G206" s="2">
        <v>3.5252309999999998</v>
      </c>
      <c r="H206" s="2">
        <v>1.6858519999999999</v>
      </c>
      <c r="I206" s="2">
        <v>3.1738909999999998</v>
      </c>
      <c r="J206" s="2">
        <v>3.0652050000000002</v>
      </c>
      <c r="K206" s="2">
        <v>2.6905100000000002</v>
      </c>
      <c r="L206" s="2">
        <f>AVERAGE(D206:K206)</f>
        <v>2.6116847499999998</v>
      </c>
      <c r="M206" s="2">
        <f xml:space="preserve"> _xlfn.STDEV.S(D206:K206) / SQRT(COUNT(D206:K206))</f>
        <v>0.21617874542243906</v>
      </c>
      <c r="N206" s="2">
        <f>M206*$N$2</f>
        <v>0.24193841629723012</v>
      </c>
    </row>
    <row r="207" spans="2:14" x14ac:dyDescent="0.55000000000000004">
      <c r="C207" s="2" t="s">
        <v>29</v>
      </c>
      <c r="D207" s="2">
        <v>4.2709999999999996E-3</v>
      </c>
      <c r="E207" s="2">
        <v>3.8909999999999999E-3</v>
      </c>
      <c r="F207" s="2">
        <v>1.0460000000000001E-3</v>
      </c>
      <c r="G207" s="2">
        <v>7.9839999999999998E-3</v>
      </c>
      <c r="H207" s="2">
        <v>1.864E-3</v>
      </c>
      <c r="I207" s="2">
        <v>3.8289999999999999E-3</v>
      </c>
      <c r="J207" s="2">
        <v>2.846E-3</v>
      </c>
      <c r="K207" s="2">
        <v>8.7799999999999998E-4</v>
      </c>
      <c r="L207" s="2">
        <f>(1/COUNT(D207:K207))*SQRT(SUMSQ(D207:K207))</f>
        <v>1.3988054669520705E-3</v>
      </c>
    </row>
    <row r="208" spans="2:14" x14ac:dyDescent="0.55000000000000004">
      <c r="C208" s="2" t="s">
        <v>30</v>
      </c>
      <c r="D208" s="2">
        <v>13.704162999999999</v>
      </c>
      <c r="E208" s="2">
        <v>16.031714999999998</v>
      </c>
      <c r="F208" s="2">
        <v>13.459203</v>
      </c>
      <c r="G208" s="2">
        <v>16.260659</v>
      </c>
      <c r="H208" s="2">
        <v>10.545854</v>
      </c>
      <c r="I208" s="2">
        <v>15.430206999999999</v>
      </c>
      <c r="J208" s="2">
        <v>18.297573</v>
      </c>
      <c r="K208" s="2">
        <v>13.43219</v>
      </c>
      <c r="L208" s="2">
        <f>AVERAGE(D208:K208)</f>
        <v>14.645195500000002</v>
      </c>
      <c r="M208" s="2">
        <f xml:space="preserve"> _xlfn.STDEV.S(D208:K208) / SQRT(COUNT(D208:K208))</f>
        <v>0.83512580910769263</v>
      </c>
      <c r="N208" s="2">
        <f>M208*$N$2</f>
        <v>0.93463867259304412</v>
      </c>
    </row>
    <row r="209" spans="2:14" x14ac:dyDescent="0.55000000000000004">
      <c r="C209" s="2" t="s">
        <v>31</v>
      </c>
      <c r="D209" s="2">
        <v>7.1789999999999996E-3</v>
      </c>
      <c r="E209" s="2">
        <v>7.0740000000000004E-3</v>
      </c>
      <c r="F209" s="2">
        <v>2.934E-3</v>
      </c>
      <c r="G209" s="2">
        <v>2.5981000000000001E-2</v>
      </c>
      <c r="H209" s="2">
        <v>1.3139E-2</v>
      </c>
      <c r="I209" s="2">
        <v>7.2040000000000003E-3</v>
      </c>
      <c r="J209" s="2">
        <v>2.7539999999999999E-3</v>
      </c>
      <c r="K209" s="2">
        <v>5.2290000000000001E-3</v>
      </c>
      <c r="L209" s="2">
        <f>(1/COUNT(D209:K209))*SQRT(SUMSQ(D209:K209))</f>
        <v>4.0401464391776696E-3</v>
      </c>
    </row>
    <row r="210" spans="2:14" x14ac:dyDescent="0.55000000000000004">
      <c r="B210" s="2" t="s">
        <v>34</v>
      </c>
      <c r="C210" s="2" t="s">
        <v>22</v>
      </c>
      <c r="D210" s="2">
        <v>0.82388300000000003</v>
      </c>
      <c r="E210" s="2">
        <v>0.88770499999999997</v>
      </c>
      <c r="F210" s="2">
        <v>0.75473100000000004</v>
      </c>
      <c r="G210" s="2">
        <v>0.85022600000000004</v>
      </c>
      <c r="H210" s="2">
        <v>0.831148</v>
      </c>
      <c r="I210" s="2">
        <v>0.87983699999999998</v>
      </c>
      <c r="J210" s="2">
        <v>0.89474900000000002</v>
      </c>
      <c r="K210" s="2">
        <v>0.74379099999999998</v>
      </c>
      <c r="L210" s="2">
        <f>AVERAGE(D210:K210)</f>
        <v>0.83325875000000005</v>
      </c>
      <c r="M210" s="2">
        <f xml:space="preserve"> _xlfn.STDEV.S(D210:K210) / SQRT(COUNT(D210:K210))</f>
        <v>2.0470497801496457E-2</v>
      </c>
      <c r="N210" s="2">
        <f>M210*$N$2</f>
        <v>2.2909744476645993E-2</v>
      </c>
    </row>
    <row r="211" spans="2:14" x14ac:dyDescent="0.55000000000000004">
      <c r="C211" s="2" t="s">
        <v>23</v>
      </c>
      <c r="D211" s="2">
        <v>7.4320000000000002E-3</v>
      </c>
      <c r="E211" s="2">
        <v>1.5460000000000001E-3</v>
      </c>
      <c r="F211" s="2">
        <v>2.6210000000000001E-3</v>
      </c>
      <c r="G211" s="2">
        <v>2.1310000000000001E-3</v>
      </c>
      <c r="H211" s="2">
        <v>1.1839999999999999E-3</v>
      </c>
      <c r="I211" s="2">
        <v>1.4530000000000001E-3</v>
      </c>
      <c r="J211" s="2">
        <v>4.5259999999999996E-3</v>
      </c>
      <c r="K211" s="2">
        <v>7.4700000000000005E-4</v>
      </c>
      <c r="L211" s="2">
        <f>(1/COUNT(D211:K211))*SQRT(SUMSQ(D211:K211))</f>
        <v>1.2092824060160638E-3</v>
      </c>
    </row>
    <row r="212" spans="2:14" x14ac:dyDescent="0.55000000000000004">
      <c r="C212" s="2" t="s">
        <v>24</v>
      </c>
      <c r="D212" s="2">
        <v>0.56954400000000005</v>
      </c>
      <c r="E212" s="2">
        <v>0.45722099999999999</v>
      </c>
      <c r="F212" s="2">
        <v>0.65641499999999997</v>
      </c>
      <c r="G212" s="2">
        <v>0.52635600000000005</v>
      </c>
      <c r="H212" s="2">
        <v>0.55701400000000001</v>
      </c>
      <c r="I212" s="2">
        <v>0.47656100000000001</v>
      </c>
      <c r="J212" s="2">
        <v>0.440224</v>
      </c>
      <c r="K212" s="2">
        <v>0.67971199999999998</v>
      </c>
      <c r="L212" s="2">
        <f>AVERAGE(D212:K212)</f>
        <v>0.54538087499999999</v>
      </c>
      <c r="M212" s="2">
        <f xml:space="preserve"> _xlfn.STDEV.S(D212:K212) / SQRT(COUNT(D212:K212))</f>
        <v>3.1345103071884407E-2</v>
      </c>
      <c r="N212" s="2">
        <f>M212*$N$2</f>
        <v>3.5080158232327269E-2</v>
      </c>
    </row>
    <row r="213" spans="2:14" x14ac:dyDescent="0.55000000000000004">
      <c r="C213" s="2" t="s">
        <v>25</v>
      </c>
      <c r="D213" s="2">
        <v>1.0585000000000001E-2</v>
      </c>
      <c r="E213" s="2">
        <v>2.9840000000000001E-3</v>
      </c>
      <c r="F213" s="2">
        <v>3.039E-3</v>
      </c>
      <c r="G213" s="2">
        <v>3.3700000000000002E-3</v>
      </c>
      <c r="H213" s="2">
        <v>1.671E-3</v>
      </c>
      <c r="I213" s="2">
        <v>2.647E-3</v>
      </c>
      <c r="J213" s="2">
        <v>8.3199999999999993E-3</v>
      </c>
      <c r="K213" s="2">
        <v>9.1699999999999995E-4</v>
      </c>
      <c r="L213" s="2">
        <f>(1/COUNT(D213:K213))*SQRT(SUMSQ(D213:K213))</f>
        <v>1.8599438877624776E-3</v>
      </c>
    </row>
    <row r="214" spans="2:14" x14ac:dyDescent="0.55000000000000004">
      <c r="C214" s="2" t="s">
        <v>26</v>
      </c>
      <c r="D214" s="2">
        <v>0.46918500000000002</v>
      </c>
      <c r="E214" s="2">
        <v>0.58973299999999995</v>
      </c>
      <c r="F214" s="2">
        <v>0.46035100000000001</v>
      </c>
      <c r="G214" s="2">
        <v>0.48507499999999998</v>
      </c>
      <c r="H214" s="2">
        <v>0.49222100000000002</v>
      </c>
      <c r="I214" s="2">
        <v>0.39658700000000002</v>
      </c>
      <c r="J214" s="2">
        <v>0.52951899999999996</v>
      </c>
      <c r="K214" s="2">
        <v>0.31653900000000001</v>
      </c>
      <c r="L214" s="2">
        <f>AVERAGE(D214:K214)</f>
        <v>0.4674012500000001</v>
      </c>
      <c r="M214" s="2">
        <f xml:space="preserve"> _xlfn.STDEV.S(D214:K214) / SQRT(COUNT(D214:K214))</f>
        <v>2.914833296492118E-2</v>
      </c>
      <c r="N214" s="2">
        <f>M214*$N$2</f>
        <v>3.2621622914208004E-2</v>
      </c>
    </row>
    <row r="215" spans="2:14" x14ac:dyDescent="0.55000000000000004">
      <c r="C215" s="2" t="s">
        <v>27</v>
      </c>
      <c r="D215" s="2">
        <v>1.1908E-2</v>
      </c>
      <c r="E215" s="2">
        <v>3.3300000000000001E-3</v>
      </c>
      <c r="F215" s="2">
        <v>1.792E-3</v>
      </c>
      <c r="G215" s="2">
        <v>3.6879999999999999E-3</v>
      </c>
      <c r="H215" s="2">
        <v>1.5169999999999999E-3</v>
      </c>
      <c r="I215" s="2">
        <v>2.4109999999999999E-3</v>
      </c>
      <c r="J215" s="2">
        <v>8.2520000000000007E-3</v>
      </c>
      <c r="K215" s="2">
        <v>7.0699999999999995E-4</v>
      </c>
      <c r="L215" s="2">
        <f>(1/COUNT(D215:K215))*SQRT(SUMSQ(D215:K215))</f>
        <v>1.9621876144688614E-3</v>
      </c>
    </row>
    <row r="216" spans="2:14" x14ac:dyDescent="0.55000000000000004">
      <c r="C216" s="2" t="s">
        <v>28</v>
      </c>
      <c r="D216" s="2">
        <v>2.858009</v>
      </c>
      <c r="E216" s="2">
        <v>2.7149380000000001</v>
      </c>
      <c r="F216" s="2">
        <v>2.3340510000000001</v>
      </c>
      <c r="G216" s="2">
        <v>3.6192709999999999</v>
      </c>
      <c r="H216" s="2">
        <v>1.8025009999999999</v>
      </c>
      <c r="I216" s="2">
        <v>3.3482319999999999</v>
      </c>
      <c r="J216" s="2">
        <v>2.9740229999999999</v>
      </c>
      <c r="K216" s="2">
        <v>2.7534320000000001</v>
      </c>
      <c r="L216" s="2">
        <f>AVERAGE(D216:K216)</f>
        <v>2.8005571249999996</v>
      </c>
      <c r="M216" s="2">
        <f xml:space="preserve"> _xlfn.STDEV.S(D216:K216) / SQRT(COUNT(D216:K216))</f>
        <v>0.1994155169685578</v>
      </c>
      <c r="N216" s="2">
        <f>M216*$N$2</f>
        <v>0.22317769615226193</v>
      </c>
    </row>
    <row r="217" spans="2:14" x14ac:dyDescent="0.55000000000000004">
      <c r="C217" s="2" t="s">
        <v>29</v>
      </c>
      <c r="D217" s="2">
        <v>0.18575</v>
      </c>
      <c r="E217" s="2">
        <v>2.1391E-2</v>
      </c>
      <c r="F217" s="2">
        <v>1.5037E-2</v>
      </c>
      <c r="G217" s="2">
        <v>5.6460999999999997E-2</v>
      </c>
      <c r="H217" s="2">
        <v>1.3358E-2</v>
      </c>
      <c r="I217" s="2">
        <v>5.6578000000000003E-2</v>
      </c>
      <c r="J217" s="2">
        <v>8.4967000000000001E-2</v>
      </c>
      <c r="K217" s="2">
        <v>6.2449999999999997E-3</v>
      </c>
      <c r="L217" s="2">
        <f>(1/COUNT(D217:K217))*SQRT(SUMSQ(D217:K217))</f>
        <v>2.7673455984763177E-2</v>
      </c>
    </row>
    <row r="218" spans="2:14" x14ac:dyDescent="0.55000000000000004">
      <c r="C218" s="2" t="s">
        <v>30</v>
      </c>
      <c r="D218" s="2">
        <v>15.875802</v>
      </c>
      <c r="E218" s="2">
        <v>16.969097000000001</v>
      </c>
      <c r="F218" s="2">
        <v>14.850273</v>
      </c>
      <c r="G218" s="2">
        <v>17.554154</v>
      </c>
      <c r="H218" s="2">
        <v>11.185212999999999</v>
      </c>
      <c r="I218" s="2">
        <v>15.968045999999999</v>
      </c>
      <c r="J218" s="2">
        <v>18.246597999999999</v>
      </c>
      <c r="K218" s="2">
        <v>13.567314</v>
      </c>
      <c r="L218" s="2">
        <f>AVERAGE(D218:K218)</f>
        <v>15.527062124999999</v>
      </c>
      <c r="M218" s="2">
        <f xml:space="preserve"> _xlfn.STDEV.S(D218:K218) / SQRT(COUNT(D218:K218))</f>
        <v>0.81340156312052614</v>
      </c>
      <c r="N218" s="2">
        <f>M218*$N$2</f>
        <v>0.91032578438973899</v>
      </c>
    </row>
    <row r="219" spans="2:14" x14ac:dyDescent="0.55000000000000004">
      <c r="C219" s="2" t="s">
        <v>31</v>
      </c>
      <c r="D219" s="2">
        <v>0.17143900000000001</v>
      </c>
      <c r="E219" s="2">
        <v>2.2280000000000001E-2</v>
      </c>
      <c r="F219" s="2">
        <v>3.2708000000000001E-2</v>
      </c>
      <c r="G219" s="2">
        <v>0.222492</v>
      </c>
      <c r="H219" s="2">
        <v>6.4057000000000003E-2</v>
      </c>
      <c r="I219" s="2">
        <v>0.100123</v>
      </c>
      <c r="J219" s="2">
        <v>0.120354</v>
      </c>
      <c r="K219" s="2">
        <v>2.6713000000000001E-2</v>
      </c>
      <c r="L219" s="2">
        <f>(1/COUNT(D219:K219))*SQRT(SUMSQ(D219:K219))</f>
        <v>4.1417617121220288E-2</v>
      </c>
    </row>
    <row r="220" spans="2:14" x14ac:dyDescent="0.55000000000000004">
      <c r="B220" s="2" t="s">
        <v>35</v>
      </c>
      <c r="C220" s="2" t="s">
        <v>22</v>
      </c>
      <c r="D220" s="2">
        <v>0.74053599999999997</v>
      </c>
      <c r="E220" s="2">
        <v>0.88212800000000002</v>
      </c>
      <c r="F220" s="2">
        <v>0.73664399999999997</v>
      </c>
      <c r="G220" s="2">
        <v>0.842885</v>
      </c>
      <c r="H220" s="2">
        <v>0.82733500000000004</v>
      </c>
      <c r="I220" s="2">
        <v>0.86403099999999999</v>
      </c>
      <c r="J220" s="2">
        <v>0.87128799999999995</v>
      </c>
      <c r="K220" s="2">
        <v>0.74053599999999997</v>
      </c>
      <c r="L220" s="2">
        <f>AVERAGE(D220:K220)</f>
        <v>0.81317287499999991</v>
      </c>
      <c r="M220" s="2">
        <f xml:space="preserve"> _xlfn.STDEV.S(D220:K220) / SQRT(COUNT(D220:K220))</f>
        <v>2.2444774280790284E-2</v>
      </c>
      <c r="N220" s="2">
        <f>M220*$N$2</f>
        <v>2.5119274020356814E-2</v>
      </c>
    </row>
    <row r="221" spans="2:14" x14ac:dyDescent="0.55000000000000004">
      <c r="C221" s="2" t="s">
        <v>23</v>
      </c>
      <c r="D221" s="2">
        <v>6.1799999999999995E-4</v>
      </c>
      <c r="E221" s="2">
        <v>8.5099999999999998E-4</v>
      </c>
      <c r="F221" s="2">
        <v>1.1180000000000001E-3</v>
      </c>
      <c r="G221" s="2">
        <v>9.3599999999999998E-4</v>
      </c>
      <c r="H221" s="2">
        <v>6.8199999999999999E-4</v>
      </c>
      <c r="I221" s="2">
        <v>9.0499999999999999E-4</v>
      </c>
      <c r="J221" s="2">
        <v>1.052E-3</v>
      </c>
      <c r="K221" s="2">
        <v>6.1799999999999995E-4</v>
      </c>
      <c r="L221" s="2">
        <f>(1/COUNT(D221:K221))*SQRT(SUMSQ(D221:K221))</f>
        <v>3.0631177948293141E-4</v>
      </c>
    </row>
    <row r="222" spans="2:14" x14ac:dyDescent="0.55000000000000004">
      <c r="C222" s="2" t="s">
        <v>24</v>
      </c>
      <c r="D222" s="2">
        <v>0.68365399999999998</v>
      </c>
      <c r="E222" s="2">
        <v>0.46270699999999998</v>
      </c>
      <c r="F222" s="2">
        <v>0.67589399999999999</v>
      </c>
      <c r="G222" s="2">
        <v>0.53713299999999997</v>
      </c>
      <c r="H222" s="2">
        <v>0.56231100000000001</v>
      </c>
      <c r="I222" s="2">
        <v>0.50658300000000001</v>
      </c>
      <c r="J222" s="2">
        <v>0.48097800000000002</v>
      </c>
      <c r="K222" s="2">
        <v>0.68365399999999998</v>
      </c>
      <c r="L222" s="2">
        <f>AVERAGE(D222:K222)</f>
        <v>0.57411425000000005</v>
      </c>
      <c r="M222" s="2">
        <f xml:space="preserve"> _xlfn.STDEV.S(D222:K222) / SQRT(COUNT(D222:K222))</f>
        <v>3.3142109294537397E-2</v>
      </c>
      <c r="N222" s="2">
        <f>M222*$N$2</f>
        <v>3.7091294150131536E-2</v>
      </c>
    </row>
    <row r="223" spans="2:14" x14ac:dyDescent="0.55000000000000004">
      <c r="C223" s="2" t="s">
        <v>25</v>
      </c>
      <c r="D223" s="2">
        <v>7.0100000000000002E-4</v>
      </c>
      <c r="E223" s="2">
        <v>1.586E-3</v>
      </c>
      <c r="F223" s="2">
        <v>1.294E-3</v>
      </c>
      <c r="G223" s="2">
        <v>1.5219999999999999E-3</v>
      </c>
      <c r="H223" s="2">
        <v>1.0319999999999999E-3</v>
      </c>
      <c r="I223" s="2">
        <v>1.6440000000000001E-3</v>
      </c>
      <c r="J223" s="2">
        <v>1.83E-3</v>
      </c>
      <c r="K223" s="2">
        <v>7.0100000000000002E-4</v>
      </c>
      <c r="L223" s="2">
        <f>(1/COUNT(D223:K223))*SQRT(SUMSQ(D223:K223))</f>
        <v>4.7771883074670604E-4</v>
      </c>
    </row>
    <row r="224" spans="2:14" x14ac:dyDescent="0.55000000000000004">
      <c r="C224" s="2" t="s">
        <v>26</v>
      </c>
      <c r="D224" s="2">
        <v>0.30914999999999998</v>
      </c>
      <c r="E224" s="2">
        <v>0.58007699999999995</v>
      </c>
      <c r="F224" s="2">
        <v>0.45096999999999998</v>
      </c>
      <c r="G224" s="2">
        <v>0.47922399999999998</v>
      </c>
      <c r="H224" s="2">
        <v>0.48770200000000002</v>
      </c>
      <c r="I224" s="2">
        <v>0.368168</v>
      </c>
      <c r="J224" s="2">
        <v>0.48558600000000002</v>
      </c>
      <c r="K224" s="2">
        <v>0.30914999999999998</v>
      </c>
      <c r="L224" s="2">
        <f>AVERAGE(D224:K224)</f>
        <v>0.43375337499999994</v>
      </c>
      <c r="M224" s="2">
        <f xml:space="preserve"> _xlfn.STDEV.S(D224:K224) / SQRT(COUNT(D224:K224))</f>
        <v>3.3997140593489503E-2</v>
      </c>
      <c r="N224" s="2">
        <f>M224*$N$2</f>
        <v>3.804821023338846E-2</v>
      </c>
    </row>
    <row r="225" spans="2:14" x14ac:dyDescent="0.55000000000000004">
      <c r="C225" s="2" t="s">
        <v>27</v>
      </c>
      <c r="D225" s="2">
        <v>6.3599999999999996E-4</v>
      </c>
      <c r="E225" s="2">
        <v>1.65E-3</v>
      </c>
      <c r="F225" s="2">
        <v>8.1700000000000002E-4</v>
      </c>
      <c r="G225" s="2">
        <v>1.632E-3</v>
      </c>
      <c r="H225" s="2">
        <v>7.1599999999999995E-4</v>
      </c>
      <c r="I225" s="2">
        <v>1.3929999999999999E-3</v>
      </c>
      <c r="J225" s="2">
        <v>1.7099999999999999E-3</v>
      </c>
      <c r="K225" s="2">
        <v>6.3599999999999996E-4</v>
      </c>
      <c r="L225" s="2">
        <f>(1/COUNT(D225:K225))*SQRT(SUMSQ(D225:K225))</f>
        <v>4.3731442492787724E-4</v>
      </c>
    </row>
    <row r="226" spans="2:14" x14ac:dyDescent="0.55000000000000004">
      <c r="C226" s="2" t="s">
        <v>28</v>
      </c>
      <c r="D226" s="2">
        <v>2.79196</v>
      </c>
      <c r="E226" s="2">
        <v>2.711986</v>
      </c>
      <c r="F226" s="2">
        <v>2.3753449999999998</v>
      </c>
      <c r="G226" s="2">
        <v>3.6505730000000001</v>
      </c>
      <c r="H226" s="2">
        <v>1.828681</v>
      </c>
      <c r="I226" s="2">
        <v>3.84</v>
      </c>
      <c r="J226" s="2">
        <v>3.3323330000000002</v>
      </c>
      <c r="K226" s="2">
        <v>2.79196</v>
      </c>
      <c r="L226" s="2">
        <f>AVERAGE(D226:K226)</f>
        <v>2.9153547500000001</v>
      </c>
      <c r="M226" s="2">
        <f xml:space="preserve"> _xlfn.STDEV.S(D226:K226) / SQRT(COUNT(D226:K226))</f>
        <v>0.23579907157136901</v>
      </c>
      <c r="N226" s="2">
        <f>M226*$N$2</f>
        <v>0.26389668340823225</v>
      </c>
    </row>
    <row r="227" spans="2:14" x14ac:dyDescent="0.55000000000000004">
      <c r="C227" s="2" t="s">
        <v>29</v>
      </c>
      <c r="D227" s="2">
        <v>6.9030000000000003E-3</v>
      </c>
      <c r="E227" s="2">
        <v>1.2904000000000001E-2</v>
      </c>
      <c r="F227" s="2">
        <v>6.2839999999999997E-3</v>
      </c>
      <c r="G227" s="2">
        <v>2.0507000000000001E-2</v>
      </c>
      <c r="H227" s="2">
        <v>5.2480000000000001E-3</v>
      </c>
      <c r="I227" s="2">
        <v>2.5641000000000001E-2</v>
      </c>
      <c r="J227" s="2">
        <v>1.975E-2</v>
      </c>
      <c r="K227" s="2">
        <v>6.9030000000000003E-3</v>
      </c>
      <c r="L227" s="2">
        <f>(1/COUNT(D227:K227))*SQRT(SUMSQ(D227:K227))</f>
        <v>5.29874192615568E-3</v>
      </c>
    </row>
    <row r="228" spans="2:14" x14ac:dyDescent="0.55000000000000004">
      <c r="C228" s="2" t="s">
        <v>30</v>
      </c>
      <c r="D228" s="2">
        <v>13.575462999999999</v>
      </c>
      <c r="E228" s="2">
        <v>16.435321999999999</v>
      </c>
      <c r="F228" s="2">
        <v>13.881487</v>
      </c>
      <c r="G228" s="2">
        <v>16.398824999999999</v>
      </c>
      <c r="H228" s="2">
        <v>11.427455999999999</v>
      </c>
      <c r="I228" s="2">
        <v>16.563576000000001</v>
      </c>
      <c r="J228" s="2">
        <v>18.049147999999999</v>
      </c>
      <c r="K228" s="2">
        <v>13.575462999999999</v>
      </c>
      <c r="L228" s="2">
        <f>AVERAGE(D228:K228)</f>
        <v>14.988342499999998</v>
      </c>
      <c r="M228" s="2">
        <f xml:space="preserve"> _xlfn.STDEV.S(D228:K228) / SQRT(COUNT(D228:K228))</f>
        <v>0.77725019151059604</v>
      </c>
      <c r="N228" s="2">
        <f>M228*$N$2</f>
        <v>0.86986664684970194</v>
      </c>
    </row>
    <row r="229" spans="2:14" x14ac:dyDescent="0.55000000000000004">
      <c r="C229" s="2" t="s">
        <v>31</v>
      </c>
      <c r="D229" s="2">
        <v>3.4550999999999998E-2</v>
      </c>
      <c r="E229" s="2">
        <v>2.2138999999999999E-2</v>
      </c>
      <c r="F229" s="2">
        <v>1.9252999999999999E-2</v>
      </c>
      <c r="G229" s="2">
        <v>5.9737999999999999E-2</v>
      </c>
      <c r="H229" s="2">
        <v>3.2733999999999999E-2</v>
      </c>
      <c r="I229" s="2">
        <v>4.0828000000000003E-2</v>
      </c>
      <c r="J229" s="2">
        <v>5.9560000000000002E-2</v>
      </c>
      <c r="K229" s="2">
        <v>3.4550999999999998E-2</v>
      </c>
      <c r="L229" s="2">
        <f>(1/COUNT(D229:K229))*SQRT(SUMSQ(D229:K229))</f>
        <v>1.4308443265691065E-2</v>
      </c>
    </row>
    <row r="230" spans="2:14" x14ac:dyDescent="0.55000000000000004">
      <c r="B230" s="2" t="s">
        <v>45</v>
      </c>
      <c r="C230" s="2" t="s">
        <v>22</v>
      </c>
      <c r="D230" s="2">
        <v>0.83919600000000005</v>
      </c>
      <c r="E230" s="2">
        <v>0.88625900000000002</v>
      </c>
      <c r="F230" s="2">
        <v>0.71428599999999998</v>
      </c>
      <c r="G230" s="2">
        <v>0.876031</v>
      </c>
      <c r="H230" s="2">
        <v>0.837059</v>
      </c>
      <c r="I230" s="2">
        <v>0.88323099999999999</v>
      </c>
      <c r="J230" s="2">
        <v>0.90256099999999995</v>
      </c>
      <c r="K230" s="2">
        <v>0.753417</v>
      </c>
      <c r="L230" s="2">
        <f>AVERAGE(D230:K230)</f>
        <v>0.83650499999999994</v>
      </c>
      <c r="M230" s="2">
        <f xml:space="preserve"> _xlfn.STDEV.S(D230:K230) / SQRT(COUNT(D230:K230))</f>
        <v>2.4065805433821891E-2</v>
      </c>
      <c r="N230" s="2">
        <f>M230*$N$2</f>
        <v>2.6933465832630284E-2</v>
      </c>
    </row>
    <row r="231" spans="2:14" x14ac:dyDescent="0.55000000000000004">
      <c r="C231" s="2" t="s">
        <v>23</v>
      </c>
      <c r="D231" s="2">
        <v>1.939E-3</v>
      </c>
      <c r="E231" s="2">
        <v>3.774E-3</v>
      </c>
      <c r="F231" s="2">
        <v>1.0262E-2</v>
      </c>
      <c r="G231" s="2">
        <v>3.215E-3</v>
      </c>
      <c r="H231" s="2">
        <v>1.475E-3</v>
      </c>
      <c r="I231" s="2">
        <v>1.6180000000000001E-3</v>
      </c>
      <c r="J231" s="2">
        <v>2.0820000000000001E-3</v>
      </c>
      <c r="K231" s="2">
        <v>3.2460000000000002E-3</v>
      </c>
      <c r="L231" s="2">
        <f>(1/COUNT(D231:K231))*SQRT(SUMSQ(D231:K231))</f>
        <v>1.5477425849846609E-3</v>
      </c>
    </row>
    <row r="232" spans="2:14" x14ac:dyDescent="0.55000000000000004">
      <c r="C232" s="2" t="s">
        <v>24</v>
      </c>
      <c r="D232" s="2">
        <v>0.54356300000000002</v>
      </c>
      <c r="E232" s="2">
        <v>0.45282499999999998</v>
      </c>
      <c r="F232" s="2">
        <v>0.703654</v>
      </c>
      <c r="G232" s="2">
        <v>0.47445599999999999</v>
      </c>
      <c r="H232" s="2">
        <v>0.54747699999999999</v>
      </c>
      <c r="I232" s="2">
        <v>0.469723</v>
      </c>
      <c r="J232" s="2">
        <v>0.42116399999999998</v>
      </c>
      <c r="K232" s="2">
        <v>0.66675099999999998</v>
      </c>
      <c r="L232" s="2">
        <f>AVERAGE(D232:K232)</f>
        <v>0.53495162499999993</v>
      </c>
      <c r="M232" s="2">
        <f xml:space="preserve"> _xlfn.STDEV.S(D232:K232) / SQRT(COUNT(D232:K232))</f>
        <v>3.6270193311518518E-2</v>
      </c>
      <c r="N232" s="2">
        <f>M232*$N$2</f>
        <v>4.0592117932017238E-2</v>
      </c>
    </row>
    <row r="233" spans="2:14" x14ac:dyDescent="0.55000000000000004">
      <c r="C233" s="2" t="s">
        <v>25</v>
      </c>
      <c r="D233" s="2">
        <v>3.0230000000000001E-3</v>
      </c>
      <c r="E233" s="2">
        <v>6.3439999999999998E-3</v>
      </c>
      <c r="F233" s="2">
        <v>1.2208999999999999E-2</v>
      </c>
      <c r="G233" s="2">
        <v>4.9560000000000003E-3</v>
      </c>
      <c r="H233" s="2">
        <v>2.2109999999999999E-3</v>
      </c>
      <c r="I233" s="2">
        <v>3.2320000000000001E-3</v>
      </c>
      <c r="J233" s="2">
        <v>3.5360000000000001E-3</v>
      </c>
      <c r="K233" s="2">
        <v>3.9430000000000003E-3</v>
      </c>
      <c r="L233" s="2">
        <f>(1/COUNT(D233:K233))*SQRT(SUMSQ(D233:K233))</f>
        <v>2.0401875373357225E-3</v>
      </c>
    </row>
    <row r="234" spans="2:14" x14ac:dyDescent="0.55000000000000004">
      <c r="C234" s="2" t="s">
        <v>26</v>
      </c>
      <c r="D234" s="2">
        <v>0.483512</v>
      </c>
      <c r="E234" s="2">
        <v>0.58761200000000002</v>
      </c>
      <c r="F234" s="2">
        <v>0.43246499999999999</v>
      </c>
      <c r="G234" s="2">
        <v>0.54797099999999999</v>
      </c>
      <c r="H234" s="2">
        <v>0.50060000000000004</v>
      </c>
      <c r="I234" s="2">
        <v>0.40090900000000002</v>
      </c>
      <c r="J234" s="2">
        <v>0.54477600000000004</v>
      </c>
      <c r="K234" s="2">
        <v>0.31268299999999999</v>
      </c>
      <c r="L234" s="2">
        <f>AVERAGE(D234:K234)</f>
        <v>0.47631599999999996</v>
      </c>
      <c r="M234" s="2">
        <f xml:space="preserve"> _xlfn.STDEV.S(D234:K234) / SQRT(COUNT(D234:K234))</f>
        <v>3.1969402182846204E-2</v>
      </c>
      <c r="N234" s="2">
        <f>M234*$N$2</f>
        <v>3.5778848281188047E-2</v>
      </c>
    </row>
    <row r="235" spans="2:14" x14ac:dyDescent="0.55000000000000004">
      <c r="C235" s="2" t="s">
        <v>27</v>
      </c>
      <c r="D235" s="2">
        <v>3.5300000000000002E-3</v>
      </c>
      <c r="E235" s="2">
        <v>6.4320000000000002E-3</v>
      </c>
      <c r="F235" s="2">
        <v>7.0299999999999998E-3</v>
      </c>
      <c r="G235" s="2">
        <v>5.5389999999999997E-3</v>
      </c>
      <c r="H235" s="2">
        <v>1.8220000000000001E-3</v>
      </c>
      <c r="I235" s="2">
        <v>2.594E-3</v>
      </c>
      <c r="J235" s="2">
        <v>2.7629999999999998E-3</v>
      </c>
      <c r="K235" s="2">
        <v>2.47E-3</v>
      </c>
      <c r="L235" s="2">
        <f>(1/COUNT(D235:K235))*SQRT(SUMSQ(D235:K235))</f>
        <v>1.5698155444987796E-3</v>
      </c>
    </row>
    <row r="236" spans="2:14" x14ac:dyDescent="0.55000000000000004">
      <c r="C236" s="2" t="s">
        <v>28</v>
      </c>
      <c r="D236" s="2">
        <v>2.506059</v>
      </c>
      <c r="E236" s="2">
        <v>2.6062959999999999</v>
      </c>
      <c r="F236" s="2">
        <v>2.5438239999999999</v>
      </c>
      <c r="G236" s="2">
        <v>2.955759</v>
      </c>
      <c r="H236" s="2">
        <v>1.720321</v>
      </c>
      <c r="I236" s="2">
        <v>3.2725919999999999</v>
      </c>
      <c r="J236" s="2">
        <v>2.7234050000000001</v>
      </c>
      <c r="K236" s="2">
        <v>2.838765</v>
      </c>
      <c r="L236" s="2">
        <f>AVERAGE(D236:K236)</f>
        <v>2.6458776249999998</v>
      </c>
      <c r="M236" s="2">
        <f xml:space="preserve"> _xlfn.STDEV.S(D236:K236) / SQRT(COUNT(D236:K236))</f>
        <v>0.15925044119157747</v>
      </c>
      <c r="N236" s="2">
        <f>M236*$N$2</f>
        <v>0.1782265849551285</v>
      </c>
    </row>
    <row r="237" spans="2:14" x14ac:dyDescent="0.55000000000000004">
      <c r="C237" s="2" t="s">
        <v>29</v>
      </c>
      <c r="D237" s="2">
        <v>4.3605999999999999E-2</v>
      </c>
      <c r="E237" s="2">
        <v>6.9041000000000005E-2</v>
      </c>
      <c r="F237" s="2">
        <v>5.7242000000000001E-2</v>
      </c>
      <c r="G237" s="2">
        <v>4.5393000000000003E-2</v>
      </c>
      <c r="H237" s="2">
        <v>1.2303E-2</v>
      </c>
      <c r="I237" s="2">
        <v>4.5254000000000003E-2</v>
      </c>
      <c r="J237" s="2">
        <v>4.0757000000000002E-2</v>
      </c>
      <c r="K237" s="2">
        <v>2.7008999999999998E-2</v>
      </c>
      <c r="L237" s="2">
        <f>(1/COUNT(D237:K237))*SQRT(SUMSQ(D237:K237))</f>
        <v>1.6102805163716819E-2</v>
      </c>
    </row>
    <row r="238" spans="2:14" x14ac:dyDescent="0.55000000000000004">
      <c r="C238" s="2" t="s">
        <v>30</v>
      </c>
      <c r="D238" s="2">
        <v>13.712702</v>
      </c>
      <c r="E238" s="2">
        <v>15.785272000000001</v>
      </c>
      <c r="F238" s="2">
        <v>15.158886000000001</v>
      </c>
      <c r="G238" s="2">
        <v>15.272287</v>
      </c>
      <c r="H238" s="2">
        <v>10.734149</v>
      </c>
      <c r="I238" s="2">
        <v>15.651837</v>
      </c>
      <c r="J238" s="2">
        <v>16.899439999999998</v>
      </c>
      <c r="K238" s="2">
        <v>13.345744</v>
      </c>
      <c r="L238" s="2">
        <f>AVERAGE(D238:K238)</f>
        <v>14.570039625</v>
      </c>
      <c r="M238" s="2">
        <f xml:space="preserve"> _xlfn.STDEV.S(D238:K238) / SQRT(COUNT(D238:K238))</f>
        <v>0.67956206078276615</v>
      </c>
      <c r="N238" s="2">
        <f>M238*$N$2</f>
        <v>0.76053808361309283</v>
      </c>
    </row>
    <row r="239" spans="2:14" x14ac:dyDescent="0.55000000000000004">
      <c r="C239" s="2" t="s">
        <v>31</v>
      </c>
      <c r="D239" s="2">
        <v>7.1290000000000006E-2</v>
      </c>
      <c r="E239" s="2">
        <v>8.5787000000000002E-2</v>
      </c>
      <c r="F239" s="2">
        <v>3.5934000000000001E-2</v>
      </c>
      <c r="G239" s="2">
        <v>0.11605600000000001</v>
      </c>
      <c r="H239" s="2">
        <v>2.6109E-2</v>
      </c>
      <c r="I239" s="2">
        <v>9.4158000000000006E-2</v>
      </c>
      <c r="J239" s="2">
        <v>8.9885999999999994E-2</v>
      </c>
      <c r="K239" s="2">
        <v>0.10106800000000001</v>
      </c>
      <c r="L239" s="2">
        <f>(1/COUNT(D239:K239))*SQRT(SUMSQ(D239:K239))</f>
        <v>2.9326705892944234E-2</v>
      </c>
    </row>
    <row r="240" spans="2:14" x14ac:dyDescent="0.55000000000000004">
      <c r="B240" s="2" t="s">
        <v>46</v>
      </c>
      <c r="C240" s="2" t="s">
        <v>22</v>
      </c>
      <c r="L240" s="2" t="e">
        <f>AVERAGE(D240:K240)</f>
        <v>#DIV/0!</v>
      </c>
      <c r="M240" s="2" t="e">
        <f xml:space="preserve"> _xlfn.STDEV.S(D240:K240) / SQRT(COUNT(D240:K240))</f>
        <v>#DIV/0!</v>
      </c>
      <c r="N240" s="2" t="e">
        <f>M240*$N$2</f>
        <v>#DIV/0!</v>
      </c>
    </row>
    <row r="241" spans="2:14" x14ac:dyDescent="0.55000000000000004">
      <c r="C241" s="2" t="s">
        <v>23</v>
      </c>
      <c r="L241" s="2" t="e">
        <f>(1/COUNT(D241:K241))*SQRT(SUMSQ(D241:K241))</f>
        <v>#DIV/0!</v>
      </c>
    </row>
    <row r="242" spans="2:14" x14ac:dyDescent="0.55000000000000004">
      <c r="C242" s="2" t="s">
        <v>24</v>
      </c>
      <c r="L242" s="2" t="e">
        <f>AVERAGE(D242:K242)</f>
        <v>#DIV/0!</v>
      </c>
      <c r="M242" s="2" t="e">
        <f xml:space="preserve"> _xlfn.STDEV.S(D242:K242) / SQRT(COUNT(D242:K242))</f>
        <v>#DIV/0!</v>
      </c>
      <c r="N242" s="2" t="e">
        <f>M242*$N$2</f>
        <v>#DIV/0!</v>
      </c>
    </row>
    <row r="243" spans="2:14" x14ac:dyDescent="0.55000000000000004">
      <c r="C243" s="2" t="s">
        <v>25</v>
      </c>
      <c r="L243" s="2" t="e">
        <f>(1/COUNT(D243:K243))*SQRT(SUMSQ(D243:K243))</f>
        <v>#DIV/0!</v>
      </c>
    </row>
    <row r="244" spans="2:14" x14ac:dyDescent="0.55000000000000004">
      <c r="C244" s="2" t="s">
        <v>26</v>
      </c>
      <c r="L244" s="2" t="e">
        <f>AVERAGE(D244:K244)</f>
        <v>#DIV/0!</v>
      </c>
      <c r="M244" s="2" t="e">
        <f xml:space="preserve"> _xlfn.STDEV.S(D244:K244) / SQRT(COUNT(D244:K244))</f>
        <v>#DIV/0!</v>
      </c>
      <c r="N244" s="2" t="e">
        <f>M244*$N$2</f>
        <v>#DIV/0!</v>
      </c>
    </row>
    <row r="245" spans="2:14" x14ac:dyDescent="0.55000000000000004">
      <c r="C245" s="2" t="s">
        <v>27</v>
      </c>
      <c r="L245" s="2" t="e">
        <f>(1/COUNT(D245:K245))*SQRT(SUMSQ(D245:K245))</f>
        <v>#DIV/0!</v>
      </c>
    </row>
    <row r="246" spans="2:14" x14ac:dyDescent="0.55000000000000004">
      <c r="C246" s="2" t="s">
        <v>28</v>
      </c>
      <c r="L246" s="2" t="e">
        <f>AVERAGE(D246:K246)</f>
        <v>#DIV/0!</v>
      </c>
      <c r="M246" s="2" t="e">
        <f xml:space="preserve"> _xlfn.STDEV.S(D246:K246) / SQRT(COUNT(D246:K246))</f>
        <v>#DIV/0!</v>
      </c>
      <c r="N246" s="2" t="e">
        <f>M246*$N$2</f>
        <v>#DIV/0!</v>
      </c>
    </row>
    <row r="247" spans="2:14" x14ac:dyDescent="0.55000000000000004">
      <c r="C247" s="2" t="s">
        <v>29</v>
      </c>
      <c r="L247" s="2" t="e">
        <f>(1/COUNT(D247:K247))*SQRT(SUMSQ(D247:K247))</f>
        <v>#DIV/0!</v>
      </c>
    </row>
    <row r="248" spans="2:14" x14ac:dyDescent="0.55000000000000004">
      <c r="C248" s="2" t="s">
        <v>30</v>
      </c>
      <c r="L248" s="2" t="e">
        <f>AVERAGE(D248:K248)</f>
        <v>#DIV/0!</v>
      </c>
      <c r="M248" s="2" t="e">
        <f xml:space="preserve"> _xlfn.STDEV.S(D248:K248) / SQRT(COUNT(D248:K248))</f>
        <v>#DIV/0!</v>
      </c>
      <c r="N248" s="2" t="e">
        <f>M248*$N$2</f>
        <v>#DIV/0!</v>
      </c>
    </row>
    <row r="249" spans="2:14" x14ac:dyDescent="0.55000000000000004">
      <c r="C249" s="2" t="s">
        <v>31</v>
      </c>
      <c r="L249" s="2" t="e">
        <f>(1/COUNT(D249:K249))*SQRT(SUMSQ(D249:K249))</f>
        <v>#DIV/0!</v>
      </c>
    </row>
    <row r="250" spans="2:14" x14ac:dyDescent="0.55000000000000004">
      <c r="B250" s="2" t="s">
        <v>36</v>
      </c>
      <c r="C250" s="2" t="s">
        <v>22</v>
      </c>
      <c r="D250" s="2">
        <v>0.84062300000000001</v>
      </c>
      <c r="E250" s="2">
        <v>0.89536800000000005</v>
      </c>
      <c r="F250" s="2">
        <v>0.74784200000000001</v>
      </c>
      <c r="G250" s="2">
        <v>0.87497100000000005</v>
      </c>
      <c r="H250" s="2">
        <v>0.84567800000000004</v>
      </c>
      <c r="I250" s="2">
        <v>0.88619700000000001</v>
      </c>
      <c r="J250" s="2">
        <v>0.90512199999999998</v>
      </c>
      <c r="K250" s="2">
        <v>0.75809700000000002</v>
      </c>
      <c r="L250" s="2">
        <f>AVERAGE(D250:K250)</f>
        <v>0.84423725000000005</v>
      </c>
      <c r="M250" s="2">
        <f xml:space="preserve"> _xlfn.STDEV.S(D250:K250) / SQRT(COUNT(D250:K250))</f>
        <v>2.1445035990502057E-2</v>
      </c>
      <c r="N250" s="2">
        <f>M250*$N$2</f>
        <v>2.4000407786808363E-2</v>
      </c>
    </row>
    <row r="251" spans="2:14" x14ac:dyDescent="0.55000000000000004">
      <c r="C251" s="2" t="s">
        <v>24</v>
      </c>
      <c r="D251" s="2">
        <v>0.54216299999999995</v>
      </c>
      <c r="E251" s="2">
        <v>0.44191799999999998</v>
      </c>
      <c r="F251" s="2">
        <v>0.66475399999999996</v>
      </c>
      <c r="G251" s="2">
        <v>0.47736200000000001</v>
      </c>
      <c r="H251" s="2">
        <v>0.534358</v>
      </c>
      <c r="I251" s="2">
        <v>0.46502199999999999</v>
      </c>
      <c r="J251" s="2">
        <v>0.41828900000000002</v>
      </c>
      <c r="K251" s="2">
        <v>0.66117800000000004</v>
      </c>
      <c r="L251" s="2">
        <f t="shared" ref="L251:L267" si="6">AVERAGE(D251:K251)</f>
        <v>0.5256305</v>
      </c>
      <c r="M251" s="2">
        <f t="shared" ref="M251:M267" si="7" xml:space="preserve"> _xlfn.STDEV.S(D251:K251) / SQRT(COUNT(D251:K251))</f>
        <v>3.343735733320688E-2</v>
      </c>
      <c r="N251" s="2">
        <f t="shared" ref="N251:N267" si="8">M251*$N$2</f>
        <v>3.7421723687739272E-2</v>
      </c>
    </row>
    <row r="252" spans="2:14" x14ac:dyDescent="0.55000000000000004">
      <c r="C252" s="2" t="s">
        <v>26</v>
      </c>
      <c r="D252" s="2">
        <v>0.48348999999999998</v>
      </c>
      <c r="E252" s="2">
        <v>0.60300699999999996</v>
      </c>
      <c r="F252" s="2">
        <v>0.45557199999999998</v>
      </c>
      <c r="G252" s="2">
        <v>0.54969900000000005</v>
      </c>
      <c r="H252" s="2">
        <v>0.51052299999999995</v>
      </c>
      <c r="I252" s="2">
        <v>0.40466999999999997</v>
      </c>
      <c r="J252" s="2">
        <v>0.54802600000000001</v>
      </c>
      <c r="K252" s="2">
        <v>0.32109599999999999</v>
      </c>
      <c r="L252" s="2">
        <f t="shared" si="6"/>
        <v>0.48451037499999999</v>
      </c>
      <c r="M252" s="2">
        <f t="shared" si="7"/>
        <v>3.1881228353361747E-2</v>
      </c>
      <c r="N252" s="2">
        <f t="shared" si="8"/>
        <v>3.5680167735037939E-2</v>
      </c>
    </row>
    <row r="253" spans="2:14" x14ac:dyDescent="0.55000000000000004">
      <c r="C253" s="2" t="s">
        <v>28</v>
      </c>
      <c r="D253" s="2">
        <v>2.4937230000000001</v>
      </c>
      <c r="E253" s="2">
        <v>2.4818199999999999</v>
      </c>
      <c r="F253" s="2">
        <v>2.245482</v>
      </c>
      <c r="G253" s="2">
        <v>3.0137299999999998</v>
      </c>
      <c r="H253" s="2">
        <v>1.6541779999999999</v>
      </c>
      <c r="I253" s="2">
        <v>3.1839110000000002</v>
      </c>
      <c r="J253" s="2">
        <v>2.6952039999999999</v>
      </c>
      <c r="K253" s="2">
        <v>2.81724</v>
      </c>
      <c r="L253" s="2">
        <f t="shared" si="6"/>
        <v>2.5731609999999998</v>
      </c>
      <c r="M253" s="2">
        <f t="shared" si="7"/>
        <v>0.16946041013664104</v>
      </c>
      <c r="N253" s="2">
        <f t="shared" si="8"/>
        <v>0.18965316490028244</v>
      </c>
    </row>
    <row r="254" spans="2:14" x14ac:dyDescent="0.55000000000000004">
      <c r="C254" s="2" t="s">
        <v>30</v>
      </c>
      <c r="D254" s="2">
        <v>13.740594</v>
      </c>
      <c r="E254" s="2">
        <v>15.709858000000001</v>
      </c>
      <c r="F254" s="2">
        <v>13.332924</v>
      </c>
      <c r="G254" s="2">
        <v>15.41202</v>
      </c>
      <c r="H254" s="2">
        <v>10.637007000000001</v>
      </c>
      <c r="I254" s="2">
        <v>15.804315000000001</v>
      </c>
      <c r="J254" s="2">
        <v>16.741530999999998</v>
      </c>
      <c r="K254" s="2">
        <v>13.607595</v>
      </c>
      <c r="L254" s="2">
        <f t="shared" si="6"/>
        <v>14.3732305</v>
      </c>
      <c r="M254" s="2">
        <f t="shared" si="7"/>
        <v>0.68856135113357375</v>
      </c>
      <c r="N254" s="2">
        <f t="shared" si="8"/>
        <v>0.77060972155797347</v>
      </c>
    </row>
    <row r="255" spans="2:14" x14ac:dyDescent="0.55000000000000004">
      <c r="B255" s="2" t="s">
        <v>37</v>
      </c>
      <c r="C255" s="2" t="s">
        <v>22</v>
      </c>
      <c r="D255" s="2">
        <v>0.79680700000000004</v>
      </c>
      <c r="E255" s="2">
        <v>0.849912</v>
      </c>
      <c r="F255" s="2">
        <v>0.71250100000000005</v>
      </c>
      <c r="G255" s="2">
        <v>0.83753100000000003</v>
      </c>
      <c r="H255" s="2">
        <v>0.78584900000000002</v>
      </c>
      <c r="I255" s="2">
        <v>0.84292500000000004</v>
      </c>
      <c r="J255" s="2">
        <v>0.87397499999999995</v>
      </c>
      <c r="K255" s="2">
        <v>0.69149499999999997</v>
      </c>
      <c r="L255" s="2">
        <f t="shared" si="6"/>
        <v>0.79887437499999991</v>
      </c>
      <c r="M255" s="2">
        <f t="shared" si="7"/>
        <v>2.3468961180474625E-2</v>
      </c>
      <c r="N255" s="2">
        <f t="shared" si="8"/>
        <v>2.626550213828667E-2</v>
      </c>
    </row>
    <row r="256" spans="2:14" x14ac:dyDescent="0.55000000000000004">
      <c r="C256" s="2" t="s">
        <v>24</v>
      </c>
      <c r="D256" s="2">
        <v>0.612954</v>
      </c>
      <c r="E256" s="2">
        <v>0.51654</v>
      </c>
      <c r="F256" s="2">
        <v>0.70474400000000004</v>
      </c>
      <c r="G256" s="2">
        <v>0.54501500000000003</v>
      </c>
      <c r="H256" s="2">
        <v>0.623228</v>
      </c>
      <c r="I256" s="2">
        <v>0.543161</v>
      </c>
      <c r="J256" s="2">
        <v>0.47665099999999999</v>
      </c>
      <c r="K256" s="2">
        <v>0.74364699999999995</v>
      </c>
      <c r="L256" s="2">
        <f t="shared" si="6"/>
        <v>0.59574250000000006</v>
      </c>
      <c r="M256" s="2">
        <f t="shared" si="7"/>
        <v>3.2896664871663879E-2</v>
      </c>
      <c r="N256" s="2">
        <f t="shared" si="8"/>
        <v>3.6816602783767249E-2</v>
      </c>
    </row>
    <row r="257" spans="1:14" x14ac:dyDescent="0.55000000000000004">
      <c r="C257" s="2" t="s">
        <v>26</v>
      </c>
      <c r="D257" s="2">
        <v>0.41531200000000001</v>
      </c>
      <c r="E257" s="2">
        <v>0.52626799999999996</v>
      </c>
      <c r="F257" s="2">
        <v>0.43301699999999999</v>
      </c>
      <c r="G257" s="2">
        <v>0.48631000000000002</v>
      </c>
      <c r="H257" s="2">
        <v>0.43251400000000001</v>
      </c>
      <c r="I257" s="2">
        <v>0.34121099999999999</v>
      </c>
      <c r="J257" s="2">
        <v>0.49443700000000002</v>
      </c>
      <c r="K257" s="2">
        <v>0.26035700000000001</v>
      </c>
      <c r="L257" s="2">
        <f t="shared" si="6"/>
        <v>0.42367824999999998</v>
      </c>
      <c r="M257" s="2">
        <f t="shared" si="7"/>
        <v>3.0811682764444834E-2</v>
      </c>
      <c r="N257" s="2">
        <f t="shared" si="8"/>
        <v>3.448317602600294E-2</v>
      </c>
    </row>
    <row r="258" spans="1:14" x14ac:dyDescent="0.55000000000000004">
      <c r="C258" s="2" t="s">
        <v>28</v>
      </c>
      <c r="D258" s="2">
        <v>3.2812800000000002</v>
      </c>
      <c r="E258" s="2">
        <v>3.1983259999999998</v>
      </c>
      <c r="F258" s="2">
        <v>2.5937220000000001</v>
      </c>
      <c r="G258" s="2">
        <v>3.6744140000000001</v>
      </c>
      <c r="H258" s="2">
        <v>2.3274180000000002</v>
      </c>
      <c r="I258" s="2">
        <v>4.8959659999999996</v>
      </c>
      <c r="J258" s="2">
        <v>3.2818649999999998</v>
      </c>
      <c r="K258" s="2">
        <v>3.563069</v>
      </c>
      <c r="L258" s="2">
        <f t="shared" si="6"/>
        <v>3.3520074999999996</v>
      </c>
      <c r="M258" s="2">
        <f t="shared" si="7"/>
        <v>0.27355535003293813</v>
      </c>
      <c r="N258" s="2">
        <f t="shared" si="8"/>
        <v>0.30615196710145087</v>
      </c>
    </row>
    <row r="259" spans="1:14" x14ac:dyDescent="0.55000000000000004">
      <c r="C259" s="2" t="s">
        <v>30</v>
      </c>
      <c r="D259" s="2">
        <v>15.691043000000001</v>
      </c>
      <c r="E259" s="2">
        <v>17.145424999999999</v>
      </c>
      <c r="F259" s="2">
        <v>15.830557000000001</v>
      </c>
      <c r="G259" s="2">
        <v>17.135829000000001</v>
      </c>
      <c r="H259" s="2">
        <v>14.38495</v>
      </c>
      <c r="I259" s="2">
        <v>19.319804999999999</v>
      </c>
      <c r="J259" s="2">
        <v>18.431189</v>
      </c>
      <c r="K259" s="2">
        <v>16.504469</v>
      </c>
      <c r="L259" s="2">
        <f t="shared" si="6"/>
        <v>16.805408374999999</v>
      </c>
      <c r="M259" s="2">
        <f t="shared" si="7"/>
        <v>0.55631874804714931</v>
      </c>
      <c r="N259" s="2">
        <f t="shared" si="8"/>
        <v>0.62260920515553286</v>
      </c>
    </row>
    <row r="260" spans="1:14" x14ac:dyDescent="0.55000000000000004">
      <c r="B260" s="2" t="s">
        <v>39</v>
      </c>
      <c r="C260" s="2" t="s">
        <v>22</v>
      </c>
      <c r="D260" s="2">
        <v>0.84694499999999995</v>
      </c>
      <c r="E260" s="2">
        <v>0.90465099999999998</v>
      </c>
      <c r="F260" s="2">
        <v>0.76132200000000005</v>
      </c>
      <c r="G260" s="2">
        <v>0.83640199999999998</v>
      </c>
      <c r="H260" s="2">
        <v>0.84636</v>
      </c>
      <c r="I260" s="2">
        <v>0.88104800000000005</v>
      </c>
      <c r="J260" s="2">
        <v>0.89992700000000003</v>
      </c>
      <c r="K260" s="2">
        <v>0.713974</v>
      </c>
      <c r="L260" s="2">
        <f t="shared" si="6"/>
        <v>0.83632862500000005</v>
      </c>
      <c r="M260" s="2">
        <f t="shared" si="7"/>
        <v>2.3725555867293257E-2</v>
      </c>
      <c r="N260" s="2">
        <f t="shared" si="8"/>
        <v>2.6552672424328766E-2</v>
      </c>
    </row>
    <row r="261" spans="1:14" x14ac:dyDescent="0.55000000000000004">
      <c r="C261" s="2" t="s">
        <v>24</v>
      </c>
      <c r="D261" s="2">
        <v>0.53259900000000004</v>
      </c>
      <c r="E261" s="2">
        <v>0.42394599999999999</v>
      </c>
      <c r="F261" s="2">
        <v>0.64819499999999997</v>
      </c>
      <c r="G261" s="2">
        <v>0.54832400000000003</v>
      </c>
      <c r="H261" s="2">
        <v>0.53337100000000004</v>
      </c>
      <c r="I261" s="2">
        <v>0.47551500000000002</v>
      </c>
      <c r="J261" s="2">
        <v>0.43105199999999999</v>
      </c>
      <c r="K261" s="2">
        <v>0.70875699999999997</v>
      </c>
      <c r="L261" s="2">
        <f t="shared" si="6"/>
        <v>0.53771987500000007</v>
      </c>
      <c r="M261" s="2">
        <f t="shared" si="7"/>
        <v>3.5306821370683104E-2</v>
      </c>
      <c r="N261" s="2">
        <f t="shared" si="8"/>
        <v>3.9513951430424084E-2</v>
      </c>
    </row>
    <row r="262" spans="1:14" x14ac:dyDescent="0.55000000000000004">
      <c r="C262" s="2" t="s">
        <v>26</v>
      </c>
      <c r="D262" s="2">
        <v>0.49634099999999998</v>
      </c>
      <c r="E262" s="2">
        <v>0.62005200000000005</v>
      </c>
      <c r="F262" s="2">
        <v>0.46672999999999998</v>
      </c>
      <c r="G262" s="2">
        <v>0.47846899999999998</v>
      </c>
      <c r="H262" s="2">
        <v>0.51174900000000001</v>
      </c>
      <c r="I262" s="2">
        <v>0.40124300000000002</v>
      </c>
      <c r="J262" s="2">
        <v>0.53950500000000001</v>
      </c>
      <c r="K262" s="2">
        <v>0.29352600000000001</v>
      </c>
      <c r="L262" s="2">
        <f t="shared" si="6"/>
        <v>0.47595187500000002</v>
      </c>
      <c r="M262" s="2">
        <f t="shared" si="7"/>
        <v>3.4187766992656729E-2</v>
      </c>
      <c r="N262" s="2">
        <f t="shared" si="8"/>
        <v>3.8261551508123118E-2</v>
      </c>
    </row>
    <row r="263" spans="1:14" x14ac:dyDescent="0.55000000000000004">
      <c r="C263" s="2" t="s">
        <v>28</v>
      </c>
      <c r="D263" s="2">
        <v>2.3960430000000001</v>
      </c>
      <c r="E263" s="2">
        <v>2.4321090000000001</v>
      </c>
      <c r="F263" s="2">
        <v>2.226397</v>
      </c>
      <c r="G263" s="2">
        <v>3.7153839999999998</v>
      </c>
      <c r="H263" s="2">
        <v>1.6568320000000001</v>
      </c>
      <c r="I263" s="2">
        <v>3.3500749999999999</v>
      </c>
      <c r="J263" s="2">
        <v>2.8814419999999998</v>
      </c>
      <c r="K263" s="2">
        <v>3.6250939999999998</v>
      </c>
      <c r="L263" s="2">
        <f t="shared" si="6"/>
        <v>2.7854220000000001</v>
      </c>
      <c r="M263" s="2">
        <f t="shared" si="7"/>
        <v>0.25914011861249864</v>
      </c>
      <c r="N263" s="2">
        <f t="shared" si="8"/>
        <v>0.29001902926982448</v>
      </c>
    </row>
    <row r="264" spans="1:14" x14ac:dyDescent="0.55000000000000004">
      <c r="C264" s="2" t="s">
        <v>30</v>
      </c>
      <c r="D264" s="2">
        <v>13.773178</v>
      </c>
      <c r="E264" s="2">
        <v>16.439700999999999</v>
      </c>
      <c r="F264" s="2">
        <v>13.528012</v>
      </c>
      <c r="G264" s="2">
        <v>16.801580000000001</v>
      </c>
      <c r="H264" s="2">
        <v>10.497286000000001</v>
      </c>
      <c r="I264" s="2">
        <v>15.713621</v>
      </c>
      <c r="J264" s="2">
        <v>18.052675000000001</v>
      </c>
      <c r="K264" s="2">
        <v>17.356632000000001</v>
      </c>
      <c r="L264" s="2">
        <f t="shared" si="6"/>
        <v>15.270335625000003</v>
      </c>
      <c r="M264" s="2">
        <f t="shared" si="7"/>
        <v>0.8870280122505545</v>
      </c>
      <c r="N264" s="2">
        <f t="shared" si="8"/>
        <v>0.99272549702244384</v>
      </c>
    </row>
    <row r="265" spans="1:14" x14ac:dyDescent="0.55000000000000004">
      <c r="B265" s="2" t="s">
        <v>61</v>
      </c>
      <c r="C265" s="2" t="s">
        <v>22</v>
      </c>
      <c r="D265" s="2">
        <v>0.802014</v>
      </c>
      <c r="E265" s="2">
        <v>0.83612799999999998</v>
      </c>
      <c r="F265" s="2">
        <v>0.72461500000000001</v>
      </c>
      <c r="G265" s="2">
        <v>0.84602699999999997</v>
      </c>
      <c r="H265" s="2">
        <v>0.78150500000000001</v>
      </c>
      <c r="I265" s="2">
        <v>0.82685500000000001</v>
      </c>
      <c r="J265" s="2">
        <v>0.883467</v>
      </c>
      <c r="K265" s="2">
        <v>0.73521599999999998</v>
      </c>
      <c r="L265" s="2">
        <f t="shared" si="6"/>
        <v>0.80447837500000008</v>
      </c>
      <c r="M265" s="2">
        <f t="shared" si="7"/>
        <v>1.9446440910079056E-2</v>
      </c>
      <c r="N265" s="2">
        <f t="shared" si="8"/>
        <v>2.1763661858654845E-2</v>
      </c>
    </row>
    <row r="266" spans="1:14" x14ac:dyDescent="0.55000000000000004">
      <c r="C266" s="2" t="s">
        <v>24</v>
      </c>
      <c r="D266" s="2">
        <v>0.62388500000000002</v>
      </c>
      <c r="E266" s="2">
        <v>0.54885200000000001</v>
      </c>
      <c r="F266" s="2">
        <v>0.73130700000000004</v>
      </c>
      <c r="G266" s="2">
        <v>0.51274500000000001</v>
      </c>
      <c r="H266" s="2">
        <v>0.64996500000000001</v>
      </c>
      <c r="I266" s="2">
        <v>0.58138400000000001</v>
      </c>
      <c r="J266" s="2">
        <v>0.46676600000000001</v>
      </c>
      <c r="K266" s="2">
        <v>0.71733800000000003</v>
      </c>
      <c r="L266" s="2">
        <f t="shared" si="6"/>
        <v>0.60403024999999999</v>
      </c>
      <c r="M266" s="2">
        <f t="shared" si="7"/>
        <v>3.3347251108465821E-2</v>
      </c>
      <c r="N266" s="2">
        <f t="shared" si="8"/>
        <v>3.7320880483798134E-2</v>
      </c>
    </row>
    <row r="267" spans="1:14" x14ac:dyDescent="0.55000000000000004">
      <c r="C267" s="2" t="s">
        <v>26</v>
      </c>
      <c r="D267" s="2">
        <v>0.46124799999999999</v>
      </c>
      <c r="E267" s="2">
        <v>0.55108400000000002</v>
      </c>
      <c r="F267" s="2">
        <v>0.48132000000000003</v>
      </c>
      <c r="G267" s="2">
        <v>0.55589900000000003</v>
      </c>
      <c r="H267" s="2">
        <v>0.44012699999999999</v>
      </c>
      <c r="I267" s="2">
        <v>0.37014999999999998</v>
      </c>
      <c r="J267" s="2">
        <v>0.54581900000000005</v>
      </c>
      <c r="K267" s="2">
        <v>0.29205199999999998</v>
      </c>
      <c r="L267" s="2">
        <f t="shared" si="6"/>
        <v>0.46221237500000001</v>
      </c>
      <c r="M267" s="2">
        <f t="shared" si="7"/>
        <v>3.3260134446370306E-2</v>
      </c>
      <c r="N267" s="2">
        <f t="shared" si="8"/>
        <v>3.7223383076181567E-2</v>
      </c>
    </row>
    <row r="268" spans="1:14" x14ac:dyDescent="0.55000000000000004">
      <c r="A268" s="2" t="s">
        <v>20</v>
      </c>
      <c r="B268" s="2" t="s">
        <v>21</v>
      </c>
      <c r="C268" s="2" t="s">
        <v>22</v>
      </c>
      <c r="D268" s="2">
        <v>0.85517299999999996</v>
      </c>
      <c r="E268" s="2">
        <v>0.90920500000000004</v>
      </c>
      <c r="F268" s="2">
        <v>0.75820399999999999</v>
      </c>
      <c r="G268" s="2">
        <v>0.85040300000000002</v>
      </c>
      <c r="H268" s="2">
        <v>0.84262400000000004</v>
      </c>
      <c r="I268" s="2">
        <v>0.87785000000000002</v>
      </c>
      <c r="J268" s="2">
        <v>0.88839999999999997</v>
      </c>
      <c r="K268" s="2">
        <v>0.74583999999999995</v>
      </c>
      <c r="L268" s="2">
        <f>AVERAGE(D268:K268)</f>
        <v>0.84096237499999993</v>
      </c>
      <c r="M268" s="2">
        <f xml:space="preserve"> _xlfn.STDEV.S(D268:K268) / SQRT(COUNT(D268:K268))</f>
        <v>2.0899044804673923E-2</v>
      </c>
      <c r="N268" s="2">
        <f>M268*$N$2</f>
        <v>2.3389356767183962E-2</v>
      </c>
    </row>
    <row r="269" spans="1:14" x14ac:dyDescent="0.55000000000000004">
      <c r="A269" s="2">
        <v>0.66700000000000004</v>
      </c>
      <c r="C269" s="2" t="s">
        <v>23</v>
      </c>
      <c r="D269" s="2">
        <v>5.53E-4</v>
      </c>
      <c r="E269" s="2">
        <v>9.7199999999999999E-4</v>
      </c>
      <c r="F269" s="2">
        <v>1.9350000000000001E-3</v>
      </c>
      <c r="G269" s="2">
        <v>7.7499999999999997E-4</v>
      </c>
      <c r="H269" s="2">
        <v>4.1399999999999998E-4</v>
      </c>
      <c r="I269" s="2">
        <v>5.5699999999999999E-4</v>
      </c>
      <c r="J269" s="2">
        <v>1.108E-3</v>
      </c>
      <c r="K269" s="2">
        <v>2.1900000000000001E-4</v>
      </c>
      <c r="L269" s="2">
        <f>(1/COUNT(D269:K269))*SQRT(SUMSQ(D269:K269))</f>
        <v>3.3894858109306196E-4</v>
      </c>
    </row>
    <row r="270" spans="1:14" x14ac:dyDescent="0.55000000000000004">
      <c r="C270" s="2" t="s">
        <v>24</v>
      </c>
      <c r="D270" s="2">
        <v>0.52005999999999997</v>
      </c>
      <c r="E270" s="2">
        <v>0.41331000000000001</v>
      </c>
      <c r="F270" s="2">
        <v>0.65187899999999999</v>
      </c>
      <c r="G270" s="2">
        <v>0.52536899999999997</v>
      </c>
      <c r="H270" s="2">
        <v>0.53951899999999997</v>
      </c>
      <c r="I270" s="2">
        <v>0.481076</v>
      </c>
      <c r="J270" s="2">
        <v>0.450604</v>
      </c>
      <c r="K270" s="2">
        <v>0.67705700000000002</v>
      </c>
      <c r="L270" s="2">
        <f>AVERAGE(D270:K270)</f>
        <v>0.53235925000000006</v>
      </c>
      <c r="M270" s="2">
        <f xml:space="preserve"> _xlfn.STDEV.S(D270:K270) / SQRT(COUNT(D270:K270))</f>
        <v>3.2447876669332472E-2</v>
      </c>
      <c r="N270" s="2">
        <f>M270*$N$2</f>
        <v>3.631433737042717E-2</v>
      </c>
    </row>
    <row r="271" spans="1:14" x14ac:dyDescent="0.55000000000000004">
      <c r="C271" s="2" t="s">
        <v>25</v>
      </c>
      <c r="D271" s="2">
        <v>8.0599999999999997E-4</v>
      </c>
      <c r="E271" s="2">
        <v>2.134E-3</v>
      </c>
      <c r="F271" s="2">
        <v>1.944E-3</v>
      </c>
      <c r="G271" s="2">
        <v>1.2669999999999999E-3</v>
      </c>
      <c r="H271" s="2">
        <v>6.69E-4</v>
      </c>
      <c r="I271" s="2">
        <v>1.0690000000000001E-3</v>
      </c>
      <c r="J271" s="2">
        <v>1.8320000000000001E-3</v>
      </c>
      <c r="K271" s="2">
        <v>3.3E-4</v>
      </c>
      <c r="L271" s="2">
        <f>(1/COUNT(D271:K271))*SQRT(SUMSQ(D271:K271))</f>
        <v>4.9439772387724443E-4</v>
      </c>
    </row>
    <row r="272" spans="1:14" x14ac:dyDescent="0.55000000000000004">
      <c r="C272" s="2" t="s">
        <v>26</v>
      </c>
      <c r="D272" s="2">
        <v>0.51134999999999997</v>
      </c>
      <c r="E272" s="2">
        <v>0.63046999999999997</v>
      </c>
      <c r="F272" s="2">
        <v>0.46438699999999999</v>
      </c>
      <c r="G272" s="2">
        <v>0.495222</v>
      </c>
      <c r="H272" s="2">
        <v>0.50639199999999995</v>
      </c>
      <c r="I272" s="2">
        <v>0.39189000000000002</v>
      </c>
      <c r="J272" s="2">
        <v>0.52071299999999998</v>
      </c>
      <c r="K272" s="2">
        <v>0.319803</v>
      </c>
      <c r="L272" s="2">
        <f>AVERAGE(D272:K272)</f>
        <v>0.48002837500000001</v>
      </c>
      <c r="M272" s="2">
        <f xml:space="preserve"> _xlfn.STDEV.S(D272:K272) / SQRT(COUNT(D272:K272))</f>
        <v>3.2699947835769579E-2</v>
      </c>
      <c r="N272" s="2">
        <f>M272*$N$2</f>
        <v>3.6596445117341954E-2</v>
      </c>
    </row>
    <row r="273" spans="2:14" x14ac:dyDescent="0.55000000000000004">
      <c r="C273" s="2" t="s">
        <v>27</v>
      </c>
      <c r="D273" s="2">
        <v>7.94E-4</v>
      </c>
      <c r="E273" s="2">
        <v>1.9780000000000002E-3</v>
      </c>
      <c r="F273" s="2">
        <v>9.3599999999999998E-4</v>
      </c>
      <c r="G273" s="2">
        <v>1.6100000000000001E-3</v>
      </c>
      <c r="H273" s="2">
        <v>7.0899999999999999E-4</v>
      </c>
      <c r="I273" s="2">
        <v>9.7300000000000002E-4</v>
      </c>
      <c r="J273" s="2">
        <v>1.8370000000000001E-3</v>
      </c>
      <c r="K273" s="2">
        <v>4.6299999999999998E-4</v>
      </c>
      <c r="L273" s="2">
        <f>(1/COUNT(D273:K273))*SQRT(SUMSQ(D273:K273))</f>
        <v>4.5155052319757088E-4</v>
      </c>
    </row>
    <row r="274" spans="2:14" x14ac:dyDescent="0.55000000000000004">
      <c r="C274" s="2" t="s">
        <v>28</v>
      </c>
      <c r="D274" s="2">
        <v>2.2198440000000002</v>
      </c>
      <c r="E274" s="2">
        <v>2.3159269999999998</v>
      </c>
      <c r="F274" s="2">
        <v>2.2488169999999998</v>
      </c>
      <c r="G274" s="2">
        <v>3.5960009999999998</v>
      </c>
      <c r="H274" s="2">
        <v>1.6965859999999999</v>
      </c>
      <c r="I274" s="2">
        <v>3.2682739999999999</v>
      </c>
      <c r="J274" s="2">
        <v>3.0848640000000001</v>
      </c>
      <c r="K274" s="2">
        <v>2.7147730000000001</v>
      </c>
      <c r="L274" s="2">
        <f>AVERAGE(D274:K274)</f>
        <v>2.6431357500000003</v>
      </c>
      <c r="M274" s="2">
        <f xml:space="preserve"> _xlfn.STDEV.S(D274:K274) / SQRT(COUNT(D274:K274))</f>
        <v>0.22506709064138297</v>
      </c>
      <c r="N274" s="2">
        <f>M274*$N$2</f>
        <v>0.25188588898503828</v>
      </c>
    </row>
    <row r="275" spans="2:14" x14ac:dyDescent="0.55000000000000004">
      <c r="C275" s="2" t="s">
        <v>29</v>
      </c>
      <c r="D275" s="2">
        <v>1.0701E-2</v>
      </c>
      <c r="E275" s="2">
        <v>1.2158E-2</v>
      </c>
      <c r="F275" s="2">
        <v>1.0345E-2</v>
      </c>
      <c r="G275" s="2">
        <v>2.1661E-2</v>
      </c>
      <c r="H275" s="2">
        <v>5.7629999999999999E-3</v>
      </c>
      <c r="I275" s="2">
        <v>1.6317999999999999E-2</v>
      </c>
      <c r="J275" s="2">
        <v>2.1694999999999999E-2</v>
      </c>
      <c r="K275" s="2">
        <v>4.7910000000000001E-3</v>
      </c>
      <c r="L275" s="2">
        <f>(1/COUNT(D275:K275))*SQRT(SUMSQ(D275:K275))</f>
        <v>5.0492300000841706E-3</v>
      </c>
    </row>
    <row r="276" spans="2:14" x14ac:dyDescent="0.55000000000000004">
      <c r="C276" s="2" t="s">
        <v>30</v>
      </c>
      <c r="D276" s="2">
        <v>13.701276</v>
      </c>
      <c r="E276" s="2">
        <v>16.068387000000001</v>
      </c>
      <c r="F276" s="2">
        <v>13.89615</v>
      </c>
      <c r="G276" s="2">
        <v>16.257421000000001</v>
      </c>
      <c r="H276" s="2">
        <v>10.657138</v>
      </c>
      <c r="I276" s="2">
        <v>15.562429</v>
      </c>
      <c r="J276" s="2">
        <v>18.300767</v>
      </c>
      <c r="K276" s="2">
        <v>13.478838</v>
      </c>
      <c r="L276" s="2">
        <f>AVERAGE(D276:K276)</f>
        <v>14.740300749999999</v>
      </c>
      <c r="M276" s="2">
        <f xml:space="preserve"> _xlfn.STDEV.S(D276:K276) / SQRT(COUNT(D276:K276))</f>
        <v>0.81803282057039184</v>
      </c>
      <c r="N276" s="2">
        <f>M276*$N$2</f>
        <v>0.91550889844054784</v>
      </c>
    </row>
    <row r="277" spans="2:14" x14ac:dyDescent="0.55000000000000004">
      <c r="C277" s="2" t="s">
        <v>31</v>
      </c>
      <c r="D277" s="2">
        <v>2.0199000000000002E-2</v>
      </c>
      <c r="E277" s="2">
        <v>1.1403E-2</v>
      </c>
      <c r="F277" s="2">
        <v>1.5268E-2</v>
      </c>
      <c r="G277" s="2">
        <v>0.101562</v>
      </c>
      <c r="H277" s="2">
        <v>1.2935E-2</v>
      </c>
      <c r="I277" s="2">
        <v>2.0518999999999999E-2</v>
      </c>
      <c r="J277" s="2">
        <v>2.5916999999999999E-2</v>
      </c>
      <c r="K277" s="2">
        <v>2.3709000000000001E-2</v>
      </c>
      <c r="L277" s="2">
        <f>(1/COUNT(D277:K277))*SQRT(SUMSQ(D277:K277))</f>
        <v>1.4201744409798748E-2</v>
      </c>
    </row>
    <row r="278" spans="2:14" x14ac:dyDescent="0.55000000000000004">
      <c r="B278" s="2" t="s">
        <v>32</v>
      </c>
      <c r="C278" s="2" t="s">
        <v>22</v>
      </c>
      <c r="D278" s="2">
        <v>0.83214999999999995</v>
      </c>
      <c r="E278" s="2">
        <v>0.88438399999999995</v>
      </c>
      <c r="F278" s="2">
        <v>0.74992300000000001</v>
      </c>
      <c r="G278" s="2">
        <v>0.85107299999999997</v>
      </c>
      <c r="H278" s="2">
        <v>0.83091700000000002</v>
      </c>
      <c r="I278" s="2">
        <v>0.87399400000000005</v>
      </c>
      <c r="J278" s="2">
        <v>0.89242699999999997</v>
      </c>
      <c r="K278" s="2">
        <v>0.74420200000000003</v>
      </c>
      <c r="L278" s="2">
        <f>AVERAGE(D278:K278)</f>
        <v>0.83238374999999998</v>
      </c>
      <c r="M278" s="2">
        <f xml:space="preserve"> _xlfn.STDEV.S(D278:K278) / SQRT(COUNT(D278:K278))</f>
        <v>2.0251949271040195E-2</v>
      </c>
      <c r="N278" s="2">
        <f>M278*$N$2</f>
        <v>2.2665153893795906E-2</v>
      </c>
    </row>
    <row r="279" spans="2:14" x14ac:dyDescent="0.55000000000000004">
      <c r="C279" s="2" t="s">
        <v>23</v>
      </c>
      <c r="D279" s="2">
        <v>2.0430000000000001E-3</v>
      </c>
      <c r="E279" s="2">
        <v>2.1540000000000001E-3</v>
      </c>
      <c r="F279" s="2">
        <v>3.359E-3</v>
      </c>
      <c r="G279" s="2">
        <v>1.6819999999999999E-3</v>
      </c>
      <c r="H279" s="2">
        <v>6.3400000000000001E-4</v>
      </c>
      <c r="I279" s="2">
        <v>1.903E-3</v>
      </c>
      <c r="J279" s="2">
        <v>2.0600000000000002E-3</v>
      </c>
      <c r="K279" s="2">
        <v>6.0300000000000002E-4</v>
      </c>
      <c r="L279" s="2">
        <f>(1/COUNT(D279:K279))*SQRT(SUMSQ(D279:K279))</f>
        <v>7.0218569481298896E-4</v>
      </c>
    </row>
    <row r="280" spans="2:14" x14ac:dyDescent="0.55000000000000004">
      <c r="C280" s="2" t="s">
        <v>24</v>
      </c>
      <c r="D280" s="2">
        <v>0.55696400000000001</v>
      </c>
      <c r="E280" s="2">
        <v>0.46446999999999999</v>
      </c>
      <c r="F280" s="2">
        <v>0.66172900000000001</v>
      </c>
      <c r="G280" s="2">
        <v>0.52422800000000003</v>
      </c>
      <c r="H280" s="2">
        <v>0.55734700000000004</v>
      </c>
      <c r="I280" s="2">
        <v>0.48841499999999999</v>
      </c>
      <c r="J280" s="2">
        <v>0.44595600000000002</v>
      </c>
      <c r="K280" s="2">
        <v>0.67905400000000005</v>
      </c>
      <c r="L280" s="2">
        <f>AVERAGE(D280:K280)</f>
        <v>0.54727037499999998</v>
      </c>
      <c r="M280" s="2">
        <f xml:space="preserve"> _xlfn.STDEV.S(D280:K280) / SQRT(COUNT(D280:K280))</f>
        <v>3.0407534394653889E-2</v>
      </c>
      <c r="N280" s="2">
        <f>M280*$N$2</f>
        <v>3.4030869688739043E-2</v>
      </c>
    </row>
    <row r="281" spans="2:14" x14ac:dyDescent="0.55000000000000004">
      <c r="C281" s="2" t="s">
        <v>25</v>
      </c>
      <c r="D281" s="2">
        <v>2.879E-3</v>
      </c>
      <c r="E281" s="2">
        <v>4.287E-3</v>
      </c>
      <c r="F281" s="2">
        <v>3.7950000000000002E-3</v>
      </c>
      <c r="G281" s="2">
        <v>2.6540000000000001E-3</v>
      </c>
      <c r="H281" s="2">
        <v>9.2100000000000005E-4</v>
      </c>
      <c r="I281" s="2">
        <v>3.4580000000000001E-3</v>
      </c>
      <c r="J281" s="2">
        <v>3.6909999999999998E-3</v>
      </c>
      <c r="K281" s="2">
        <v>7.5600000000000005E-4</v>
      </c>
      <c r="L281" s="2">
        <f>(1/COUNT(D281:K281))*SQRT(SUMSQ(D281:K281))</f>
        <v>1.0833525294773629E-3</v>
      </c>
    </row>
    <row r="282" spans="2:14" x14ac:dyDescent="0.55000000000000004">
      <c r="C282" s="2" t="s">
        <v>26</v>
      </c>
      <c r="D282" s="2">
        <v>0.48418299999999997</v>
      </c>
      <c r="E282" s="2">
        <v>0.58166700000000005</v>
      </c>
      <c r="F282" s="2">
        <v>0.45703100000000002</v>
      </c>
      <c r="G282" s="2">
        <v>0.503444</v>
      </c>
      <c r="H282" s="2">
        <v>0.49199500000000002</v>
      </c>
      <c r="I282" s="2">
        <v>0.38887699999999997</v>
      </c>
      <c r="J282" s="2">
        <v>0.52381599999999995</v>
      </c>
      <c r="K282" s="2">
        <v>0.317741</v>
      </c>
      <c r="L282" s="2">
        <f>AVERAGE(D282:K282)</f>
        <v>0.46859424999999999</v>
      </c>
      <c r="M282" s="2">
        <f xml:space="preserve"> _xlfn.STDEV.S(D282:K282) / SQRT(COUNT(D282:K282))</f>
        <v>2.8996689928550517E-2</v>
      </c>
      <c r="N282" s="2">
        <f>M282*$N$2</f>
        <v>3.2451910225801336E-2</v>
      </c>
    </row>
    <row r="283" spans="2:14" x14ac:dyDescent="0.55000000000000004">
      <c r="C283" s="2" t="s">
        <v>27</v>
      </c>
      <c r="D283" s="2">
        <v>3.1939999999999998E-3</v>
      </c>
      <c r="E283" s="2">
        <v>4.7019999999999996E-3</v>
      </c>
      <c r="F283" s="2">
        <v>2.1419999999999998E-3</v>
      </c>
      <c r="G283" s="2">
        <v>3.2599999999999999E-3</v>
      </c>
      <c r="H283" s="2">
        <v>6.2799999999999998E-4</v>
      </c>
      <c r="I283" s="2">
        <v>3.0950000000000001E-3</v>
      </c>
      <c r="J283" s="2">
        <v>3.6380000000000002E-3</v>
      </c>
      <c r="K283" s="2">
        <v>6.5300000000000004E-4</v>
      </c>
      <c r="L283" s="2">
        <f>(1/COUNT(D283:K283))*SQRT(SUMSQ(D283:K283))</f>
        <v>1.0544627334571858E-3</v>
      </c>
    </row>
    <row r="284" spans="2:14" x14ac:dyDescent="0.55000000000000004">
      <c r="C284" s="2" t="s">
        <v>28</v>
      </c>
      <c r="D284" s="2">
        <v>2.7161029999999999</v>
      </c>
      <c r="E284" s="2">
        <v>2.7467579999999998</v>
      </c>
      <c r="F284" s="2">
        <v>2.3668589999999998</v>
      </c>
      <c r="G284" s="2">
        <v>3.4695040000000001</v>
      </c>
      <c r="H284" s="2">
        <v>1.7877970000000001</v>
      </c>
      <c r="I284" s="2">
        <v>3.5920860000000001</v>
      </c>
      <c r="J284" s="2">
        <v>3.01213</v>
      </c>
      <c r="K284" s="2">
        <v>2.7586620000000002</v>
      </c>
      <c r="L284" s="2">
        <f>AVERAGE(D284:K284)</f>
        <v>2.8062373750000003</v>
      </c>
      <c r="M284" s="2">
        <f xml:space="preserve"> _xlfn.STDEV.S(D284:K284) / SQRT(COUNT(D284:K284))</f>
        <v>0.20459332580773237</v>
      </c>
      <c r="N284" s="2">
        <f>M284*$N$2</f>
        <v>0.22897248817953433</v>
      </c>
    </row>
    <row r="285" spans="2:14" x14ac:dyDescent="0.55000000000000004">
      <c r="C285" s="2" t="s">
        <v>29</v>
      </c>
      <c r="D285" s="2">
        <v>6.5504999999999994E-2</v>
      </c>
      <c r="E285" s="2">
        <v>2.8129000000000001E-2</v>
      </c>
      <c r="F285" s="2">
        <v>2.1489999999999999E-2</v>
      </c>
      <c r="G285" s="2">
        <v>4.5763999999999999E-2</v>
      </c>
      <c r="H285" s="2">
        <v>4.5770000000000003E-3</v>
      </c>
      <c r="I285" s="2">
        <v>6.0366000000000003E-2</v>
      </c>
      <c r="J285" s="2">
        <v>3.5476000000000001E-2</v>
      </c>
      <c r="K285" s="2">
        <v>5.4990000000000004E-3</v>
      </c>
      <c r="L285" s="2">
        <f>(1/COUNT(D285:K285))*SQRT(SUMSQ(D285:K285))</f>
        <v>1.4026814679837329E-2</v>
      </c>
    </row>
    <row r="286" spans="2:14" x14ac:dyDescent="0.55000000000000004">
      <c r="C286" s="2" t="s">
        <v>30</v>
      </c>
      <c r="D286" s="2">
        <v>15.749699</v>
      </c>
      <c r="E286" s="2">
        <v>16.905674999999999</v>
      </c>
      <c r="F286" s="2">
        <v>14.940358</v>
      </c>
      <c r="G286" s="2">
        <v>16.669492000000002</v>
      </c>
      <c r="H286" s="2">
        <v>11.205826999999999</v>
      </c>
      <c r="I286" s="2">
        <v>16.244454000000001</v>
      </c>
      <c r="J286" s="2">
        <v>18.381986000000001</v>
      </c>
      <c r="K286" s="2">
        <v>13.603899999999999</v>
      </c>
      <c r="L286" s="2">
        <f>AVERAGE(D286:K286)</f>
        <v>15.462673875</v>
      </c>
      <c r="M286" s="2">
        <f xml:space="preserve"> _xlfn.STDEV.S(D286:K286) / SQRT(COUNT(D286:K286))</f>
        <v>0.78607533958078746</v>
      </c>
      <c r="N286" s="2">
        <f>M286*$N$2</f>
        <v>0.87974339187159734</v>
      </c>
    </row>
    <row r="287" spans="2:14" x14ac:dyDescent="0.55000000000000004">
      <c r="C287" s="2" t="s">
        <v>31</v>
      </c>
      <c r="D287" s="2">
        <v>8.3312999999999998E-2</v>
      </c>
      <c r="E287" s="2">
        <v>2.2578000000000001E-2</v>
      </c>
      <c r="F287" s="2">
        <v>5.2524000000000001E-2</v>
      </c>
      <c r="G287" s="2">
        <v>0.101468</v>
      </c>
      <c r="H287" s="2">
        <v>3.0203000000000001E-2</v>
      </c>
      <c r="I287" s="2">
        <v>8.8072999999999999E-2</v>
      </c>
      <c r="J287" s="2">
        <v>6.5858E-2</v>
      </c>
      <c r="K287" s="2">
        <v>2.3647000000000001E-2</v>
      </c>
      <c r="L287" s="2">
        <f>(1/COUNT(D287:K287))*SQRT(SUMSQ(D287:K287))</f>
        <v>2.3072873332389707E-2</v>
      </c>
    </row>
    <row r="288" spans="2:14" x14ac:dyDescent="0.55000000000000004">
      <c r="B288" s="2" t="s">
        <v>33</v>
      </c>
      <c r="C288" s="2" t="s">
        <v>22</v>
      </c>
      <c r="D288" s="2">
        <v>0.85506300000000002</v>
      </c>
      <c r="E288" s="2">
        <v>0.90768400000000005</v>
      </c>
      <c r="F288" s="2">
        <v>0.75177799999999995</v>
      </c>
      <c r="G288" s="2">
        <v>0.84915200000000002</v>
      </c>
      <c r="H288" s="2">
        <v>0.84176799999999996</v>
      </c>
      <c r="I288" s="2">
        <v>0.878803</v>
      </c>
      <c r="J288" s="2">
        <v>0.88470300000000002</v>
      </c>
      <c r="K288" s="2">
        <v>0.74723099999999998</v>
      </c>
      <c r="L288" s="2">
        <f>AVERAGE(D288:K288)</f>
        <v>0.8395227500000001</v>
      </c>
      <c r="M288" s="2">
        <f xml:space="preserve"> _xlfn.STDEV.S(D288:K288) / SQRT(COUNT(D288:K288))</f>
        <v>2.1038366430464615E-2</v>
      </c>
      <c r="N288" s="2">
        <f>M288*$N$2</f>
        <v>2.354527983646576E-2</v>
      </c>
    </row>
    <row r="289" spans="2:14" x14ac:dyDescent="0.55000000000000004">
      <c r="C289" s="2" t="s">
        <v>23</v>
      </c>
      <c r="D289" s="2">
        <v>1.5100000000000001E-4</v>
      </c>
      <c r="E289" s="2">
        <v>3.2600000000000001E-4</v>
      </c>
      <c r="F289" s="2">
        <v>1.6699999999999999E-4</v>
      </c>
      <c r="G289" s="2">
        <v>4.4099999999999999E-4</v>
      </c>
      <c r="H289" s="2">
        <v>1.8599999999999999E-4</v>
      </c>
      <c r="I289" s="2">
        <v>1.5799999999999999E-4</v>
      </c>
      <c r="J289" s="2">
        <v>2.6499999999999999E-4</v>
      </c>
      <c r="K289" s="2">
        <v>1.6699999999999999E-4</v>
      </c>
      <c r="L289" s="2">
        <f>(1/COUNT(D289:K289))*SQRT(SUMSQ(D289:K289))</f>
        <v>8.9190894294204721E-5</v>
      </c>
    </row>
    <row r="290" spans="2:14" x14ac:dyDescent="0.55000000000000004">
      <c r="C290" s="2" t="s">
        <v>24</v>
      </c>
      <c r="D290" s="2">
        <v>0.52021300000000004</v>
      </c>
      <c r="E290" s="2">
        <v>0.41619299999999998</v>
      </c>
      <c r="F290" s="2">
        <v>0.65978999999999999</v>
      </c>
      <c r="G290" s="2">
        <v>0.52717499999999995</v>
      </c>
      <c r="H290" s="2">
        <v>0.54077399999999998</v>
      </c>
      <c r="I290" s="2">
        <v>0.479215</v>
      </c>
      <c r="J290" s="2">
        <v>0.45778099999999999</v>
      </c>
      <c r="K290" s="2">
        <v>0.67511600000000005</v>
      </c>
      <c r="L290" s="2">
        <f>AVERAGE(D290:K290)</f>
        <v>0.53453212499999991</v>
      </c>
      <c r="M290" s="2">
        <f xml:space="preserve"> _xlfn.STDEV.S(D290:K290) / SQRT(COUNT(D290:K290))</f>
        <v>3.2377890054368447E-2</v>
      </c>
      <c r="N290" s="2">
        <f>M290*$N$2</f>
        <v>3.6236011211427069E-2</v>
      </c>
    </row>
    <row r="291" spans="2:14" x14ac:dyDescent="0.55000000000000004">
      <c r="C291" s="2" t="s">
        <v>25</v>
      </c>
      <c r="D291" s="2">
        <v>2.4499999999999999E-4</v>
      </c>
      <c r="E291" s="2">
        <v>7.3899999999999997E-4</v>
      </c>
      <c r="F291" s="2">
        <v>1.9699999999999999E-4</v>
      </c>
      <c r="G291" s="2">
        <v>7.3899999999999997E-4</v>
      </c>
      <c r="H291" s="2">
        <v>2.8899999999999998E-4</v>
      </c>
      <c r="I291" s="2">
        <v>3.0299999999999999E-4</v>
      </c>
      <c r="J291" s="2">
        <v>4.7800000000000002E-4</v>
      </c>
      <c r="K291" s="2">
        <v>2.02E-4</v>
      </c>
      <c r="L291" s="2">
        <f>(1/COUNT(D291:K291))*SQRT(SUMSQ(D291:K291))</f>
        <v>1.5986781649225088E-4</v>
      </c>
    </row>
    <row r="292" spans="2:14" x14ac:dyDescent="0.55000000000000004">
      <c r="C292" s="2" t="s">
        <v>26</v>
      </c>
      <c r="D292" s="2">
        <v>0.51124000000000003</v>
      </c>
      <c r="E292" s="2">
        <v>0.62686900000000001</v>
      </c>
      <c r="F292" s="2">
        <v>0.45902700000000002</v>
      </c>
      <c r="G292" s="2">
        <v>0.493168</v>
      </c>
      <c r="H292" s="2">
        <v>0.50583699999999998</v>
      </c>
      <c r="I292" s="2">
        <v>0.39348899999999998</v>
      </c>
      <c r="J292" s="2">
        <v>0.51325399999999999</v>
      </c>
      <c r="K292" s="2">
        <v>0.32217299999999999</v>
      </c>
      <c r="L292" s="2">
        <f>AVERAGE(D292:K292)</f>
        <v>0.47813212499999996</v>
      </c>
      <c r="M292" s="2">
        <f xml:space="preserve"> _xlfn.STDEV.S(D292:K292) / SQRT(COUNT(D292:K292))</f>
        <v>3.1987354139921799E-2</v>
      </c>
      <c r="N292" s="2">
        <f>M292*$N$2</f>
        <v>3.5798939377821151E-2</v>
      </c>
    </row>
    <row r="293" spans="2:14" x14ac:dyDescent="0.55000000000000004">
      <c r="C293" s="2" t="s">
        <v>27</v>
      </c>
      <c r="D293" s="2">
        <v>2.7999999999999998E-4</v>
      </c>
      <c r="E293" s="2">
        <v>7.27E-4</v>
      </c>
      <c r="F293" s="2">
        <v>1.18E-4</v>
      </c>
      <c r="G293" s="2">
        <v>8.5899999999999995E-4</v>
      </c>
      <c r="H293" s="2">
        <v>1.95E-4</v>
      </c>
      <c r="I293" s="2">
        <v>2.7700000000000001E-4</v>
      </c>
      <c r="J293" s="2">
        <v>4.8099999999999998E-4</v>
      </c>
      <c r="K293" s="2">
        <v>1.4899999999999999E-4</v>
      </c>
      <c r="L293" s="2">
        <f>(1/COUNT(D293:K293))*SQRT(SUMSQ(D293:K293))</f>
        <v>1.6427159294899406E-4</v>
      </c>
    </row>
    <row r="294" spans="2:14" x14ac:dyDescent="0.55000000000000004">
      <c r="C294" s="2" t="s">
        <v>28</v>
      </c>
      <c r="D294" s="2">
        <v>2.2239179999999998</v>
      </c>
      <c r="E294" s="2">
        <v>2.3329279999999999</v>
      </c>
      <c r="F294" s="2">
        <v>2.2695690000000002</v>
      </c>
      <c r="G294" s="2">
        <v>3.631672</v>
      </c>
      <c r="H294" s="2">
        <v>1.698831</v>
      </c>
      <c r="I294" s="2">
        <v>3.2336480000000001</v>
      </c>
      <c r="J294" s="2">
        <v>3.1575950000000002</v>
      </c>
      <c r="K294" s="2">
        <v>2.698175</v>
      </c>
      <c r="L294" s="2">
        <f>AVERAGE(D294:K294)</f>
        <v>2.6557919999999999</v>
      </c>
      <c r="M294" s="2">
        <f xml:space="preserve"> _xlfn.STDEV.S(D294:K294) / SQRT(COUNT(D294:K294))</f>
        <v>0.22739050647101139</v>
      </c>
      <c r="N294" s="2">
        <f>M294*$N$2</f>
        <v>0.25448616101974619</v>
      </c>
    </row>
    <row r="295" spans="2:14" x14ac:dyDescent="0.55000000000000004">
      <c r="C295" s="2" t="s">
        <v>29</v>
      </c>
      <c r="D295" s="2">
        <v>3.1719999999999999E-3</v>
      </c>
      <c r="E295" s="2">
        <v>4.4250000000000001E-3</v>
      </c>
      <c r="F295" s="2">
        <v>1.0709999999999999E-3</v>
      </c>
      <c r="G295" s="2">
        <v>1.0562E-2</v>
      </c>
      <c r="H295" s="2">
        <v>1.395E-3</v>
      </c>
      <c r="I295" s="2">
        <v>4.2979999999999997E-3</v>
      </c>
      <c r="J295" s="2">
        <v>5.228E-3</v>
      </c>
      <c r="K295" s="2">
        <v>1.4139999999999999E-3</v>
      </c>
      <c r="L295" s="2">
        <f>(1/COUNT(D295:K295))*SQRT(SUMSQ(D295:K295))</f>
        <v>1.732480623087889E-3</v>
      </c>
    </row>
    <row r="296" spans="2:14" x14ac:dyDescent="0.55000000000000004">
      <c r="C296" s="2" t="s">
        <v>30</v>
      </c>
      <c r="D296" s="2">
        <v>13.726111</v>
      </c>
      <c r="E296" s="2">
        <v>16.050751000000002</v>
      </c>
      <c r="F296" s="2">
        <v>13.587807</v>
      </c>
      <c r="G296" s="2">
        <v>16.471768999999998</v>
      </c>
      <c r="H296" s="2">
        <v>10.594874000000001</v>
      </c>
      <c r="I296" s="2">
        <v>15.485503</v>
      </c>
      <c r="J296" s="2">
        <v>18.391324999999998</v>
      </c>
      <c r="K296" s="2">
        <v>13.428063999999999</v>
      </c>
      <c r="L296" s="2">
        <f>AVERAGE(D296:K296)</f>
        <v>14.717025499999998</v>
      </c>
      <c r="M296" s="2">
        <f xml:space="preserve"> _xlfn.STDEV.S(D296:K296) / SQRT(COUNT(D296:K296))</f>
        <v>0.84366953212414797</v>
      </c>
      <c r="N296" s="2">
        <f>M296*$N$2</f>
        <v>0.94420045819710119</v>
      </c>
    </row>
    <row r="297" spans="2:14" x14ac:dyDescent="0.55000000000000004">
      <c r="C297" s="2" t="s">
        <v>31</v>
      </c>
      <c r="D297" s="2">
        <v>6.0790000000000002E-3</v>
      </c>
      <c r="E297" s="2">
        <v>5.0499999999999998E-3</v>
      </c>
      <c r="F297" s="2">
        <v>3.4299999999999999E-3</v>
      </c>
      <c r="G297" s="2">
        <v>2.7489E-2</v>
      </c>
      <c r="H297" s="2">
        <v>1.0704999999999999E-2</v>
      </c>
      <c r="I297" s="2">
        <v>6.7590000000000003E-3</v>
      </c>
      <c r="J297" s="2">
        <v>7.7679999999999997E-3</v>
      </c>
      <c r="K297" s="2">
        <v>7.1710000000000003E-3</v>
      </c>
      <c r="L297" s="2">
        <f>(1/COUNT(D297:K297))*SQRT(SUMSQ(D297:K297))</f>
        <v>4.1493842408392356E-3</v>
      </c>
    </row>
    <row r="298" spans="2:14" x14ac:dyDescent="0.55000000000000004">
      <c r="B298" s="2" t="s">
        <v>34</v>
      </c>
      <c r="C298" s="2" t="s">
        <v>22</v>
      </c>
      <c r="D298" s="2">
        <v>0.82863799999999999</v>
      </c>
      <c r="E298" s="2">
        <v>0.89968400000000004</v>
      </c>
      <c r="F298" s="2">
        <v>0.75425799999999998</v>
      </c>
      <c r="G298" s="2">
        <v>0.84404199999999996</v>
      </c>
      <c r="H298" s="2">
        <v>0.83094199999999996</v>
      </c>
      <c r="I298" s="2">
        <v>0.87965099999999996</v>
      </c>
      <c r="J298" s="2">
        <v>0.89391100000000001</v>
      </c>
      <c r="K298" s="2">
        <v>0.74382599999999999</v>
      </c>
      <c r="L298" s="2">
        <f>AVERAGE(D298:K298)</f>
        <v>0.83436900000000003</v>
      </c>
      <c r="M298" s="2">
        <f xml:space="preserve"> _xlfn.STDEV.S(D298:K298) / SQRT(COUNT(D298:K298))</f>
        <v>2.0965840117234239E-2</v>
      </c>
      <c r="N298" s="2">
        <f>M298*$N$2</f>
        <v>2.3464111350967588E-2</v>
      </c>
    </row>
    <row r="299" spans="2:14" x14ac:dyDescent="0.55000000000000004">
      <c r="C299" s="2" t="s">
        <v>23</v>
      </c>
      <c r="D299" s="2">
        <v>2.0999999999999999E-3</v>
      </c>
      <c r="E299" s="2">
        <v>1.2049999999999999E-3</v>
      </c>
      <c r="F299" s="2">
        <v>3.4489999999999998E-3</v>
      </c>
      <c r="G299" s="2">
        <v>5.8209999999999998E-3</v>
      </c>
      <c r="H299" s="2">
        <v>1.25E-3</v>
      </c>
      <c r="I299" s="2">
        <v>1.06E-3</v>
      </c>
      <c r="J299" s="2">
        <v>3.0969999999999999E-3</v>
      </c>
      <c r="K299" s="2">
        <v>5.0100000000000003E-4</v>
      </c>
      <c r="L299" s="2">
        <f>(1/COUNT(D299:K299))*SQRT(SUMSQ(D299:K299))</f>
        <v>1.0013286251900522E-3</v>
      </c>
    </row>
    <row r="300" spans="2:14" x14ac:dyDescent="0.55000000000000004">
      <c r="C300" s="2" t="s">
        <v>24</v>
      </c>
      <c r="D300" s="2">
        <v>0.56171899999999997</v>
      </c>
      <c r="E300" s="2">
        <v>0.43325399999999997</v>
      </c>
      <c r="F300" s="2">
        <v>0.65689900000000001</v>
      </c>
      <c r="G300" s="2">
        <v>0.53467799999999999</v>
      </c>
      <c r="H300" s="2">
        <v>0.55740199999999995</v>
      </c>
      <c r="I300" s="2">
        <v>0.476775</v>
      </c>
      <c r="J300" s="2">
        <v>0.44200099999999998</v>
      </c>
      <c r="K300" s="2">
        <v>0.67971599999999999</v>
      </c>
      <c r="L300" s="2">
        <f>AVERAGE(D300:K300)</f>
        <v>0.54280550000000005</v>
      </c>
      <c r="M300" s="2">
        <f xml:space="preserve"> _xlfn.STDEV.S(D300:K300) / SQRT(COUNT(D300:K300))</f>
        <v>3.2437233788062542E-2</v>
      </c>
      <c r="N300" s="2">
        <f>M300*$N$2</f>
        <v>3.6302426292701861E-2</v>
      </c>
    </row>
    <row r="301" spans="2:14" x14ac:dyDescent="0.55000000000000004">
      <c r="C301" s="2" t="s">
        <v>25</v>
      </c>
      <c r="D301" s="2">
        <v>3.1900000000000001E-3</v>
      </c>
      <c r="E301" s="2">
        <v>2.5230000000000001E-3</v>
      </c>
      <c r="F301" s="2">
        <v>3.9950000000000003E-3</v>
      </c>
      <c r="G301" s="2">
        <v>8.8459999999999997E-3</v>
      </c>
      <c r="H301" s="2">
        <v>1.8439999999999999E-3</v>
      </c>
      <c r="I301" s="2">
        <v>1.98E-3</v>
      </c>
      <c r="J301" s="2">
        <v>5.7920000000000003E-3</v>
      </c>
      <c r="K301" s="2">
        <v>6.0800000000000003E-4</v>
      </c>
      <c r="L301" s="2">
        <f>(1/COUNT(D301:K301))*SQRT(SUMSQ(D301:K301))</f>
        <v>1.5410580476575178E-3</v>
      </c>
    </row>
    <row r="302" spans="2:14" x14ac:dyDescent="0.55000000000000004">
      <c r="C302" s="2" t="s">
        <v>26</v>
      </c>
      <c r="D302" s="2">
        <v>0.46586</v>
      </c>
      <c r="E302" s="2">
        <v>0.61029800000000001</v>
      </c>
      <c r="F302" s="2">
        <v>0.46022600000000002</v>
      </c>
      <c r="G302" s="2">
        <v>0.48121599999999998</v>
      </c>
      <c r="H302" s="2">
        <v>0.49177599999999999</v>
      </c>
      <c r="I302" s="2">
        <v>0.39661099999999999</v>
      </c>
      <c r="J302" s="2">
        <v>0.528424</v>
      </c>
      <c r="K302" s="2">
        <v>0.316521</v>
      </c>
      <c r="L302" s="2">
        <f>AVERAGE(D302:K302)</f>
        <v>0.46886649999999996</v>
      </c>
      <c r="M302" s="2">
        <f xml:space="preserve"> _xlfn.STDEV.S(D302:K302) / SQRT(COUNT(D302:K302))</f>
        <v>3.0688825988809502E-2</v>
      </c>
      <c r="N302" s="2">
        <f>M302*$N$2</f>
        <v>3.4345679744069615E-2</v>
      </c>
    </row>
    <row r="303" spans="2:14" x14ac:dyDescent="0.55000000000000004">
      <c r="C303" s="2" t="s">
        <v>27</v>
      </c>
      <c r="D303" s="2">
        <v>3.591E-3</v>
      </c>
      <c r="E303" s="2">
        <v>2.6779999999999998E-3</v>
      </c>
      <c r="F303" s="2">
        <v>2.3879999999999999E-3</v>
      </c>
      <c r="G303" s="2">
        <v>9.0720000000000002E-3</v>
      </c>
      <c r="H303" s="2">
        <v>1.415E-3</v>
      </c>
      <c r="I303" s="2">
        <v>1.8649999999999999E-3</v>
      </c>
      <c r="J303" s="2">
        <v>5.6249999999999998E-3</v>
      </c>
      <c r="K303" s="2">
        <v>5.7399999999999997E-4</v>
      </c>
      <c r="L303" s="2">
        <f>(1/COUNT(D303:K303))*SQRT(SUMSQ(D303:K303))</f>
        <v>1.5079023302256682E-3</v>
      </c>
    </row>
    <row r="304" spans="2:14" x14ac:dyDescent="0.55000000000000004">
      <c r="C304" s="2" t="s">
        <v>28</v>
      </c>
      <c r="D304" s="2">
        <v>2.735087</v>
      </c>
      <c r="E304" s="2">
        <v>2.4473880000000001</v>
      </c>
      <c r="F304" s="2">
        <v>2.3349440000000001</v>
      </c>
      <c r="G304" s="2">
        <v>3.8148080000000002</v>
      </c>
      <c r="H304" s="2">
        <v>1.8059190000000001</v>
      </c>
      <c r="I304" s="2">
        <v>3.3534950000000001</v>
      </c>
      <c r="J304" s="2">
        <v>2.9885890000000002</v>
      </c>
      <c r="K304" s="2">
        <v>2.7555000000000001</v>
      </c>
      <c r="L304" s="2">
        <f>AVERAGE(D304:K304)</f>
        <v>2.77946625</v>
      </c>
      <c r="M304" s="2">
        <f xml:space="preserve"> _xlfn.STDEV.S(D304:K304) / SQRT(COUNT(D304:K304))</f>
        <v>0.21971523825118935</v>
      </c>
      <c r="N304" s="2">
        <f>M304*$N$2</f>
        <v>0.2458963145289105</v>
      </c>
    </row>
    <row r="305" spans="2:14" x14ac:dyDescent="0.55000000000000004">
      <c r="C305" s="2" t="s">
        <v>29</v>
      </c>
      <c r="D305" s="2">
        <v>4.0638000000000001E-2</v>
      </c>
      <c r="E305" s="2">
        <v>1.6194E-2</v>
      </c>
      <c r="F305" s="2">
        <v>2.0334000000000001E-2</v>
      </c>
      <c r="G305" s="2">
        <v>0.136848</v>
      </c>
      <c r="H305" s="2">
        <v>1.1344E-2</v>
      </c>
      <c r="I305" s="2">
        <v>3.9345999999999999E-2</v>
      </c>
      <c r="J305" s="2">
        <v>5.4762999999999999E-2</v>
      </c>
      <c r="K305" s="2">
        <v>5.7470000000000004E-3</v>
      </c>
      <c r="L305" s="2">
        <f>(1/COUNT(D305:K305))*SQRT(SUMSQ(D305:K305))</f>
        <v>2.006370618258875E-2</v>
      </c>
    </row>
    <row r="306" spans="2:14" x14ac:dyDescent="0.55000000000000004">
      <c r="C306" s="2" t="s">
        <v>30</v>
      </c>
      <c r="D306" s="2">
        <v>14.345427000000001</v>
      </c>
      <c r="E306" s="2">
        <v>16.203475999999998</v>
      </c>
      <c r="F306" s="2">
        <v>14.846420999999999</v>
      </c>
      <c r="G306" s="2">
        <v>17.995013</v>
      </c>
      <c r="H306" s="2">
        <v>11.177666</v>
      </c>
      <c r="I306" s="2">
        <v>15.975496</v>
      </c>
      <c r="J306" s="2">
        <v>18.288872000000001</v>
      </c>
      <c r="K306" s="2">
        <v>13.584989</v>
      </c>
      <c r="L306" s="2">
        <f>AVERAGE(D306:K306)</f>
        <v>15.30217</v>
      </c>
      <c r="M306" s="2">
        <f xml:space="preserve"> _xlfn.STDEV.S(D306:K306) / SQRT(COUNT(D306:K306))</f>
        <v>0.82938037132712228</v>
      </c>
      <c r="N306" s="2">
        <f>M306*$N$2</f>
        <v>0.92820861345448658</v>
      </c>
    </row>
    <row r="307" spans="2:14" x14ac:dyDescent="0.55000000000000004">
      <c r="C307" s="2" t="s">
        <v>31</v>
      </c>
      <c r="D307" s="2">
        <v>5.0859000000000001E-2</v>
      </c>
      <c r="E307" s="2">
        <v>4.2216999999999998E-2</v>
      </c>
      <c r="F307" s="2">
        <v>3.406E-2</v>
      </c>
      <c r="G307" s="2">
        <v>0.36083700000000002</v>
      </c>
      <c r="H307" s="2">
        <v>6.7948999999999996E-2</v>
      </c>
      <c r="I307" s="2">
        <v>6.5282999999999994E-2</v>
      </c>
      <c r="J307" s="2">
        <v>6.9863999999999996E-2</v>
      </c>
      <c r="K307" s="2">
        <v>3.0943999999999999E-2</v>
      </c>
      <c r="L307" s="2">
        <f>(1/COUNT(D307:K307))*SQRT(SUMSQ(D307:K307))</f>
        <v>4.8484820991503363E-2</v>
      </c>
    </row>
    <row r="308" spans="2:14" x14ac:dyDescent="0.55000000000000004">
      <c r="B308" s="2" t="s">
        <v>35</v>
      </c>
      <c r="C308" s="2" t="s">
        <v>22</v>
      </c>
      <c r="D308" s="2">
        <v>0.72221000000000002</v>
      </c>
      <c r="E308" s="2">
        <v>0.88124000000000002</v>
      </c>
      <c r="F308" s="2">
        <v>0.73040899999999997</v>
      </c>
      <c r="G308" s="2">
        <v>0.84137700000000004</v>
      </c>
      <c r="H308" s="2">
        <v>0.82485200000000003</v>
      </c>
      <c r="I308" s="2">
        <v>0.86248000000000002</v>
      </c>
      <c r="J308" s="2">
        <v>0.86613700000000005</v>
      </c>
      <c r="K308" s="2">
        <v>0.72221000000000002</v>
      </c>
      <c r="L308" s="2">
        <f>AVERAGE(D308:K308)</f>
        <v>0.80636437500000002</v>
      </c>
      <c r="M308" s="2">
        <f xml:space="preserve"> _xlfn.STDEV.S(D308:K308) / SQRT(COUNT(D308:K308))</f>
        <v>2.4578192326399479E-2</v>
      </c>
      <c r="N308" s="2">
        <f>M308*$N$2</f>
        <v>2.7506908300711206E-2</v>
      </c>
    </row>
    <row r="309" spans="2:14" x14ac:dyDescent="0.55000000000000004">
      <c r="C309" s="2" t="s">
        <v>23</v>
      </c>
      <c r="D309" s="2">
        <v>5.5000000000000003E-4</v>
      </c>
      <c r="E309" s="2">
        <v>1.1770000000000001E-3</v>
      </c>
      <c r="F309" s="2">
        <v>1.049E-3</v>
      </c>
      <c r="G309" s="2">
        <v>1.1050000000000001E-3</v>
      </c>
      <c r="H309" s="2">
        <v>4.4799999999999999E-4</v>
      </c>
      <c r="I309" s="2">
        <v>7.1400000000000001E-4</v>
      </c>
      <c r="J309" s="2">
        <v>1.1119999999999999E-3</v>
      </c>
      <c r="K309" s="2">
        <v>5.5000000000000003E-4</v>
      </c>
      <c r="L309" s="2">
        <f>(1/COUNT(D309:K309))*SQRT(SUMSQ(D309:K309))</f>
        <v>3.1271989763205027E-4</v>
      </c>
    </row>
    <row r="310" spans="2:14" x14ac:dyDescent="0.55000000000000004">
      <c r="C310" s="2" t="s">
        <v>24</v>
      </c>
      <c r="D310" s="2">
        <v>0.70638500000000004</v>
      </c>
      <c r="E310" s="2">
        <v>0.46454299999999998</v>
      </c>
      <c r="F310" s="2">
        <v>0.68257800000000002</v>
      </c>
      <c r="G310" s="2">
        <v>0.53975499999999998</v>
      </c>
      <c r="H310" s="2">
        <v>0.56566499999999997</v>
      </c>
      <c r="I310" s="2">
        <v>0.509768</v>
      </c>
      <c r="J310" s="2">
        <v>0.489037</v>
      </c>
      <c r="K310" s="2">
        <v>0.70638500000000004</v>
      </c>
      <c r="L310" s="2">
        <f>AVERAGE(D310:K310)</f>
        <v>0.58301449999999999</v>
      </c>
      <c r="M310" s="2">
        <f xml:space="preserve"> _xlfn.STDEV.S(D310:K310) / SQRT(COUNT(D310:K310))</f>
        <v>3.5546287013253096E-2</v>
      </c>
      <c r="N310" s="2">
        <f>M310*$N$2</f>
        <v>3.9781951590235211E-2</v>
      </c>
    </row>
    <row r="311" spans="2:14" x14ac:dyDescent="0.55000000000000004">
      <c r="C311" s="2" t="s">
        <v>25</v>
      </c>
      <c r="D311" s="2">
        <v>6.6699999999999995E-4</v>
      </c>
      <c r="E311" s="2">
        <v>2.2550000000000001E-3</v>
      </c>
      <c r="F311" s="2">
        <v>1.163E-3</v>
      </c>
      <c r="G311" s="2">
        <v>1.8270000000000001E-3</v>
      </c>
      <c r="H311" s="2">
        <v>6.6799999999999997E-4</v>
      </c>
      <c r="I311" s="2">
        <v>1.235E-3</v>
      </c>
      <c r="J311" s="2">
        <v>2.0040000000000001E-3</v>
      </c>
      <c r="K311" s="2">
        <v>6.6699999999999995E-4</v>
      </c>
      <c r="L311" s="2">
        <f>(1/COUNT(D311:K311))*SQRT(SUMSQ(D311:K311))</f>
        <v>5.1009750906076776E-4</v>
      </c>
    </row>
    <row r="312" spans="2:14" x14ac:dyDescent="0.55000000000000004">
      <c r="C312" s="2" t="s">
        <v>26</v>
      </c>
      <c r="D312" s="2">
        <v>0.28509099999999998</v>
      </c>
      <c r="E312" s="2">
        <v>0.57671600000000001</v>
      </c>
      <c r="F312" s="2">
        <v>0.44699</v>
      </c>
      <c r="G312" s="2">
        <v>0.47670699999999999</v>
      </c>
      <c r="H312" s="2">
        <v>0.48486299999999999</v>
      </c>
      <c r="I312" s="2">
        <v>0.36604999999999999</v>
      </c>
      <c r="J312" s="2">
        <v>0.47842000000000001</v>
      </c>
      <c r="K312" s="2">
        <v>0.28509099999999998</v>
      </c>
      <c r="L312" s="2">
        <f>AVERAGE(D312:K312)</f>
        <v>0.42499099999999995</v>
      </c>
      <c r="M312" s="2">
        <f xml:space="preserve"> _xlfn.STDEV.S(D312:K312) / SQRT(COUNT(D312:K312))</f>
        <v>3.665387140632536E-2</v>
      </c>
      <c r="N312" s="2">
        <f>M312*$N$2</f>
        <v>4.102151477417261E-2</v>
      </c>
    </row>
    <row r="313" spans="2:14" x14ac:dyDescent="0.55000000000000004">
      <c r="C313" s="2" t="s">
        <v>27</v>
      </c>
      <c r="D313" s="2">
        <v>4.2700000000000002E-4</v>
      </c>
      <c r="E313" s="2">
        <v>2.2620000000000001E-3</v>
      </c>
      <c r="F313" s="2">
        <v>6.5499999999999998E-4</v>
      </c>
      <c r="G313" s="2">
        <v>2.1210000000000001E-3</v>
      </c>
      <c r="H313" s="2">
        <v>5.0600000000000005E-4</v>
      </c>
      <c r="I313" s="2">
        <v>1.0009999999999999E-3</v>
      </c>
      <c r="J313" s="2">
        <v>1.8890000000000001E-3</v>
      </c>
      <c r="K313" s="2">
        <v>4.2700000000000002E-4</v>
      </c>
      <c r="L313" s="2">
        <f>(1/COUNT(D313:K313))*SQRT(SUMSQ(D313:K313))</f>
        <v>4.8790569657465572E-4</v>
      </c>
    </row>
    <row r="314" spans="2:14" x14ac:dyDescent="0.55000000000000004">
      <c r="C314" s="2" t="s">
        <v>28</v>
      </c>
      <c r="D314" s="2">
        <v>3.2170550000000002</v>
      </c>
      <c r="E314" s="2">
        <v>2.71889</v>
      </c>
      <c r="F314" s="2">
        <v>2.4145159999999999</v>
      </c>
      <c r="G314" s="2">
        <v>3.674566</v>
      </c>
      <c r="H314" s="2">
        <v>1.8543609999999999</v>
      </c>
      <c r="I314" s="2">
        <v>4.0034450000000001</v>
      </c>
      <c r="J314" s="2">
        <v>3.4389280000000002</v>
      </c>
      <c r="K314" s="2">
        <v>3.2170550000000002</v>
      </c>
      <c r="L314" s="2">
        <f>AVERAGE(D314:K314)</f>
        <v>3.0673519999999996</v>
      </c>
      <c r="M314" s="2">
        <f xml:space="preserve"> _xlfn.STDEV.S(D314:K314) / SQRT(COUNT(D314:K314))</f>
        <v>0.24809407133830247</v>
      </c>
      <c r="N314" s="2">
        <f>M314*$N$2</f>
        <v>0.27765674463059664</v>
      </c>
    </row>
    <row r="315" spans="2:14" x14ac:dyDescent="0.55000000000000004">
      <c r="C315" s="2" t="s">
        <v>29</v>
      </c>
      <c r="D315" s="2">
        <v>4.2820000000000002E-3</v>
      </c>
      <c r="E315" s="2">
        <v>1.7926000000000001E-2</v>
      </c>
      <c r="F315" s="2">
        <v>6.2649999999999997E-3</v>
      </c>
      <c r="G315" s="2">
        <v>2.8486000000000001E-2</v>
      </c>
      <c r="H315" s="2">
        <v>4.2969999999999996E-3</v>
      </c>
      <c r="I315" s="2">
        <v>2.4105000000000001E-2</v>
      </c>
      <c r="J315" s="2">
        <v>2.0771999999999999E-2</v>
      </c>
      <c r="K315" s="2">
        <v>4.2820000000000002E-3</v>
      </c>
      <c r="L315" s="2">
        <f>(1/COUNT(D315:K315))*SQRT(SUMSQ(D315:K315))</f>
        <v>5.9156917428881467E-3</v>
      </c>
    </row>
    <row r="316" spans="2:14" x14ac:dyDescent="0.55000000000000004">
      <c r="C316" s="2" t="s">
        <v>30</v>
      </c>
      <c r="D316" s="2">
        <v>14.978979000000001</v>
      </c>
      <c r="E316" s="2">
        <v>16.266206</v>
      </c>
      <c r="F316" s="2">
        <v>13.973305999999999</v>
      </c>
      <c r="G316" s="2">
        <v>16.426490999999999</v>
      </c>
      <c r="H316" s="2">
        <v>11.553286</v>
      </c>
      <c r="I316" s="2">
        <v>16.919633999999999</v>
      </c>
      <c r="J316" s="2">
        <v>18.276824000000001</v>
      </c>
      <c r="K316" s="2">
        <v>14.978979000000001</v>
      </c>
      <c r="L316" s="2">
        <f>AVERAGE(D316:K316)</f>
        <v>15.421713125</v>
      </c>
      <c r="M316" s="2">
        <f xml:space="preserve"> _xlfn.STDEV.S(D316:K316) / SQRT(COUNT(D316:K316))</f>
        <v>0.7266951915838965</v>
      </c>
      <c r="N316" s="2">
        <f>M316*$N$2</f>
        <v>0.81328755719742807</v>
      </c>
    </row>
    <row r="317" spans="2:14" x14ac:dyDescent="0.55000000000000004">
      <c r="C317" s="2" t="s">
        <v>31</v>
      </c>
      <c r="D317" s="2">
        <v>1.8024999999999999E-2</v>
      </c>
      <c r="E317" s="2">
        <v>2.8441999999999999E-2</v>
      </c>
      <c r="F317" s="2">
        <v>1.7301E-2</v>
      </c>
      <c r="G317" s="2">
        <v>7.7785999999999994E-2</v>
      </c>
      <c r="H317" s="2">
        <v>2.2936000000000002E-2</v>
      </c>
      <c r="I317" s="2">
        <v>4.8021000000000001E-2</v>
      </c>
      <c r="J317" s="2">
        <v>5.1762000000000002E-2</v>
      </c>
      <c r="K317" s="2">
        <v>1.8024999999999999E-2</v>
      </c>
      <c r="L317" s="2">
        <f>(1/COUNT(D317:K317))*SQRT(SUMSQ(D317:K317))</f>
        <v>1.4426600968350098E-2</v>
      </c>
    </row>
    <row r="318" spans="2:14" x14ac:dyDescent="0.55000000000000004">
      <c r="B318" s="2" t="s">
        <v>45</v>
      </c>
      <c r="C318" s="2" t="s">
        <v>22</v>
      </c>
      <c r="D318" s="2">
        <v>0.82188399999999995</v>
      </c>
      <c r="E318" s="2">
        <v>0.87525699999999995</v>
      </c>
      <c r="F318" s="2">
        <v>0.71200600000000003</v>
      </c>
      <c r="G318" s="2">
        <v>0.85463900000000004</v>
      </c>
      <c r="H318" s="2">
        <v>0.83174599999999999</v>
      </c>
      <c r="I318" s="2">
        <v>0.85683200000000004</v>
      </c>
      <c r="J318" s="2">
        <v>0.88949</v>
      </c>
      <c r="K318" s="2">
        <v>0.740286</v>
      </c>
      <c r="L318" s="2">
        <f>AVERAGE(D318:K318)</f>
        <v>0.8227675000000001</v>
      </c>
      <c r="M318" s="2">
        <f xml:space="preserve"> _xlfn.STDEV.S(D318:K318) / SQRT(COUNT(D318:K318))</f>
        <v>2.2573658814771566E-2</v>
      </c>
      <c r="N318" s="2">
        <f>M318*$N$2</f>
        <v>2.5263516323066566E-2</v>
      </c>
    </row>
    <row r="319" spans="2:14" x14ac:dyDescent="0.55000000000000004">
      <c r="C319" s="2" t="s">
        <v>23</v>
      </c>
      <c r="D319" s="2">
        <v>2.7309999999999999E-3</v>
      </c>
      <c r="E319" s="2">
        <v>2.1329999999999999E-3</v>
      </c>
      <c r="F319" s="2">
        <v>4.071E-3</v>
      </c>
      <c r="G319" s="2">
        <v>6.4819999999999999E-3</v>
      </c>
      <c r="H319" s="2">
        <v>2.751E-3</v>
      </c>
      <c r="I319" s="2">
        <v>2.1879999999999998E-3</v>
      </c>
      <c r="J319" s="2">
        <v>1.0219999999999999E-3</v>
      </c>
      <c r="K319" s="2">
        <v>4.0140000000000002E-3</v>
      </c>
      <c r="L319" s="2">
        <f>(1/COUNT(D319:K319))*SQRT(SUMSQ(D319:K319))</f>
        <v>1.2506838129599344E-3</v>
      </c>
    </row>
    <row r="320" spans="2:14" x14ac:dyDescent="0.55000000000000004">
      <c r="C320" s="2" t="s">
        <v>24</v>
      </c>
      <c r="D320" s="2">
        <v>0.56659999999999999</v>
      </c>
      <c r="E320" s="2">
        <v>0.47132400000000002</v>
      </c>
      <c r="F320" s="2">
        <v>0.70464599999999999</v>
      </c>
      <c r="G320" s="2">
        <v>0.50902899999999995</v>
      </c>
      <c r="H320" s="2">
        <v>0.55545500000000003</v>
      </c>
      <c r="I320" s="2">
        <v>0.51732100000000003</v>
      </c>
      <c r="J320" s="2">
        <v>0.44638100000000003</v>
      </c>
      <c r="K320" s="2">
        <v>0.68181800000000004</v>
      </c>
      <c r="L320" s="2">
        <f>AVERAGE(D320:K320)</f>
        <v>0.55657175000000003</v>
      </c>
      <c r="M320" s="2">
        <f xml:space="preserve"> _xlfn.STDEV.S(D320:K320) / SQRT(COUNT(D320:K320))</f>
        <v>3.2983906871246686E-2</v>
      </c>
      <c r="N320" s="2">
        <f>M320*$N$2</f>
        <v>3.6914240463976844E-2</v>
      </c>
    </row>
    <row r="321" spans="2:14" x14ac:dyDescent="0.55000000000000004">
      <c r="C321" s="2" t="s">
        <v>25</v>
      </c>
      <c r="D321" s="2">
        <v>4.2170000000000003E-3</v>
      </c>
      <c r="E321" s="2">
        <v>4.0889999999999998E-3</v>
      </c>
      <c r="F321" s="2">
        <v>4.4250000000000001E-3</v>
      </c>
      <c r="G321" s="2">
        <v>1.0023000000000001E-2</v>
      </c>
      <c r="H321" s="2">
        <v>4.3550000000000004E-3</v>
      </c>
      <c r="I321" s="2">
        <v>3.5669999999999999E-3</v>
      </c>
      <c r="J321" s="2">
        <v>2.1029999999999998E-3</v>
      </c>
      <c r="K321" s="2">
        <v>4.7060000000000001E-3</v>
      </c>
      <c r="L321" s="2">
        <f>(1/COUNT(D321:K321))*SQRT(SUMSQ(D321:K321))</f>
        <v>1.8234699193776134E-3</v>
      </c>
    </row>
    <row r="322" spans="2:14" x14ac:dyDescent="0.55000000000000004">
      <c r="C322" s="2" t="s">
        <v>26</v>
      </c>
      <c r="D322" s="2">
        <v>0.46266499999999999</v>
      </c>
      <c r="E322" s="2">
        <v>0.56974100000000005</v>
      </c>
      <c r="F322" s="2">
        <v>0.43069400000000002</v>
      </c>
      <c r="G322" s="2">
        <v>0.51179200000000002</v>
      </c>
      <c r="H322" s="2">
        <v>0.49447200000000002</v>
      </c>
      <c r="I322" s="2">
        <v>0.36325800000000003</v>
      </c>
      <c r="J322" s="2">
        <v>0.52146099999999995</v>
      </c>
      <c r="K322" s="2">
        <v>0.30197499999999999</v>
      </c>
      <c r="L322" s="2">
        <f>AVERAGE(D322:K322)</f>
        <v>0.45700724999999998</v>
      </c>
      <c r="M322" s="2">
        <f xml:space="preserve"> _xlfn.STDEV.S(D322:K322) / SQRT(COUNT(D322:K322))</f>
        <v>3.1286829234719579E-2</v>
      </c>
      <c r="N322" s="2">
        <f>M322*$N$2</f>
        <v>3.5014940535519602E-2</v>
      </c>
    </row>
    <row r="323" spans="2:14" x14ac:dyDescent="0.55000000000000004">
      <c r="C323" s="2" t="s">
        <v>27</v>
      </c>
      <c r="D323" s="2">
        <v>4.8279999999999998E-3</v>
      </c>
      <c r="E323" s="2">
        <v>4.7419999999999997E-3</v>
      </c>
      <c r="F323" s="2">
        <v>2.2850000000000001E-3</v>
      </c>
      <c r="G323" s="2">
        <v>9.2910000000000006E-3</v>
      </c>
      <c r="H323" s="2">
        <v>2.7789999999999998E-3</v>
      </c>
      <c r="I323" s="2">
        <v>2.7169999999999998E-3</v>
      </c>
      <c r="J323" s="2">
        <v>2.3579999999999999E-3</v>
      </c>
      <c r="K323" s="2">
        <v>3.653E-3</v>
      </c>
      <c r="L323" s="2">
        <f>(1/COUNT(D323:K323))*SQRT(SUMSQ(D323:K323))</f>
        <v>1.6362569566315066E-3</v>
      </c>
    </row>
    <row r="324" spans="2:14" x14ac:dyDescent="0.55000000000000004">
      <c r="C324" s="2" t="s">
        <v>28</v>
      </c>
      <c r="D324" s="2">
        <v>2.9893049999999999</v>
      </c>
      <c r="E324" s="2">
        <v>2.79562</v>
      </c>
      <c r="F324" s="2">
        <v>2.5679759999999998</v>
      </c>
      <c r="G324" s="2">
        <v>3.5353059999999998</v>
      </c>
      <c r="H324" s="2">
        <v>1.7642439999999999</v>
      </c>
      <c r="I324" s="2">
        <v>4.5485499999999996</v>
      </c>
      <c r="J324" s="2">
        <v>2.9549240000000001</v>
      </c>
      <c r="K324" s="2">
        <v>2.9539439999999999</v>
      </c>
      <c r="L324" s="2">
        <f>AVERAGE(D324:K324)</f>
        <v>3.0137336249999995</v>
      </c>
      <c r="M324" s="2">
        <f xml:space="preserve"> _xlfn.STDEV.S(D324:K324) / SQRT(COUNT(D324:K324))</f>
        <v>0.28166681535801552</v>
      </c>
      <c r="N324" s="2">
        <f>M324*$N$2</f>
        <v>0.31522998756439791</v>
      </c>
    </row>
    <row r="325" spans="2:14" x14ac:dyDescent="0.55000000000000004">
      <c r="C325" s="2" t="s">
        <v>29</v>
      </c>
      <c r="D325" s="2">
        <v>7.0793999999999996E-2</v>
      </c>
      <c r="E325" s="2">
        <v>4.0190999999999998E-2</v>
      </c>
      <c r="F325" s="2">
        <v>2.1264000000000002E-2</v>
      </c>
      <c r="G325" s="2">
        <v>0.17063600000000001</v>
      </c>
      <c r="H325" s="2">
        <v>1.9764E-2</v>
      </c>
      <c r="I325" s="2">
        <v>8.3362000000000006E-2</v>
      </c>
      <c r="J325" s="2">
        <v>1.738E-2</v>
      </c>
      <c r="K325" s="2">
        <v>4.8003999999999998E-2</v>
      </c>
      <c r="L325" s="2">
        <f>(1/COUNT(D325:K325))*SQRT(SUMSQ(D325:K325))</f>
        <v>2.6850918357490587E-2</v>
      </c>
    </row>
    <row r="326" spans="2:14" x14ac:dyDescent="0.55000000000000004">
      <c r="C326" s="2" t="s">
        <v>30</v>
      </c>
      <c r="D326" s="2">
        <v>14.483304</v>
      </c>
      <c r="E326" s="2">
        <v>15.874955</v>
      </c>
      <c r="F326" s="2">
        <v>15.270488</v>
      </c>
      <c r="G326" s="2">
        <v>16.250326999999999</v>
      </c>
      <c r="H326" s="2">
        <v>10.967578</v>
      </c>
      <c r="I326" s="2">
        <v>17.945478000000001</v>
      </c>
      <c r="J326" s="2">
        <v>17.262362</v>
      </c>
      <c r="K326" s="2">
        <v>13.868212</v>
      </c>
      <c r="L326" s="2">
        <f>AVERAGE(D326:K326)</f>
        <v>15.240338000000001</v>
      </c>
      <c r="M326" s="2">
        <f xml:space="preserve"> _xlfn.STDEV.S(D326:K326) / SQRT(COUNT(D326:K326))</f>
        <v>0.77393241295576476</v>
      </c>
      <c r="N326" s="2">
        <f>M326*$N$2</f>
        <v>0.86615352469418094</v>
      </c>
    </row>
    <row r="327" spans="2:14" x14ac:dyDescent="0.55000000000000004">
      <c r="C327" s="2" t="s">
        <v>31</v>
      </c>
      <c r="D327" s="2">
        <v>0.191327</v>
      </c>
      <c r="E327" s="2">
        <v>7.8271999999999994E-2</v>
      </c>
      <c r="F327" s="2">
        <v>9.2888999999999999E-2</v>
      </c>
      <c r="G327" s="2">
        <v>0.26409700000000003</v>
      </c>
      <c r="H327" s="2">
        <v>5.7507999999999997E-2</v>
      </c>
      <c r="I327" s="2">
        <v>0.117199</v>
      </c>
      <c r="J327" s="2">
        <v>0.115649</v>
      </c>
      <c r="K327" s="2">
        <v>0.21981899999999999</v>
      </c>
      <c r="L327" s="2">
        <f>(1/COUNT(D327:K327))*SQRT(SUMSQ(D327:K327))</f>
        <v>5.588017010057101E-2</v>
      </c>
    </row>
    <row r="328" spans="2:14" x14ac:dyDescent="0.55000000000000004">
      <c r="B328" s="2" t="s">
        <v>46</v>
      </c>
      <c r="C328" s="2" t="s">
        <v>22</v>
      </c>
      <c r="L328" s="2" t="e">
        <f>AVERAGE(D328:K328)</f>
        <v>#DIV/0!</v>
      </c>
      <c r="M328" s="2" t="e">
        <f xml:space="preserve"> _xlfn.STDEV.S(D328:K328) / SQRT(COUNT(D328:K328))</f>
        <v>#DIV/0!</v>
      </c>
      <c r="N328" s="2" t="e">
        <f>M328*$N$2</f>
        <v>#DIV/0!</v>
      </c>
    </row>
    <row r="329" spans="2:14" x14ac:dyDescent="0.55000000000000004">
      <c r="C329" s="2" t="s">
        <v>23</v>
      </c>
      <c r="L329" s="2" t="e">
        <f>(1/COUNT(D329:K329))*SQRT(SUMSQ(D329:K329))</f>
        <v>#DIV/0!</v>
      </c>
    </row>
    <row r="330" spans="2:14" x14ac:dyDescent="0.55000000000000004">
      <c r="C330" s="2" t="s">
        <v>24</v>
      </c>
      <c r="L330" s="2" t="e">
        <f>AVERAGE(D330:K330)</f>
        <v>#DIV/0!</v>
      </c>
      <c r="M330" s="2" t="e">
        <f xml:space="preserve"> _xlfn.STDEV.S(D330:K330) / SQRT(COUNT(D330:K330))</f>
        <v>#DIV/0!</v>
      </c>
      <c r="N330" s="2" t="e">
        <f>M330*$N$2</f>
        <v>#DIV/0!</v>
      </c>
    </row>
    <row r="331" spans="2:14" x14ac:dyDescent="0.55000000000000004">
      <c r="C331" s="2" t="s">
        <v>25</v>
      </c>
      <c r="L331" s="2" t="e">
        <f>(1/COUNT(D331:K331))*SQRT(SUMSQ(D331:K331))</f>
        <v>#DIV/0!</v>
      </c>
    </row>
    <row r="332" spans="2:14" x14ac:dyDescent="0.55000000000000004">
      <c r="C332" s="2" t="s">
        <v>26</v>
      </c>
      <c r="L332" s="2" t="e">
        <f>AVERAGE(D332:K332)</f>
        <v>#DIV/0!</v>
      </c>
      <c r="M332" s="2" t="e">
        <f xml:space="preserve"> _xlfn.STDEV.S(D332:K332) / SQRT(COUNT(D332:K332))</f>
        <v>#DIV/0!</v>
      </c>
      <c r="N332" s="2" t="e">
        <f>M332*$N$2</f>
        <v>#DIV/0!</v>
      </c>
    </row>
    <row r="333" spans="2:14" x14ac:dyDescent="0.55000000000000004">
      <c r="C333" s="2" t="s">
        <v>27</v>
      </c>
      <c r="L333" s="2" t="e">
        <f>(1/COUNT(D333:K333))*SQRT(SUMSQ(D333:K333))</f>
        <v>#DIV/0!</v>
      </c>
    </row>
    <row r="334" spans="2:14" x14ac:dyDescent="0.55000000000000004">
      <c r="C334" s="2" t="s">
        <v>28</v>
      </c>
      <c r="L334" s="2" t="e">
        <f>AVERAGE(D334:K334)</f>
        <v>#DIV/0!</v>
      </c>
      <c r="M334" s="2" t="e">
        <f xml:space="preserve"> _xlfn.STDEV.S(D334:K334) / SQRT(COUNT(D334:K334))</f>
        <v>#DIV/0!</v>
      </c>
      <c r="N334" s="2" t="e">
        <f>M334*$N$2</f>
        <v>#DIV/0!</v>
      </c>
    </row>
    <row r="335" spans="2:14" x14ac:dyDescent="0.55000000000000004">
      <c r="C335" s="2" t="s">
        <v>29</v>
      </c>
      <c r="L335" s="2" t="e">
        <f>(1/COUNT(D335:K335))*SQRT(SUMSQ(D335:K335))</f>
        <v>#DIV/0!</v>
      </c>
    </row>
    <row r="336" spans="2:14" x14ac:dyDescent="0.55000000000000004">
      <c r="C336" s="2" t="s">
        <v>30</v>
      </c>
      <c r="L336" s="2" t="e">
        <f>AVERAGE(D336:K336)</f>
        <v>#DIV/0!</v>
      </c>
      <c r="M336" s="2" t="e">
        <f xml:space="preserve"> _xlfn.STDEV.S(D336:K336) / SQRT(COUNT(D336:K336))</f>
        <v>#DIV/0!</v>
      </c>
      <c r="N336" s="2" t="e">
        <f>M336*$N$2</f>
        <v>#DIV/0!</v>
      </c>
    </row>
    <row r="337" spans="2:14" x14ac:dyDescent="0.55000000000000004">
      <c r="C337" s="2" t="s">
        <v>31</v>
      </c>
      <c r="L337" s="2" t="e">
        <f>(1/COUNT(D337:K337))*SQRT(SUMSQ(D337:K337))</f>
        <v>#DIV/0!</v>
      </c>
    </row>
    <row r="338" spans="2:14" x14ac:dyDescent="0.55000000000000004">
      <c r="B338" s="2" t="s">
        <v>36</v>
      </c>
      <c r="C338" s="2" t="s">
        <v>22</v>
      </c>
      <c r="D338" s="2">
        <v>0.82533299999999998</v>
      </c>
      <c r="E338" s="2">
        <v>0.88176500000000002</v>
      </c>
      <c r="F338" s="2">
        <v>0.73208700000000004</v>
      </c>
      <c r="G338" s="2">
        <v>0.86153199999999996</v>
      </c>
      <c r="H338" s="2">
        <v>0.84038800000000002</v>
      </c>
      <c r="I338" s="2">
        <v>0.87836599999999998</v>
      </c>
      <c r="J338" s="2">
        <v>0.88931300000000002</v>
      </c>
      <c r="K338" s="2">
        <v>0.74773999999999996</v>
      </c>
      <c r="L338" s="2">
        <f>AVERAGE(D338:K338)</f>
        <v>0.83206550000000012</v>
      </c>
      <c r="M338" s="2">
        <f xml:space="preserve"> _xlfn.STDEV.S(D338:K338) / SQRT(COUNT(D338:K338))</f>
        <v>2.1539170486580949E-2</v>
      </c>
      <c r="N338" s="2">
        <f>M338*$N$2</f>
        <v>2.4105759267388751E-2</v>
      </c>
    </row>
    <row r="339" spans="2:14" x14ac:dyDescent="0.55000000000000004">
      <c r="C339" s="2" t="s">
        <v>24</v>
      </c>
      <c r="D339" s="2">
        <v>0.56470699999999996</v>
      </c>
      <c r="E339" s="2">
        <v>0.46809200000000001</v>
      </c>
      <c r="F339" s="2">
        <v>0.68039000000000005</v>
      </c>
      <c r="G339" s="2">
        <v>0.498608</v>
      </c>
      <c r="H339" s="2">
        <v>0.54264100000000004</v>
      </c>
      <c r="I339" s="2">
        <v>0.47906300000000002</v>
      </c>
      <c r="J339" s="2">
        <v>0.44836300000000001</v>
      </c>
      <c r="K339" s="2">
        <v>0.67383599999999999</v>
      </c>
      <c r="L339" s="2">
        <f t="shared" ref="L339:L356" si="9">AVERAGE(D339:K339)</f>
        <v>0.54446250000000007</v>
      </c>
      <c r="M339" s="2">
        <f t="shared" ref="M339:M355" si="10" xml:space="preserve"> _xlfn.STDEV.S(D339:K339) / SQRT(COUNT(D339:K339))</f>
        <v>3.1924644069500345E-2</v>
      </c>
      <c r="N339" s="2">
        <f t="shared" ref="N339:N355" si="11">M339*$N$2</f>
        <v>3.5728756830068792E-2</v>
      </c>
    </row>
    <row r="340" spans="2:14" x14ac:dyDescent="0.55000000000000004">
      <c r="C340" s="2" t="s">
        <v>26</v>
      </c>
      <c r="D340" s="2">
        <v>0.45801599999999998</v>
      </c>
      <c r="E340" s="2">
        <v>0.57746699999999995</v>
      </c>
      <c r="F340" s="2">
        <v>0.44644600000000001</v>
      </c>
      <c r="G340" s="2">
        <v>0.52722199999999997</v>
      </c>
      <c r="H340" s="2">
        <v>0.50352399999999997</v>
      </c>
      <c r="I340" s="2">
        <v>0.39252999999999999</v>
      </c>
      <c r="J340" s="2">
        <v>0.51964399999999999</v>
      </c>
      <c r="K340" s="2">
        <v>0.30730299999999999</v>
      </c>
      <c r="L340" s="2">
        <f t="shared" si="9"/>
        <v>0.46651900000000002</v>
      </c>
      <c r="M340" s="2">
        <f t="shared" si="10"/>
        <v>3.0321280150486431E-2</v>
      </c>
      <c r="N340" s="2">
        <f t="shared" si="11"/>
        <v>3.3934337464019124E-2</v>
      </c>
    </row>
    <row r="341" spans="2:14" x14ac:dyDescent="0.55000000000000004">
      <c r="C341" s="2" t="s">
        <v>28</v>
      </c>
      <c r="D341" s="2">
        <v>2.8266939999999998</v>
      </c>
      <c r="E341" s="2">
        <v>2.6904300000000001</v>
      </c>
      <c r="F341" s="2">
        <v>2.329072</v>
      </c>
      <c r="G341" s="2">
        <v>3.2752309999999998</v>
      </c>
      <c r="H341" s="2">
        <v>1.707597</v>
      </c>
      <c r="I341" s="2">
        <v>3.5339499999999999</v>
      </c>
      <c r="J341" s="2">
        <v>2.974332</v>
      </c>
      <c r="K341" s="2">
        <v>2.997741</v>
      </c>
      <c r="L341" s="2">
        <f t="shared" si="9"/>
        <v>2.7918808750000004</v>
      </c>
      <c r="M341" s="2">
        <f t="shared" si="10"/>
        <v>0.20094991130382531</v>
      </c>
      <c r="N341" s="2">
        <f t="shared" si="11"/>
        <v>0.22489492757908253</v>
      </c>
    </row>
    <row r="342" spans="2:14" x14ac:dyDescent="0.55000000000000004">
      <c r="C342" s="2" t="s">
        <v>30</v>
      </c>
      <c r="D342" s="2">
        <v>14.038243</v>
      </c>
      <c r="E342" s="2">
        <v>15.951117999999999</v>
      </c>
      <c r="F342" s="2">
        <v>13.410731999999999</v>
      </c>
      <c r="G342" s="2">
        <v>15.747373</v>
      </c>
      <c r="H342" s="2">
        <v>10.801220000000001</v>
      </c>
      <c r="I342" s="2">
        <v>16.193566000000001</v>
      </c>
      <c r="J342" s="2">
        <v>17.053056999999999</v>
      </c>
      <c r="K342" s="2">
        <v>14.253626000000001</v>
      </c>
      <c r="L342" s="2">
        <f t="shared" si="9"/>
        <v>14.681116874999999</v>
      </c>
      <c r="M342" s="2">
        <f t="shared" si="10"/>
        <v>0.70618340460394269</v>
      </c>
      <c r="N342" s="2">
        <f t="shared" si="11"/>
        <v>0.79033160355980892</v>
      </c>
    </row>
    <row r="343" spans="2:14" x14ac:dyDescent="0.55000000000000004">
      <c r="B343" s="2" t="s">
        <v>37</v>
      </c>
      <c r="C343" s="2" t="s">
        <v>22</v>
      </c>
      <c r="D343" s="2">
        <v>0.77619199999999999</v>
      </c>
      <c r="E343" s="2">
        <v>0.82486999999999999</v>
      </c>
      <c r="F343" s="2">
        <v>0.67313800000000001</v>
      </c>
      <c r="G343" s="2">
        <v>0.82361099999999998</v>
      </c>
      <c r="H343" s="2">
        <v>0.75975199999999998</v>
      </c>
      <c r="I343" s="2">
        <v>0.82342899999999997</v>
      </c>
      <c r="J343" s="2">
        <v>0.85416700000000001</v>
      </c>
      <c r="K343" s="2">
        <v>0.67510099999999995</v>
      </c>
      <c r="L343" s="2">
        <f t="shared" si="9"/>
        <v>0.77628249999999999</v>
      </c>
      <c r="M343" s="2">
        <f t="shared" si="10"/>
        <v>2.4654494415681232E-2</v>
      </c>
      <c r="N343" s="2">
        <f t="shared" si="11"/>
        <v>2.7592302480443923E-2</v>
      </c>
    </row>
    <row r="344" spans="2:14" x14ac:dyDescent="0.55000000000000004">
      <c r="C344" s="2" t="s">
        <v>24</v>
      </c>
      <c r="D344" s="2">
        <v>0.64157399999999998</v>
      </c>
      <c r="E344" s="2">
        <v>0.55468200000000001</v>
      </c>
      <c r="F344" s="2">
        <v>0.74724199999999996</v>
      </c>
      <c r="G344" s="2">
        <v>0.56542300000000001</v>
      </c>
      <c r="H344" s="2">
        <v>0.65709399999999996</v>
      </c>
      <c r="I344" s="2">
        <v>0.57430199999999998</v>
      </c>
      <c r="J344" s="2">
        <v>0.51005299999999998</v>
      </c>
      <c r="K344" s="2">
        <v>0.76163499999999995</v>
      </c>
      <c r="L344" s="2">
        <f t="shared" si="9"/>
        <v>0.62650062499999992</v>
      </c>
      <c r="M344" s="2">
        <f t="shared" si="10"/>
        <v>3.2507163266588181E-2</v>
      </c>
      <c r="N344" s="2">
        <f t="shared" si="11"/>
        <v>3.6380688506935377E-2</v>
      </c>
    </row>
    <row r="345" spans="2:14" x14ac:dyDescent="0.55000000000000004">
      <c r="C345" s="2" t="s">
        <v>26</v>
      </c>
      <c r="D345" s="2">
        <v>0.38436799999999999</v>
      </c>
      <c r="E345" s="2">
        <v>0.48819899999999999</v>
      </c>
      <c r="F345" s="2">
        <v>0.407082</v>
      </c>
      <c r="G345" s="2">
        <v>0.46464699999999998</v>
      </c>
      <c r="H345" s="2">
        <v>0.40328799999999998</v>
      </c>
      <c r="I345" s="2">
        <v>0.31634600000000002</v>
      </c>
      <c r="J345" s="2">
        <v>0.46123500000000001</v>
      </c>
      <c r="K345" s="2">
        <v>0.24652299999999999</v>
      </c>
      <c r="L345" s="2">
        <f t="shared" si="9"/>
        <v>0.39646100000000001</v>
      </c>
      <c r="M345" s="2">
        <f t="shared" si="10"/>
        <v>2.8805484846019993E-2</v>
      </c>
      <c r="N345" s="2">
        <f t="shared" si="11"/>
        <v>3.2237921312298218E-2</v>
      </c>
    </row>
    <row r="346" spans="2:14" x14ac:dyDescent="0.55000000000000004">
      <c r="C346" s="2" t="s">
        <v>28</v>
      </c>
      <c r="D346" s="2">
        <v>3.7308530000000002</v>
      </c>
      <c r="E346" s="2">
        <v>3.6695989999999998</v>
      </c>
      <c r="F346" s="2">
        <v>2.8615339999999998</v>
      </c>
      <c r="G346" s="2">
        <v>3.9694829999999999</v>
      </c>
      <c r="H346" s="2">
        <v>2.618185</v>
      </c>
      <c r="I346" s="2">
        <v>5.7641239999999998</v>
      </c>
      <c r="J346" s="2">
        <v>3.6926929999999998</v>
      </c>
      <c r="K346" s="2">
        <v>3.7616809999999998</v>
      </c>
      <c r="L346" s="2">
        <f t="shared" si="9"/>
        <v>3.7585189999999997</v>
      </c>
      <c r="M346" s="2">
        <f t="shared" si="10"/>
        <v>0.33233256207283224</v>
      </c>
      <c r="N346" s="2">
        <f t="shared" si="11"/>
        <v>0.37193302049552984</v>
      </c>
    </row>
    <row r="347" spans="2:14" x14ac:dyDescent="0.55000000000000004">
      <c r="C347" s="2" t="s">
        <v>30</v>
      </c>
      <c r="D347" s="2">
        <v>15.934134999999999</v>
      </c>
      <c r="E347" s="2">
        <v>17.887293</v>
      </c>
      <c r="F347" s="2">
        <v>16.938376000000002</v>
      </c>
      <c r="G347" s="2">
        <v>17.632318999999999</v>
      </c>
      <c r="H347" s="2">
        <v>15.170413999999999</v>
      </c>
      <c r="I347" s="2">
        <v>21.176196000000001</v>
      </c>
      <c r="J347" s="2">
        <v>19.178602999999999</v>
      </c>
      <c r="K347" s="2">
        <v>17.344788999999999</v>
      </c>
      <c r="L347" s="2">
        <f t="shared" si="9"/>
        <v>17.657765625</v>
      </c>
      <c r="M347" s="2">
        <f t="shared" si="10"/>
        <v>0.66169324746791902</v>
      </c>
      <c r="N347" s="2">
        <f t="shared" si="11"/>
        <v>0.74054003807879654</v>
      </c>
    </row>
    <row r="348" spans="2:14" x14ac:dyDescent="0.55000000000000004">
      <c r="B348" s="2" t="s">
        <v>39</v>
      </c>
      <c r="C348" s="2" t="s">
        <v>22</v>
      </c>
      <c r="D348" s="2">
        <v>0.84253400000000001</v>
      </c>
      <c r="E348" s="2">
        <v>0.90497499999999997</v>
      </c>
      <c r="F348" s="2">
        <v>0.75437799999999999</v>
      </c>
      <c r="G348" s="2">
        <v>0.82641600000000004</v>
      </c>
      <c r="H348" s="2">
        <v>0.84348800000000002</v>
      </c>
      <c r="I348" s="2">
        <v>0.87861299999999998</v>
      </c>
      <c r="J348" s="2">
        <v>0.89686299999999997</v>
      </c>
      <c r="K348" s="2">
        <v>0.72551100000000002</v>
      </c>
      <c r="L348" s="2">
        <f t="shared" si="9"/>
        <v>0.8340972499999999</v>
      </c>
      <c r="M348" s="2">
        <f t="shared" si="10"/>
        <v>2.2877525568424754E-2</v>
      </c>
      <c r="N348" s="2">
        <f t="shared" si="11"/>
        <v>2.5603591574223067E-2</v>
      </c>
    </row>
    <row r="349" spans="2:14" x14ac:dyDescent="0.55000000000000004">
      <c r="C349" s="2" t="s">
        <v>24</v>
      </c>
      <c r="D349" s="2">
        <v>0.53932100000000005</v>
      </c>
      <c r="E349" s="2">
        <v>0.42342800000000003</v>
      </c>
      <c r="F349" s="2">
        <v>0.65747999999999995</v>
      </c>
      <c r="G349" s="2">
        <v>0.56322499999999998</v>
      </c>
      <c r="H349" s="2">
        <v>0.53811500000000001</v>
      </c>
      <c r="I349" s="2">
        <v>0.48005500000000001</v>
      </c>
      <c r="J349" s="2">
        <v>0.43707000000000001</v>
      </c>
      <c r="K349" s="2">
        <v>0.69875600000000004</v>
      </c>
      <c r="L349" s="2">
        <f t="shared" si="9"/>
        <v>0.54218125000000006</v>
      </c>
      <c r="M349" s="2">
        <f t="shared" si="10"/>
        <v>3.4663533000294178E-2</v>
      </c>
      <c r="N349" s="2">
        <f t="shared" si="11"/>
        <v>3.8794009378534611E-2</v>
      </c>
    </row>
    <row r="350" spans="2:14" x14ac:dyDescent="0.55000000000000004">
      <c r="C350" s="2" t="s">
        <v>26</v>
      </c>
      <c r="D350" s="2">
        <v>0.489145</v>
      </c>
      <c r="E350" s="2">
        <v>0.62056699999999998</v>
      </c>
      <c r="F350" s="2">
        <v>0.45915400000000001</v>
      </c>
      <c r="G350" s="2">
        <v>0.46167900000000001</v>
      </c>
      <c r="H350" s="2">
        <v>0.50740600000000002</v>
      </c>
      <c r="I350" s="2">
        <v>0.39668700000000001</v>
      </c>
      <c r="J350" s="2">
        <v>0.533613</v>
      </c>
      <c r="K350" s="2">
        <v>0.29869800000000002</v>
      </c>
      <c r="L350" s="2">
        <f t="shared" si="9"/>
        <v>0.47086862499999999</v>
      </c>
      <c r="M350" s="2">
        <f t="shared" si="10"/>
        <v>3.36427621630873E-2</v>
      </c>
      <c r="N350" s="2">
        <f t="shared" si="11"/>
        <v>3.7651604378109459E-2</v>
      </c>
    </row>
    <row r="351" spans="2:14" x14ac:dyDescent="0.55000000000000004">
      <c r="C351" s="2" t="s">
        <v>28</v>
      </c>
      <c r="D351" s="2">
        <v>2.4853559999999999</v>
      </c>
      <c r="E351" s="2">
        <v>2.4289719999999999</v>
      </c>
      <c r="F351" s="2">
        <v>2.2611469999999998</v>
      </c>
      <c r="G351" s="2">
        <v>3.928115</v>
      </c>
      <c r="H351" s="2">
        <v>1.687427</v>
      </c>
      <c r="I351" s="2">
        <v>3.4374539999999998</v>
      </c>
      <c r="J351" s="2">
        <v>2.9325000000000001</v>
      </c>
      <c r="K351" s="2">
        <v>3.2522419999999999</v>
      </c>
      <c r="L351" s="2">
        <f t="shared" si="9"/>
        <v>2.8016516249999999</v>
      </c>
      <c r="M351" s="2">
        <f t="shared" si="10"/>
        <v>0.25585613174350114</v>
      </c>
      <c r="N351" s="2">
        <f t="shared" si="11"/>
        <v>0.28634372538796704</v>
      </c>
    </row>
    <row r="352" spans="2:14" x14ac:dyDescent="0.55000000000000004">
      <c r="C352" s="2" t="s">
        <v>30</v>
      </c>
      <c r="D352" s="2">
        <v>13.813919</v>
      </c>
      <c r="E352" s="2">
        <v>16.431342999999998</v>
      </c>
      <c r="F352" s="2">
        <v>13.58135</v>
      </c>
      <c r="G352" s="2">
        <v>17.049489999999999</v>
      </c>
      <c r="H352" s="2">
        <v>10.604127999999999</v>
      </c>
      <c r="I352" s="2">
        <v>15.77614</v>
      </c>
      <c r="J352" s="2">
        <v>18.103135999999999</v>
      </c>
      <c r="K352" s="2">
        <v>15.458432999999999</v>
      </c>
      <c r="L352" s="2">
        <f t="shared" si="9"/>
        <v>15.102242374999998</v>
      </c>
      <c r="M352" s="2">
        <f t="shared" si="10"/>
        <v>0.83826540470713762</v>
      </c>
      <c r="N352" s="2">
        <f t="shared" si="11"/>
        <v>0.93815237966752618</v>
      </c>
    </row>
    <row r="353" spans="1:14" x14ac:dyDescent="0.55000000000000004">
      <c r="B353" s="2" t="s">
        <v>61</v>
      </c>
      <c r="C353" s="2" t="s">
        <v>22</v>
      </c>
      <c r="D353" s="2">
        <v>0.769177</v>
      </c>
      <c r="E353" s="2">
        <v>0.80567800000000001</v>
      </c>
      <c r="F353" s="2">
        <v>0.66919600000000001</v>
      </c>
      <c r="G353" s="2">
        <v>0.82630499999999996</v>
      </c>
      <c r="H353" s="2">
        <v>0.73539399999999999</v>
      </c>
      <c r="I353" s="2">
        <v>0.80045599999999995</v>
      </c>
      <c r="J353" s="2">
        <v>0.85672800000000005</v>
      </c>
      <c r="K353" s="2">
        <v>0.68669400000000003</v>
      </c>
      <c r="L353" s="2">
        <f t="shared" si="9"/>
        <v>0.76870349999999998</v>
      </c>
      <c r="M353" s="2">
        <f t="shared" si="10"/>
        <v>2.3595788042723696E-2</v>
      </c>
      <c r="N353" s="2">
        <f t="shared" si="11"/>
        <v>2.6407441578894145E-2</v>
      </c>
    </row>
    <row r="354" spans="1:14" x14ac:dyDescent="0.55000000000000004">
      <c r="C354" s="2" t="s">
        <v>24</v>
      </c>
      <c r="D354" s="2">
        <v>0.67332700000000001</v>
      </c>
      <c r="E354" s="2">
        <v>0.59448199999999995</v>
      </c>
      <c r="F354" s="2">
        <v>0.79913000000000001</v>
      </c>
      <c r="G354" s="2">
        <v>0.53862399999999999</v>
      </c>
      <c r="H354" s="2">
        <v>0.713862</v>
      </c>
      <c r="I354" s="2">
        <v>0.62278599999999995</v>
      </c>
      <c r="J354" s="2">
        <v>0.51262600000000003</v>
      </c>
      <c r="K354" s="2">
        <v>0.77942900000000004</v>
      </c>
      <c r="L354" s="2">
        <f t="shared" si="9"/>
        <v>0.65428324999999998</v>
      </c>
      <c r="M354" s="2">
        <f t="shared" si="10"/>
        <v>3.7456268892035884E-2</v>
      </c>
      <c r="N354" s="2">
        <f t="shared" si="11"/>
        <v>4.1919525244879755E-2</v>
      </c>
    </row>
    <row r="355" spans="1:14" x14ac:dyDescent="0.55000000000000004">
      <c r="C355" s="2" t="s">
        <v>26</v>
      </c>
      <c r="D355" s="2">
        <v>0.41564200000000001</v>
      </c>
      <c r="E355" s="2">
        <v>0.50261400000000001</v>
      </c>
      <c r="F355" s="2">
        <v>0.43817800000000001</v>
      </c>
      <c r="G355" s="2">
        <v>0.517953</v>
      </c>
      <c r="H355" s="2">
        <v>0.39104899999999998</v>
      </c>
      <c r="I355" s="2">
        <v>0.32872200000000001</v>
      </c>
      <c r="J355" s="2">
        <v>0.49712600000000001</v>
      </c>
      <c r="K355" s="2">
        <v>0.25010700000000002</v>
      </c>
      <c r="L355" s="2">
        <f t="shared" si="9"/>
        <v>0.41767387500000003</v>
      </c>
      <c r="M355" s="2">
        <f t="shared" si="10"/>
        <v>3.2925211031668601E-2</v>
      </c>
      <c r="N355" s="2">
        <f t="shared" si="11"/>
        <v>3.6848550479316199E-2</v>
      </c>
    </row>
    <row r="356" spans="1:14" x14ac:dyDescent="0.55000000000000004">
      <c r="A356" s="2" t="s">
        <v>20</v>
      </c>
      <c r="B356" s="2" t="s">
        <v>21</v>
      </c>
      <c r="C356" s="2" t="s">
        <v>22</v>
      </c>
      <c r="D356" s="2">
        <v>0.854043</v>
      </c>
      <c r="E356" s="2">
        <v>0.90740500000000002</v>
      </c>
      <c r="F356" s="2">
        <v>0.75995699999999999</v>
      </c>
      <c r="G356" s="2">
        <v>0.84990900000000003</v>
      </c>
      <c r="H356" s="2">
        <v>0.84106700000000001</v>
      </c>
      <c r="I356" s="2">
        <v>0.87706600000000001</v>
      </c>
      <c r="J356" s="2">
        <v>0.887768</v>
      </c>
      <c r="K356" s="2">
        <v>0.74490100000000004</v>
      </c>
      <c r="L356" s="2">
        <f t="shared" si="9"/>
        <v>0.84026449999999997</v>
      </c>
      <c r="M356" s="2">
        <f xml:space="preserve"> _xlfn.STDEV.S(D356:K356) / SQRT(COUNT(D356:K356))</f>
        <v>2.0678568439674097E-2</v>
      </c>
      <c r="N356" s="2">
        <f>M356*$N$2</f>
        <v>2.3142608630706472E-2</v>
      </c>
    </row>
    <row r="357" spans="1:14" x14ac:dyDescent="0.55000000000000004">
      <c r="A357" s="2">
        <v>0.83299999999999996</v>
      </c>
      <c r="C357" s="2" t="s">
        <v>23</v>
      </c>
      <c r="D357" s="2">
        <v>5.4699999999999996E-4</v>
      </c>
      <c r="E357" s="2">
        <v>1.7409999999999999E-3</v>
      </c>
      <c r="F357" s="2">
        <v>6.4429999999999999E-3</v>
      </c>
      <c r="G357" s="2">
        <v>1.2260000000000001E-3</v>
      </c>
      <c r="H357" s="2">
        <v>6.5099999999999999E-4</v>
      </c>
      <c r="I357" s="2">
        <v>4.2400000000000001E-4</v>
      </c>
      <c r="J357" s="2">
        <v>8.2200000000000003E-4</v>
      </c>
      <c r="K357" s="2">
        <v>3.7399999999999998E-4</v>
      </c>
      <c r="L357" s="2">
        <f>(1/COUNT(D357:K357))*SQRT(SUMSQ(D357:K357))</f>
        <v>8.6390060192130904E-4</v>
      </c>
    </row>
    <row r="358" spans="1:14" x14ac:dyDescent="0.55000000000000004">
      <c r="C358" s="2" t="s">
        <v>24</v>
      </c>
      <c r="D358" s="2">
        <v>0.52179200000000003</v>
      </c>
      <c r="E358" s="2">
        <v>0.41739599999999999</v>
      </c>
      <c r="F358" s="2">
        <v>0.65098199999999995</v>
      </c>
      <c r="G358" s="2">
        <v>0.52598999999999996</v>
      </c>
      <c r="H358" s="2">
        <v>0.54193999999999998</v>
      </c>
      <c r="I358" s="2">
        <v>0.48259999999999997</v>
      </c>
      <c r="J358" s="2">
        <v>0.45157399999999998</v>
      </c>
      <c r="K358" s="2">
        <v>0.67826799999999998</v>
      </c>
      <c r="L358" s="2">
        <f>AVERAGE(D358:K358)</f>
        <v>0.53381774999999998</v>
      </c>
      <c r="M358" s="2">
        <f xml:space="preserve"> _xlfn.STDEV.S(D358:K358) / SQRT(COUNT(D358:K358))</f>
        <v>3.2128790961284598E-2</v>
      </c>
      <c r="N358" s="2">
        <f>M358*$N$2</f>
        <v>3.5957229687535744E-2</v>
      </c>
    </row>
    <row r="359" spans="1:14" x14ac:dyDescent="0.55000000000000004">
      <c r="C359" s="2" t="s">
        <v>25</v>
      </c>
      <c r="D359" s="2">
        <v>9.9799999999999997E-4</v>
      </c>
      <c r="E359" s="2">
        <v>3.9849999999999998E-3</v>
      </c>
      <c r="F359" s="2">
        <v>7.7710000000000001E-3</v>
      </c>
      <c r="G359" s="2">
        <v>2.029E-3</v>
      </c>
      <c r="H359" s="2">
        <v>1.0950000000000001E-3</v>
      </c>
      <c r="I359" s="2">
        <v>7.6800000000000002E-4</v>
      </c>
      <c r="J359" s="2">
        <v>1.6360000000000001E-3</v>
      </c>
      <c r="K359" s="2">
        <v>5.31E-4</v>
      </c>
      <c r="L359" s="2">
        <f>(1/COUNT(D359:K359))*SQRT(SUMSQ(D359:K359))</f>
        <v>1.1600701554755212E-3</v>
      </c>
    </row>
    <row r="360" spans="1:14" x14ac:dyDescent="0.55000000000000004">
      <c r="C360" s="2" t="s">
        <v>26</v>
      </c>
      <c r="D360" s="2">
        <v>0.50958099999999995</v>
      </c>
      <c r="E360" s="2">
        <v>0.62660199999999999</v>
      </c>
      <c r="F360" s="2">
        <v>0.462287</v>
      </c>
      <c r="G360" s="2">
        <v>0.493454</v>
      </c>
      <c r="H360" s="2">
        <v>0.50459900000000002</v>
      </c>
      <c r="I360" s="2">
        <v>0.390428</v>
      </c>
      <c r="J360" s="2">
        <v>0.51992099999999997</v>
      </c>
      <c r="K360" s="2">
        <v>0.31853999999999999</v>
      </c>
      <c r="L360" s="2">
        <f>AVERAGE(D360:K360)</f>
        <v>0.47817649999999995</v>
      </c>
      <c r="M360" s="2">
        <f xml:space="preserve"> _xlfn.STDEV.S(D360:K360) / SQRT(COUNT(D360:K360))</f>
        <v>3.2493574380725261E-2</v>
      </c>
      <c r="N360" s="2">
        <f>M360*$N$2</f>
        <v>3.6365480381277633E-2</v>
      </c>
    </row>
    <row r="361" spans="1:14" x14ac:dyDescent="0.55000000000000004">
      <c r="C361" s="2" t="s">
        <v>27</v>
      </c>
      <c r="D361" s="2">
        <v>1.0200000000000001E-3</v>
      </c>
      <c r="E361" s="2">
        <v>3.6840000000000002E-3</v>
      </c>
      <c r="F361" s="2">
        <v>4.6860000000000001E-3</v>
      </c>
      <c r="G361" s="2">
        <v>2.2109999999999999E-3</v>
      </c>
      <c r="H361" s="2">
        <v>6.5799999999999995E-4</v>
      </c>
      <c r="I361" s="2">
        <v>5.8299999999999997E-4</v>
      </c>
      <c r="J361" s="2">
        <v>1.7669999999999999E-3</v>
      </c>
      <c r="K361" s="2">
        <v>5.71E-4</v>
      </c>
      <c r="L361" s="2">
        <f>(1/COUNT(D361:K361))*SQRT(SUMSQ(D361:K361))</f>
        <v>8.4484240394288928E-4</v>
      </c>
    </row>
    <row r="362" spans="1:14" x14ac:dyDescent="0.55000000000000004">
      <c r="C362" s="2" t="s">
        <v>28</v>
      </c>
      <c r="D362" s="2">
        <v>2.239255</v>
      </c>
      <c r="E362" s="2">
        <v>2.3395109999999999</v>
      </c>
      <c r="F362" s="2">
        <v>2.3014130000000002</v>
      </c>
      <c r="G362" s="2">
        <v>3.6337769999999998</v>
      </c>
      <c r="H362" s="2">
        <v>1.7099519999999999</v>
      </c>
      <c r="I362" s="2">
        <v>3.311169</v>
      </c>
      <c r="J362" s="2">
        <v>3.094649</v>
      </c>
      <c r="K362" s="2">
        <v>2.7353139999999998</v>
      </c>
      <c r="L362" s="2">
        <f>AVERAGE(D362:K362)</f>
        <v>2.6706299999999996</v>
      </c>
      <c r="M362" s="2">
        <f xml:space="preserve"> _xlfn.STDEV.S(D362:K362) / SQRT(COUNT(D362:K362))</f>
        <v>0.22665526379386039</v>
      </c>
      <c r="N362" s="2">
        <f>M362*$N$2</f>
        <v>0.25366330746605181</v>
      </c>
    </row>
    <row r="363" spans="1:14" x14ac:dyDescent="0.55000000000000004">
      <c r="C363" s="2" t="s">
        <v>29</v>
      </c>
      <c r="D363" s="2">
        <v>9.7020000000000006E-3</v>
      </c>
      <c r="E363" s="2">
        <v>2.2689000000000001E-2</v>
      </c>
      <c r="F363" s="2">
        <v>3.3951000000000002E-2</v>
      </c>
      <c r="G363" s="2">
        <v>2.3852999999999999E-2</v>
      </c>
      <c r="H363" s="2">
        <v>4.849E-3</v>
      </c>
      <c r="I363" s="2">
        <v>1.0848999999999999E-2</v>
      </c>
      <c r="J363" s="2">
        <v>1.6330000000000001E-2</v>
      </c>
      <c r="K363" s="2">
        <v>4.9030000000000002E-3</v>
      </c>
      <c r="L363" s="2">
        <f>(1/COUNT(D363:K363))*SQRT(SUMSQ(D363:K363))</f>
        <v>6.5699094433447113E-3</v>
      </c>
    </row>
    <row r="364" spans="1:14" x14ac:dyDescent="0.55000000000000004">
      <c r="C364" s="2" t="s">
        <v>30</v>
      </c>
      <c r="D364" s="2">
        <v>13.743627999999999</v>
      </c>
      <c r="E364" s="2">
        <v>16.080518999999999</v>
      </c>
      <c r="F364" s="2">
        <v>14.906727</v>
      </c>
      <c r="G364" s="2">
        <v>16.479268999999999</v>
      </c>
      <c r="H364" s="2">
        <v>10.719599000000001</v>
      </c>
      <c r="I364" s="2">
        <v>15.680007</v>
      </c>
      <c r="J364" s="2">
        <v>18.317246999999998</v>
      </c>
      <c r="K364" s="2">
        <v>13.597751000000001</v>
      </c>
      <c r="L364" s="2">
        <f>AVERAGE(D364:K364)</f>
        <v>14.940593375000001</v>
      </c>
      <c r="M364" s="2">
        <f xml:space="preserve"> _xlfn.STDEV.S(D364:K364) / SQRT(COUNT(D364:K364))</f>
        <v>0.80920339487741966</v>
      </c>
      <c r="N364" s="2">
        <f>M364*$N$2</f>
        <v>0.9056273660780696</v>
      </c>
    </row>
    <row r="365" spans="1:14" x14ac:dyDescent="0.55000000000000004">
      <c r="C365" s="2" t="s">
        <v>31</v>
      </c>
      <c r="D365" s="2">
        <v>2.4923000000000001E-2</v>
      </c>
      <c r="E365" s="2">
        <v>1.4602E-2</v>
      </c>
      <c r="F365" s="2">
        <v>2.9444000000000001E-2</v>
      </c>
      <c r="G365" s="2">
        <v>5.3384000000000001E-2</v>
      </c>
      <c r="H365" s="2">
        <v>4.9453999999999998E-2</v>
      </c>
      <c r="I365" s="2">
        <v>2.3913E-2</v>
      </c>
      <c r="J365" s="2">
        <v>9.7839999999999993E-3</v>
      </c>
      <c r="K365" s="2">
        <v>3.4651000000000001E-2</v>
      </c>
      <c r="L365" s="2">
        <f>(1/COUNT(D365:K365))*SQRT(SUMSQ(D365:K365))</f>
        <v>1.1769347812086911E-2</v>
      </c>
    </row>
    <row r="366" spans="1:14" x14ac:dyDescent="0.55000000000000004">
      <c r="B366" s="2" t="s">
        <v>32</v>
      </c>
      <c r="C366" s="2" t="s">
        <v>22</v>
      </c>
      <c r="D366" s="2">
        <v>0.83445100000000005</v>
      </c>
      <c r="E366" s="2">
        <v>0.88296600000000003</v>
      </c>
      <c r="F366" s="2">
        <v>0.74904599999999999</v>
      </c>
      <c r="G366" s="2">
        <v>0.84716000000000002</v>
      </c>
      <c r="H366" s="2">
        <v>0.82976499999999997</v>
      </c>
      <c r="I366" s="2">
        <v>0.87328300000000003</v>
      </c>
      <c r="J366" s="2">
        <v>0.89135600000000004</v>
      </c>
      <c r="K366" s="2">
        <v>0.74435899999999999</v>
      </c>
      <c r="L366" s="2">
        <f>AVERAGE(D366:K366)</f>
        <v>0.83154824999999999</v>
      </c>
      <c r="M366" s="2">
        <f xml:space="preserve"> _xlfn.STDEV.S(D366:K366) / SQRT(COUNT(D366:K366))</f>
        <v>2.0100844234002786E-2</v>
      </c>
      <c r="N366" s="2">
        <f>M366*$N$2</f>
        <v>2.2496043312254108E-2</v>
      </c>
    </row>
    <row r="367" spans="1:14" x14ac:dyDescent="0.55000000000000004">
      <c r="C367" s="2" t="s">
        <v>23</v>
      </c>
      <c r="D367" s="2">
        <v>1.8090000000000001E-3</v>
      </c>
      <c r="E367" s="2">
        <v>4.0309999999999999E-3</v>
      </c>
      <c r="F367" s="2">
        <v>3.676E-3</v>
      </c>
      <c r="G367" s="2">
        <v>2.2989999999999998E-3</v>
      </c>
      <c r="H367" s="2">
        <v>7.7099999999999998E-4</v>
      </c>
      <c r="I367" s="2">
        <v>1.407E-3</v>
      </c>
      <c r="J367" s="2">
        <v>2.7190000000000001E-3</v>
      </c>
      <c r="K367" s="2">
        <v>5.2899999999999996E-4</v>
      </c>
      <c r="L367" s="2">
        <f>(1/COUNT(D367:K367))*SQRT(SUMSQ(D367:K367))</f>
        <v>8.7112275792508142E-4</v>
      </c>
    </row>
    <row r="368" spans="1:14" x14ac:dyDescent="0.55000000000000004">
      <c r="C368" s="2" t="s">
        <v>24</v>
      </c>
      <c r="D368" s="2">
        <v>0.55319399999999996</v>
      </c>
      <c r="E368" s="2">
        <v>0.46677600000000002</v>
      </c>
      <c r="F368" s="2">
        <v>0.66259500000000005</v>
      </c>
      <c r="G368" s="2">
        <v>0.53060200000000002</v>
      </c>
      <c r="H368" s="2">
        <v>0.55925100000000005</v>
      </c>
      <c r="I368" s="2">
        <v>0.48972399999999999</v>
      </c>
      <c r="J368" s="2">
        <v>0.44783099999999998</v>
      </c>
      <c r="K368" s="2">
        <v>0.67881100000000005</v>
      </c>
      <c r="L368" s="2">
        <f>AVERAGE(D368:K368)</f>
        <v>0.54859800000000003</v>
      </c>
      <c r="M368" s="2">
        <f xml:space="preserve"> _xlfn.STDEV.S(D368:K368) / SQRT(COUNT(D368:K368))</f>
        <v>3.0096328343931181E-2</v>
      </c>
      <c r="N368" s="2">
        <f>M368*$N$2</f>
        <v>3.3682580596271432E-2</v>
      </c>
    </row>
    <row r="369" spans="2:14" x14ac:dyDescent="0.55000000000000004">
      <c r="C369" s="2" t="s">
        <v>25</v>
      </c>
      <c r="D369" s="2">
        <v>2.5530000000000001E-3</v>
      </c>
      <c r="E369" s="2">
        <v>7.7689999999999999E-3</v>
      </c>
      <c r="F369" s="2">
        <v>4.0810000000000004E-3</v>
      </c>
      <c r="G369" s="2">
        <v>3.7130000000000002E-3</v>
      </c>
      <c r="H369" s="2">
        <v>1.083E-3</v>
      </c>
      <c r="I369" s="2">
        <v>2.565E-3</v>
      </c>
      <c r="J369" s="2">
        <v>5.091E-3</v>
      </c>
      <c r="K369" s="2">
        <v>6.8599999999999998E-4</v>
      </c>
      <c r="L369" s="2">
        <f>(1/COUNT(D369:K369))*SQRT(SUMSQ(D369:K369))</f>
        <v>1.4331842334030192E-3</v>
      </c>
    </row>
    <row r="370" spans="2:14" x14ac:dyDescent="0.55000000000000004">
      <c r="C370" s="2" t="s">
        <v>26</v>
      </c>
      <c r="D370" s="2">
        <v>0.48886200000000002</v>
      </c>
      <c r="E370" s="2">
        <v>0.57908999999999999</v>
      </c>
      <c r="F370" s="2">
        <v>0.45658500000000002</v>
      </c>
      <c r="G370" s="2">
        <v>0.49566700000000002</v>
      </c>
      <c r="H370" s="2">
        <v>0.49054300000000001</v>
      </c>
      <c r="I370" s="2">
        <v>0.38799800000000001</v>
      </c>
      <c r="J370" s="2">
        <v>0.521783</v>
      </c>
      <c r="K370" s="2">
        <v>0.31801499999999999</v>
      </c>
      <c r="L370" s="2">
        <f>AVERAGE(D370:K370)</f>
        <v>0.46731787500000005</v>
      </c>
      <c r="M370" s="2">
        <f xml:space="preserve"> _xlfn.STDEV.S(D370:K370) / SQRT(COUNT(D370:K370))</f>
        <v>2.8649629787210036E-2</v>
      </c>
      <c r="N370" s="2">
        <f>M370*$N$2</f>
        <v>3.2063494700529757E-2</v>
      </c>
    </row>
    <row r="371" spans="2:14" x14ac:dyDescent="0.55000000000000004">
      <c r="C371" s="2" t="s">
        <v>27</v>
      </c>
      <c r="D371" s="2">
        <v>2.7729999999999999E-3</v>
      </c>
      <c r="E371" s="2">
        <v>8.4600000000000005E-3</v>
      </c>
      <c r="F371" s="2">
        <v>2.421E-3</v>
      </c>
      <c r="G371" s="2">
        <v>4.7000000000000002E-3</v>
      </c>
      <c r="H371" s="2">
        <v>8.3199999999999995E-4</v>
      </c>
      <c r="I371" s="2">
        <v>2.3E-3</v>
      </c>
      <c r="J371" s="2">
        <v>5.1479999999999998E-3</v>
      </c>
      <c r="K371" s="2">
        <v>4.75E-4</v>
      </c>
      <c r="L371" s="2">
        <f>(1/COUNT(D371:K371))*SQRT(SUMSQ(D371:K371))</f>
        <v>1.4786085255655062E-3</v>
      </c>
    </row>
    <row r="372" spans="2:14" x14ac:dyDescent="0.55000000000000004">
      <c r="C372" s="2" t="s">
        <v>28</v>
      </c>
      <c r="D372" s="2">
        <v>2.6823070000000002</v>
      </c>
      <c r="E372" s="2">
        <v>2.7702049999999998</v>
      </c>
      <c r="F372" s="2">
        <v>2.3719420000000002</v>
      </c>
      <c r="G372" s="2">
        <v>3.5460479999999999</v>
      </c>
      <c r="H372" s="2">
        <v>1.8004640000000001</v>
      </c>
      <c r="I372" s="2">
        <v>3.6204559999999999</v>
      </c>
      <c r="J372" s="2">
        <v>3.033172</v>
      </c>
      <c r="K372" s="2">
        <v>2.7599420000000001</v>
      </c>
      <c r="L372" s="2">
        <f>AVERAGE(D372:K372)</f>
        <v>2.823067</v>
      </c>
      <c r="M372" s="2">
        <f xml:space="preserve"> _xlfn.STDEV.S(D372:K372) / SQRT(COUNT(D372:K372))</f>
        <v>0.21037797830036772</v>
      </c>
      <c r="N372" s="2">
        <f>M372*$N$2</f>
        <v>0.2354464348210655</v>
      </c>
    </row>
    <row r="373" spans="2:14" x14ac:dyDescent="0.55000000000000004">
      <c r="C373" s="2" t="s">
        <v>29</v>
      </c>
      <c r="D373" s="2">
        <v>5.1309E-2</v>
      </c>
      <c r="E373" s="2">
        <v>5.4961000000000003E-2</v>
      </c>
      <c r="F373" s="2">
        <v>2.3039E-2</v>
      </c>
      <c r="G373" s="2">
        <v>5.8882999999999998E-2</v>
      </c>
      <c r="H373" s="2">
        <v>6.5760000000000002E-3</v>
      </c>
      <c r="I373" s="2">
        <v>4.5696000000000001E-2</v>
      </c>
      <c r="J373" s="2">
        <v>4.7087999999999998E-2</v>
      </c>
      <c r="K373" s="2">
        <v>3.9919999999999999E-3</v>
      </c>
      <c r="L373" s="2">
        <f>(1/COUNT(D373:K373))*SQRT(SUMSQ(D373:K373))</f>
        <v>1.479860224185041E-2</v>
      </c>
    </row>
    <row r="374" spans="2:14" x14ac:dyDescent="0.55000000000000004">
      <c r="C374" s="2" t="s">
        <v>30</v>
      </c>
      <c r="D374" s="2">
        <v>15.744232</v>
      </c>
      <c r="E374" s="2">
        <v>16.942484</v>
      </c>
      <c r="F374" s="2">
        <v>14.889804</v>
      </c>
      <c r="G374" s="2">
        <v>16.677735999999999</v>
      </c>
      <c r="H374" s="2">
        <v>11.279491999999999</v>
      </c>
      <c r="I374" s="2">
        <v>16.378153999999999</v>
      </c>
      <c r="J374" s="2">
        <v>18.419772999999999</v>
      </c>
      <c r="K374" s="2">
        <v>13.574331000000001</v>
      </c>
      <c r="L374" s="2">
        <f>AVERAGE(D374:K374)</f>
        <v>15.488250749999999</v>
      </c>
      <c r="M374" s="2">
        <f xml:space="preserve"> _xlfn.STDEV.S(D374:K374) / SQRT(COUNT(D374:K374))</f>
        <v>0.78735343239299616</v>
      </c>
      <c r="N374" s="2">
        <f>M374*$N$2</f>
        <v>0.88117378110927369</v>
      </c>
    </row>
    <row r="375" spans="2:14" x14ac:dyDescent="0.55000000000000004">
      <c r="C375" s="2" t="s">
        <v>31</v>
      </c>
      <c r="D375" s="2">
        <v>6.4736000000000002E-2</v>
      </c>
      <c r="E375" s="2">
        <v>3.5009999999999999E-2</v>
      </c>
      <c r="F375" s="2">
        <v>5.2918E-2</v>
      </c>
      <c r="G375" s="2">
        <v>0.120828</v>
      </c>
      <c r="H375" s="2">
        <v>2.9454999999999999E-2</v>
      </c>
      <c r="I375" s="2">
        <v>6.9935999999999998E-2</v>
      </c>
      <c r="J375" s="2">
        <v>7.4376999999999999E-2</v>
      </c>
      <c r="K375" s="2">
        <v>2.2317E-2</v>
      </c>
      <c r="L375" s="2">
        <f>(1/COUNT(D375:K375))*SQRT(SUMSQ(D375:K375))</f>
        <v>2.3252956076526592E-2</v>
      </c>
    </row>
    <row r="376" spans="2:14" x14ac:dyDescent="0.55000000000000004">
      <c r="B376" s="2" t="s">
        <v>33</v>
      </c>
      <c r="C376" s="2" t="s">
        <v>22</v>
      </c>
      <c r="D376" s="2">
        <v>0.85466500000000001</v>
      </c>
      <c r="E376" s="2">
        <v>0.90707700000000002</v>
      </c>
      <c r="F376" s="2">
        <v>0.75053099999999995</v>
      </c>
      <c r="G376" s="2">
        <v>0.84661299999999995</v>
      </c>
      <c r="H376" s="2">
        <v>0.84083799999999997</v>
      </c>
      <c r="I376" s="2">
        <v>0.87721499999999997</v>
      </c>
      <c r="J376" s="2">
        <v>0.88242200000000004</v>
      </c>
      <c r="K376" s="2">
        <v>0.74662700000000004</v>
      </c>
      <c r="L376" s="2">
        <f>AVERAGE(D376:K376)</f>
        <v>0.83824849999999995</v>
      </c>
      <c r="M376" s="2">
        <f xml:space="preserve"> _xlfn.STDEV.S(D376:K376) / SQRT(COUNT(D376:K376))</f>
        <v>2.0977062110450889E-2</v>
      </c>
      <c r="N376" s="2">
        <f>M376*$N$2</f>
        <v>2.3476670547114411E-2</v>
      </c>
    </row>
    <row r="377" spans="2:14" x14ac:dyDescent="0.55000000000000004">
      <c r="C377" s="2" t="s">
        <v>23</v>
      </c>
      <c r="D377" s="2">
        <v>1.75E-4</v>
      </c>
      <c r="E377" s="2">
        <v>3.7500000000000001E-4</v>
      </c>
      <c r="F377" s="2">
        <v>4.0299999999999998E-4</v>
      </c>
      <c r="G377" s="2">
        <v>4.2000000000000002E-4</v>
      </c>
      <c r="H377" s="2">
        <v>2.1499999999999999E-4</v>
      </c>
      <c r="I377" s="2">
        <v>1.8799999999999999E-4</v>
      </c>
      <c r="J377" s="2">
        <v>3.57E-4</v>
      </c>
      <c r="K377" s="2">
        <v>1.5100000000000001E-4</v>
      </c>
      <c r="L377" s="2">
        <f>(1/COUNT(D377:K377))*SQRT(SUMSQ(D377:K377))</f>
        <v>1.0766542504444034E-4</v>
      </c>
    </row>
    <row r="378" spans="2:14" x14ac:dyDescent="0.55000000000000004">
      <c r="C378" s="2" t="s">
        <v>24</v>
      </c>
      <c r="D378" s="2">
        <v>0.52094799999999997</v>
      </c>
      <c r="E378" s="2">
        <v>0.41752699999999998</v>
      </c>
      <c r="F378" s="2">
        <v>0.66039800000000004</v>
      </c>
      <c r="G378" s="2">
        <v>0.53132100000000004</v>
      </c>
      <c r="H378" s="2">
        <v>0.54219200000000001</v>
      </c>
      <c r="I378" s="2">
        <v>0.48224600000000001</v>
      </c>
      <c r="J378" s="2">
        <v>0.46148899999999998</v>
      </c>
      <c r="K378" s="2">
        <v>0.67585799999999996</v>
      </c>
      <c r="L378" s="2">
        <f>AVERAGE(D378:K378)</f>
        <v>0.53649737499999994</v>
      </c>
      <c r="M378" s="2">
        <f xml:space="preserve"> _xlfn.STDEV.S(D378:K378) / SQRT(COUNT(D378:K378))</f>
        <v>3.2126194665911961E-2</v>
      </c>
      <c r="N378" s="2">
        <f>M378*$N$2</f>
        <v>3.5954324019869532E-2</v>
      </c>
    </row>
    <row r="379" spans="2:14" x14ac:dyDescent="0.55000000000000004">
      <c r="C379" s="2" t="s">
        <v>25</v>
      </c>
      <c r="D379" s="2">
        <v>2.8699999999999998E-4</v>
      </c>
      <c r="E379" s="2">
        <v>8.3100000000000003E-4</v>
      </c>
      <c r="F379" s="2">
        <v>4.55E-4</v>
      </c>
      <c r="G379" s="2">
        <v>6.9800000000000005E-4</v>
      </c>
      <c r="H379" s="2">
        <v>3.4699999999999998E-4</v>
      </c>
      <c r="I379" s="2">
        <v>3.6000000000000002E-4</v>
      </c>
      <c r="J379" s="2">
        <v>6.0300000000000002E-4</v>
      </c>
      <c r="K379" s="2">
        <v>1.8100000000000001E-4</v>
      </c>
      <c r="L379" s="2">
        <f>(1/COUNT(D379:K379))*SQRT(SUMSQ(D379:K379))</f>
        <v>1.8172515304712224E-4</v>
      </c>
    </row>
    <row r="380" spans="2:14" x14ac:dyDescent="0.55000000000000004">
      <c r="C380" s="2" t="s">
        <v>26</v>
      </c>
      <c r="D380" s="2">
        <v>0.51058499999999996</v>
      </c>
      <c r="E380" s="2">
        <v>0.62550300000000003</v>
      </c>
      <c r="F380" s="2">
        <v>0.459648</v>
      </c>
      <c r="G380" s="2">
        <v>0.48834499999999997</v>
      </c>
      <c r="H380" s="2">
        <v>0.50469299999999995</v>
      </c>
      <c r="I380" s="2">
        <v>0.39079399999999997</v>
      </c>
      <c r="J380" s="2">
        <v>0.50962499999999999</v>
      </c>
      <c r="K380" s="2">
        <v>0.32151800000000003</v>
      </c>
      <c r="L380" s="2">
        <f>AVERAGE(D380:K380)</f>
        <v>0.47633887500000005</v>
      </c>
      <c r="M380" s="2">
        <f xml:space="preserve"> _xlfn.STDEV.S(D380:K380) / SQRT(COUNT(D380:K380))</f>
        <v>3.1916413462935465E-2</v>
      </c>
      <c r="N380" s="2">
        <f>M380*$N$2</f>
        <v>3.5719545471599758E-2</v>
      </c>
    </row>
    <row r="381" spans="2:14" x14ac:dyDescent="0.55000000000000004">
      <c r="C381" s="2" t="s">
        <v>27</v>
      </c>
      <c r="D381" s="2">
        <v>3.39E-4</v>
      </c>
      <c r="E381" s="2">
        <v>8.43E-4</v>
      </c>
      <c r="F381" s="2">
        <v>2.4899999999999998E-4</v>
      </c>
      <c r="G381" s="2">
        <v>7.9199999999999995E-4</v>
      </c>
      <c r="H381" s="2">
        <v>2.7399999999999999E-4</v>
      </c>
      <c r="I381" s="2">
        <v>3.1399999999999999E-4</v>
      </c>
      <c r="J381" s="2">
        <v>5.71E-4</v>
      </c>
      <c r="K381" s="2">
        <v>1.6200000000000001E-4</v>
      </c>
      <c r="L381" s="2">
        <f>(1/COUNT(D381:K381))*SQRT(SUMSQ(D381:K381))</f>
        <v>1.7857036428254268E-4</v>
      </c>
    </row>
    <row r="382" spans="2:14" x14ac:dyDescent="0.55000000000000004">
      <c r="C382" s="2" t="s">
        <v>28</v>
      </c>
      <c r="D382" s="2">
        <v>2.2312120000000002</v>
      </c>
      <c r="E382" s="2">
        <v>2.3418239999999999</v>
      </c>
      <c r="F382" s="2">
        <v>2.2923429999999998</v>
      </c>
      <c r="G382" s="2">
        <v>3.6986729999999999</v>
      </c>
      <c r="H382" s="2">
        <v>1.708426</v>
      </c>
      <c r="I382" s="2">
        <v>3.2949660000000001</v>
      </c>
      <c r="J382" s="2">
        <v>3.1988660000000002</v>
      </c>
      <c r="K382" s="2">
        <v>2.7050529999999999</v>
      </c>
      <c r="L382" s="2">
        <f>AVERAGE(D382:K382)</f>
        <v>2.683920375</v>
      </c>
      <c r="M382" s="2">
        <f xml:space="preserve"> _xlfn.STDEV.S(D382:K382) / SQRT(COUNT(D382:K382))</f>
        <v>0.23511441550467488</v>
      </c>
      <c r="N382" s="2">
        <f>M382*$N$2</f>
        <v>0.26313044432140348</v>
      </c>
    </row>
    <row r="383" spans="2:14" x14ac:dyDescent="0.55000000000000004">
      <c r="C383" s="2" t="s">
        <v>29</v>
      </c>
      <c r="D383" s="2">
        <v>3.424E-3</v>
      </c>
      <c r="E383" s="2">
        <v>5.241E-3</v>
      </c>
      <c r="F383" s="2">
        <v>2.4750000000000002E-3</v>
      </c>
      <c r="G383" s="2">
        <v>9.6360000000000005E-3</v>
      </c>
      <c r="H383" s="2">
        <v>2.153E-3</v>
      </c>
      <c r="I383" s="2">
        <v>5.143E-3</v>
      </c>
      <c r="J383" s="2">
        <v>7.0410000000000004E-3</v>
      </c>
      <c r="K383" s="2">
        <v>1.312E-3</v>
      </c>
      <c r="L383" s="2">
        <f>(1/COUNT(D383:K383))*SQRT(SUMSQ(D383:K383))</f>
        <v>1.8563777775886569E-3</v>
      </c>
    </row>
    <row r="384" spans="2:14" x14ac:dyDescent="0.55000000000000004">
      <c r="C384" s="2" t="s">
        <v>30</v>
      </c>
      <c r="D384" s="2">
        <v>13.763361</v>
      </c>
      <c r="E384" s="2">
        <v>16.056932</v>
      </c>
      <c r="F384" s="2">
        <v>13.967941</v>
      </c>
      <c r="G384" s="2">
        <v>16.640053000000002</v>
      </c>
      <c r="H384" s="2">
        <v>10.650382</v>
      </c>
      <c r="I384" s="2">
        <v>15.596097</v>
      </c>
      <c r="J384" s="2">
        <v>18.458428999999999</v>
      </c>
      <c r="K384" s="2">
        <v>13.45717</v>
      </c>
      <c r="L384" s="2">
        <f>AVERAGE(D384:K384)</f>
        <v>14.823795625000001</v>
      </c>
      <c r="M384" s="2">
        <f xml:space="preserve"> _xlfn.STDEV.S(D384:K384) / SQRT(COUNT(D384:K384))</f>
        <v>0.84270483916539651</v>
      </c>
      <c r="N384" s="2">
        <f>M384*$N$2</f>
        <v>0.94312081326624864</v>
      </c>
    </row>
    <row r="385" spans="2:14" x14ac:dyDescent="0.55000000000000004">
      <c r="C385" s="2" t="s">
        <v>31</v>
      </c>
      <c r="D385" s="2">
        <v>8.6990000000000001E-3</v>
      </c>
      <c r="E385" s="2">
        <v>6.2769999999999996E-3</v>
      </c>
      <c r="F385" s="2">
        <v>1.1637E-2</v>
      </c>
      <c r="G385" s="2">
        <v>3.1580999999999998E-2</v>
      </c>
      <c r="H385" s="2">
        <v>1.0585000000000001E-2</v>
      </c>
      <c r="I385" s="2">
        <v>8.567E-3</v>
      </c>
      <c r="J385" s="2">
        <v>1.2907999999999999E-2</v>
      </c>
      <c r="K385" s="2">
        <v>5.2230000000000002E-3</v>
      </c>
      <c r="L385" s="2">
        <f>(1/COUNT(D385:K385))*SQRT(SUMSQ(D385:K385))</f>
        <v>5.0422969824649357E-3</v>
      </c>
    </row>
    <row r="386" spans="2:14" x14ac:dyDescent="0.55000000000000004">
      <c r="B386" s="2" t="s">
        <v>34</v>
      </c>
      <c r="C386" s="2" t="s">
        <v>22</v>
      </c>
      <c r="D386" s="2">
        <v>0.82546200000000003</v>
      </c>
      <c r="E386" s="2">
        <v>0.89925100000000002</v>
      </c>
      <c r="F386" s="2">
        <v>0.75667499999999999</v>
      </c>
      <c r="G386" s="2">
        <v>0.84839100000000001</v>
      </c>
      <c r="H386" s="2">
        <v>0.82122899999999999</v>
      </c>
      <c r="I386" s="2">
        <v>0.87936099999999995</v>
      </c>
      <c r="J386" s="2">
        <v>0.89306200000000002</v>
      </c>
      <c r="K386" s="2">
        <v>0.74372400000000005</v>
      </c>
      <c r="L386" s="2">
        <f>AVERAGE(D386:K386)</f>
        <v>0.83339437500000013</v>
      </c>
      <c r="M386" s="2">
        <f xml:space="preserve"> _xlfn.STDEV.S(D386:K386) / SQRT(COUNT(D386:K386))</f>
        <v>2.0862092878795313E-2</v>
      </c>
      <c r="N386" s="2">
        <f>M386*$N$2</f>
        <v>2.334800168202638E-2</v>
      </c>
    </row>
    <row r="387" spans="2:14" x14ac:dyDescent="0.55000000000000004">
      <c r="C387" s="2" t="s">
        <v>23</v>
      </c>
      <c r="D387" s="2">
        <v>6.1279999999999998E-3</v>
      </c>
      <c r="E387" s="2">
        <v>1.4660000000000001E-3</v>
      </c>
      <c r="F387" s="2">
        <v>3.1329999999999999E-3</v>
      </c>
      <c r="G387" s="2">
        <v>2.173E-3</v>
      </c>
      <c r="H387" s="2">
        <v>1.4220000000000001E-3</v>
      </c>
      <c r="I387" s="2">
        <v>1.3860000000000001E-3</v>
      </c>
      <c r="J387" s="2">
        <v>3.14E-3</v>
      </c>
      <c r="K387" s="2">
        <v>5.6300000000000002E-4</v>
      </c>
      <c r="L387" s="2">
        <f>(1/COUNT(D387:K387))*SQRT(SUMSQ(D387:K387))</f>
        <v>1.0334923121992732E-3</v>
      </c>
    </row>
    <row r="388" spans="2:14" x14ac:dyDescent="0.55000000000000004">
      <c r="C388" s="2" t="s">
        <v>24</v>
      </c>
      <c r="D388" s="2">
        <v>0.56733999999999996</v>
      </c>
      <c r="E388" s="2">
        <v>0.43435200000000002</v>
      </c>
      <c r="F388" s="2">
        <v>0.653914</v>
      </c>
      <c r="G388" s="2">
        <v>0.52953099999999997</v>
      </c>
      <c r="H388" s="2">
        <v>0.57115800000000005</v>
      </c>
      <c r="I388" s="2">
        <v>0.47738399999999998</v>
      </c>
      <c r="J388" s="2">
        <v>0.44305099999999997</v>
      </c>
      <c r="K388" s="2">
        <v>0.67977600000000005</v>
      </c>
      <c r="L388" s="2">
        <f>AVERAGE(D388:K388)</f>
        <v>0.54456325000000005</v>
      </c>
      <c r="M388" s="2">
        <f xml:space="preserve"> _xlfn.STDEV.S(D388:K388) / SQRT(COUNT(D388:K388))</f>
        <v>3.2364114842318527E-2</v>
      </c>
      <c r="N388" s="2">
        <f>M388*$N$2</f>
        <v>3.6220594557116285E-2</v>
      </c>
    </row>
    <row r="389" spans="2:14" x14ac:dyDescent="0.55000000000000004">
      <c r="C389" s="2" t="s">
        <v>25</v>
      </c>
      <c r="D389" s="2">
        <v>8.8409999999999999E-3</v>
      </c>
      <c r="E389" s="2">
        <v>2.9260000000000002E-3</v>
      </c>
      <c r="F389" s="2">
        <v>3.6809999999999998E-3</v>
      </c>
      <c r="G389" s="2">
        <v>3.3990000000000001E-3</v>
      </c>
      <c r="H389" s="2">
        <v>2.0530000000000001E-3</v>
      </c>
      <c r="I389" s="2">
        <v>2.5920000000000001E-3</v>
      </c>
      <c r="J389" s="2">
        <v>5.8739999999999999E-3</v>
      </c>
      <c r="K389" s="2">
        <v>6.8800000000000003E-4</v>
      </c>
      <c r="L389" s="2">
        <f>(1/COUNT(D389:K389))*SQRT(SUMSQ(D389:K389))</f>
        <v>1.5699234256803737E-3</v>
      </c>
    </row>
    <row r="390" spans="2:14" x14ac:dyDescent="0.55000000000000004">
      <c r="C390" s="2" t="s">
        <v>26</v>
      </c>
      <c r="D390" s="2">
        <v>0.47113500000000003</v>
      </c>
      <c r="E390" s="2">
        <v>0.60931100000000005</v>
      </c>
      <c r="F390" s="2">
        <v>0.46277499999999999</v>
      </c>
      <c r="G390" s="2">
        <v>0.48105300000000001</v>
      </c>
      <c r="H390" s="2">
        <v>0.47989599999999999</v>
      </c>
      <c r="I390" s="2">
        <v>0.39575199999999999</v>
      </c>
      <c r="J390" s="2">
        <v>0.52709700000000004</v>
      </c>
      <c r="K390" s="2">
        <v>0.31627499999999997</v>
      </c>
      <c r="L390" s="2">
        <f>AVERAGE(D390:K390)</f>
        <v>0.46791175000000002</v>
      </c>
      <c r="M390" s="2">
        <f xml:space="preserve"> _xlfn.STDEV.S(D390:K390) / SQRT(COUNT(D390:K390))</f>
        <v>3.0487253024097737E-2</v>
      </c>
      <c r="N390" s="2">
        <f>M390*$N$2</f>
        <v>3.4120087520581578E-2</v>
      </c>
    </row>
    <row r="391" spans="2:14" x14ac:dyDescent="0.55000000000000004">
      <c r="C391" s="2" t="s">
        <v>27</v>
      </c>
      <c r="D391" s="2">
        <v>1.0208E-2</v>
      </c>
      <c r="E391" s="2">
        <v>3.0569999999999998E-3</v>
      </c>
      <c r="F391" s="2">
        <v>2.2529999999999998E-3</v>
      </c>
      <c r="G391" s="2">
        <v>3.4749999999999998E-3</v>
      </c>
      <c r="H391" s="2">
        <v>1.642E-3</v>
      </c>
      <c r="I391" s="2">
        <v>2.4120000000000001E-3</v>
      </c>
      <c r="J391" s="2">
        <v>5.8939999999999999E-3</v>
      </c>
      <c r="K391" s="2">
        <v>6.8599999999999998E-4</v>
      </c>
      <c r="L391" s="2">
        <f>(1/COUNT(D391:K391))*SQRT(SUMSQ(D391:K391))</f>
        <v>1.6508704474836903E-3</v>
      </c>
    </row>
    <row r="392" spans="2:14" x14ac:dyDescent="0.55000000000000004">
      <c r="C392" s="2" t="s">
        <v>28</v>
      </c>
      <c r="D392" s="2">
        <v>2.827153</v>
      </c>
      <c r="E392" s="2">
        <v>2.4496419999999999</v>
      </c>
      <c r="F392" s="2">
        <v>2.2608480000000002</v>
      </c>
      <c r="G392" s="2">
        <v>3.672148</v>
      </c>
      <c r="H392" s="2">
        <v>1.907022</v>
      </c>
      <c r="I392" s="2">
        <v>3.3646470000000002</v>
      </c>
      <c r="J392" s="2">
        <v>3.000343</v>
      </c>
      <c r="K392" s="2">
        <v>2.758883</v>
      </c>
      <c r="L392" s="2">
        <f>AVERAGE(D392:K392)</f>
        <v>2.78008575</v>
      </c>
      <c r="M392" s="2">
        <f xml:space="preserve"> _xlfn.STDEV.S(D392:K392) / SQRT(COUNT(D392:K392))</f>
        <v>0.20396543282885587</v>
      </c>
      <c r="N392" s="2">
        <f>M392*$N$2</f>
        <v>0.22826977602059068</v>
      </c>
    </row>
    <row r="393" spans="2:14" x14ac:dyDescent="0.55000000000000004">
      <c r="C393" s="2" t="s">
        <v>29</v>
      </c>
      <c r="D393" s="2">
        <v>0.14342299999999999</v>
      </c>
      <c r="E393" s="2">
        <v>1.9102000000000001E-2</v>
      </c>
      <c r="F393" s="2">
        <v>1.8208999999999999E-2</v>
      </c>
      <c r="G393" s="2">
        <v>5.0303E-2</v>
      </c>
      <c r="H393" s="2">
        <v>1.3315E-2</v>
      </c>
      <c r="I393" s="2">
        <v>5.2225000000000001E-2</v>
      </c>
      <c r="J393" s="2">
        <v>5.5025999999999999E-2</v>
      </c>
      <c r="K393" s="2">
        <v>5.9820000000000003E-3</v>
      </c>
      <c r="L393" s="2">
        <f>(1/COUNT(D393:K393))*SQRT(SUMSQ(D393:K393))</f>
        <v>2.1565810496956168E-2</v>
      </c>
    </row>
    <row r="394" spans="2:14" x14ac:dyDescent="0.55000000000000004">
      <c r="C394" s="2" t="s">
        <v>30</v>
      </c>
      <c r="D394" s="2">
        <v>15.841585</v>
      </c>
      <c r="E394" s="2">
        <v>16.225463999999999</v>
      </c>
      <c r="F394" s="2">
        <v>13.815693</v>
      </c>
      <c r="G394" s="2">
        <v>17.911339999999999</v>
      </c>
      <c r="H394" s="2">
        <v>11.812806</v>
      </c>
      <c r="I394" s="2">
        <v>15.977506999999999</v>
      </c>
      <c r="J394" s="2">
        <v>18.311171999999999</v>
      </c>
      <c r="K394" s="2">
        <v>13.576095</v>
      </c>
      <c r="L394" s="2">
        <f>AVERAGE(D394:K394)</f>
        <v>15.433957749999998</v>
      </c>
      <c r="M394" s="2">
        <f xml:space="preserve"> _xlfn.STDEV.S(D394:K394) / SQRT(COUNT(D394:K394))</f>
        <v>0.78702703886189018</v>
      </c>
      <c r="N394" s="2">
        <f>M394*$N$2</f>
        <v>0.88080849480949841</v>
      </c>
    </row>
    <row r="395" spans="2:14" x14ac:dyDescent="0.55000000000000004">
      <c r="C395" s="2" t="s">
        <v>31</v>
      </c>
      <c r="D395" s="2">
        <v>0.123978</v>
      </c>
      <c r="E395" s="2">
        <v>3.9101999999999998E-2</v>
      </c>
      <c r="F395" s="2">
        <v>5.5759999999999997E-2</v>
      </c>
      <c r="G395" s="2">
        <v>0.22862099999999999</v>
      </c>
      <c r="H395" s="2">
        <v>5.8784999999999997E-2</v>
      </c>
      <c r="I395" s="2">
        <v>8.7026999999999993E-2</v>
      </c>
      <c r="J395" s="2">
        <v>7.4490000000000001E-2</v>
      </c>
      <c r="K395" s="2">
        <v>2.2553E-2</v>
      </c>
      <c r="L395" s="2">
        <f>(1/COUNT(D395:K395))*SQRT(SUMSQ(D395:K395))</f>
        <v>3.736706081898869E-2</v>
      </c>
    </row>
    <row r="396" spans="2:14" x14ac:dyDescent="0.55000000000000004">
      <c r="B396" s="2" t="s">
        <v>35</v>
      </c>
      <c r="C396" s="2" t="s">
        <v>22</v>
      </c>
      <c r="D396" s="2">
        <v>0.722464</v>
      </c>
      <c r="E396" s="2">
        <v>0.87853700000000001</v>
      </c>
      <c r="F396" s="2">
        <v>0.72621199999999997</v>
      </c>
      <c r="G396" s="2">
        <v>0.83774300000000002</v>
      </c>
      <c r="H396" s="2">
        <v>0.81871099999999997</v>
      </c>
      <c r="I396" s="2">
        <v>0.860286</v>
      </c>
      <c r="J396" s="2">
        <v>0.86190699999999998</v>
      </c>
      <c r="K396" s="2">
        <v>0.722464</v>
      </c>
      <c r="L396" s="2">
        <f>AVERAGE(D396:K396)</f>
        <v>0.80354049999999999</v>
      </c>
      <c r="M396" s="2">
        <f xml:space="preserve"> _xlfn.STDEV.S(D396:K396) / SQRT(COUNT(D396:K396))</f>
        <v>2.4193278581782055E-2</v>
      </c>
      <c r="N396" s="2">
        <f>M396*$N$2</f>
        <v>2.7076128569790862E-2</v>
      </c>
    </row>
    <row r="397" spans="2:14" x14ac:dyDescent="0.55000000000000004">
      <c r="C397" s="2" t="s">
        <v>23</v>
      </c>
      <c r="D397" s="2">
        <v>4.8700000000000002E-4</v>
      </c>
      <c r="E397" s="2">
        <v>1.511E-3</v>
      </c>
      <c r="F397" s="2">
        <v>1.062E-3</v>
      </c>
      <c r="G397" s="2">
        <v>1.2570000000000001E-3</v>
      </c>
      <c r="H397" s="2">
        <v>7.9100000000000004E-4</v>
      </c>
      <c r="I397" s="2">
        <v>8.4800000000000001E-4</v>
      </c>
      <c r="J397" s="2">
        <v>9.4200000000000002E-4</v>
      </c>
      <c r="K397" s="2">
        <v>4.8700000000000002E-4</v>
      </c>
      <c r="L397" s="2">
        <f>(1/COUNT(D397:K397))*SQRT(SUMSQ(D397:K397))</f>
        <v>3.4680463250222018E-4</v>
      </c>
    </row>
    <row r="398" spans="2:14" x14ac:dyDescent="0.55000000000000004">
      <c r="C398" s="2" t="s">
        <v>24</v>
      </c>
      <c r="D398" s="2">
        <v>0.70603400000000005</v>
      </c>
      <c r="E398" s="2">
        <v>0.46922700000000001</v>
      </c>
      <c r="F398" s="2">
        <v>0.68712099999999998</v>
      </c>
      <c r="G398" s="2">
        <v>0.54573700000000003</v>
      </c>
      <c r="H398" s="2">
        <v>0.57520499999999997</v>
      </c>
      <c r="I398" s="2">
        <v>0.51371699999999998</v>
      </c>
      <c r="J398" s="2">
        <v>0.49568099999999998</v>
      </c>
      <c r="K398" s="2">
        <v>0.70603400000000005</v>
      </c>
      <c r="L398" s="2">
        <f>AVERAGE(D398:K398)</f>
        <v>0.58734450000000005</v>
      </c>
      <c r="M398" s="2">
        <f xml:space="preserve"> _xlfn.STDEV.S(D398:K398) / SQRT(COUNT(D398:K398))</f>
        <v>3.4791020517410134E-2</v>
      </c>
      <c r="N398" s="2">
        <f>M398*$N$2</f>
        <v>3.8936688197067054E-2</v>
      </c>
    </row>
    <row r="399" spans="2:14" x14ac:dyDescent="0.55000000000000004">
      <c r="C399" s="2" t="s">
        <v>25</v>
      </c>
      <c r="D399" s="2">
        <v>5.71E-4</v>
      </c>
      <c r="E399" s="2">
        <v>2.8839999999999998E-3</v>
      </c>
      <c r="F399" s="2">
        <v>1.1529999999999999E-3</v>
      </c>
      <c r="G399" s="2">
        <v>1.9910000000000001E-3</v>
      </c>
      <c r="H399" s="2">
        <v>1.1529999999999999E-3</v>
      </c>
      <c r="I399" s="2">
        <v>1.5020000000000001E-3</v>
      </c>
      <c r="J399" s="2">
        <v>1.632E-3</v>
      </c>
      <c r="K399" s="2">
        <v>5.71E-4</v>
      </c>
      <c r="L399" s="2">
        <f>(1/COUNT(D399:K399))*SQRT(SUMSQ(D399:K399))</f>
        <v>5.6612533119884331E-4</v>
      </c>
    </row>
    <row r="400" spans="2:14" x14ac:dyDescent="0.55000000000000004">
      <c r="C400" s="2" t="s">
        <v>26</v>
      </c>
      <c r="D400" s="2">
        <v>0.28531800000000002</v>
      </c>
      <c r="E400" s="2">
        <v>0.57195700000000005</v>
      </c>
      <c r="F400" s="2">
        <v>0.44420500000000002</v>
      </c>
      <c r="G400" s="2">
        <v>0.46867399999999998</v>
      </c>
      <c r="H400" s="2">
        <v>0.47725600000000001</v>
      </c>
      <c r="I400" s="2">
        <v>0.36278199999999999</v>
      </c>
      <c r="J400" s="2">
        <v>0.47257900000000003</v>
      </c>
      <c r="K400" s="2">
        <v>0.28531800000000002</v>
      </c>
      <c r="L400" s="2">
        <f>AVERAGE(D400:K400)</f>
        <v>0.42101112500000004</v>
      </c>
      <c r="M400" s="2">
        <f xml:space="preserve"> _xlfn.STDEV.S(D400:K400) / SQRT(COUNT(D400:K400))</f>
        <v>3.576534977881999E-2</v>
      </c>
      <c r="N400" s="2">
        <f>M400*$N$2</f>
        <v>4.002711768400348E-2</v>
      </c>
    </row>
    <row r="401" spans="2:14" x14ac:dyDescent="0.55000000000000004">
      <c r="C401" s="2" t="s">
        <v>27</v>
      </c>
      <c r="D401" s="2">
        <v>4.0200000000000001E-4</v>
      </c>
      <c r="E401" s="2">
        <v>3.032E-3</v>
      </c>
      <c r="F401" s="2">
        <v>6.8800000000000003E-4</v>
      </c>
      <c r="G401" s="2">
        <v>2.3869999999999998E-3</v>
      </c>
      <c r="H401" s="2">
        <v>8.7699999999999996E-4</v>
      </c>
      <c r="I401" s="2">
        <v>1.165E-3</v>
      </c>
      <c r="J401" s="2">
        <v>1.519E-3</v>
      </c>
      <c r="K401" s="2">
        <v>4.0200000000000001E-4</v>
      </c>
      <c r="L401" s="2">
        <f>(1/COUNT(D401:K401))*SQRT(SUMSQ(D401:K401))</f>
        <v>5.6070630681311225E-4</v>
      </c>
    </row>
    <row r="402" spans="2:14" x14ac:dyDescent="0.55000000000000004">
      <c r="C402" s="2" t="s">
        <v>28</v>
      </c>
      <c r="D402" s="2">
        <v>3.2146270000000001</v>
      </c>
      <c r="E402" s="2">
        <v>2.76186</v>
      </c>
      <c r="F402" s="2">
        <v>2.441919</v>
      </c>
      <c r="G402" s="2">
        <v>3.798098</v>
      </c>
      <c r="H402" s="2">
        <v>1.9221520000000001</v>
      </c>
      <c r="I402" s="2">
        <v>4.0787050000000002</v>
      </c>
      <c r="J402" s="2">
        <v>3.527876</v>
      </c>
      <c r="K402" s="2">
        <v>3.2146270000000001</v>
      </c>
      <c r="L402" s="2">
        <f>AVERAGE(D402:K402)</f>
        <v>3.119983</v>
      </c>
      <c r="M402" s="2">
        <f xml:space="preserve"> _xlfn.STDEV.S(D402:K402) / SQRT(COUNT(D402:K402))</f>
        <v>0.25305636989244717</v>
      </c>
      <c r="N402" s="2">
        <f>M402*$N$2</f>
        <v>0.2832103463551221</v>
      </c>
    </row>
    <row r="403" spans="2:14" x14ac:dyDescent="0.55000000000000004">
      <c r="C403" s="2" t="s">
        <v>29</v>
      </c>
      <c r="D403" s="2">
        <v>4.9300000000000004E-3</v>
      </c>
      <c r="E403" s="2">
        <v>2.1055999999999998E-2</v>
      </c>
      <c r="F403" s="2">
        <v>6.4209999999999996E-3</v>
      </c>
      <c r="G403" s="2">
        <v>2.9215000000000001E-2</v>
      </c>
      <c r="H403" s="2">
        <v>7.1650000000000004E-3</v>
      </c>
      <c r="I403" s="2">
        <v>2.4834999999999999E-2</v>
      </c>
      <c r="J403" s="2">
        <v>1.8785E-2</v>
      </c>
      <c r="K403" s="2">
        <v>4.9300000000000004E-3</v>
      </c>
      <c r="L403" s="2">
        <f>(1/COUNT(D403:K403))*SQRT(SUMSQ(D403:K403))</f>
        <v>6.1335413366280494E-3</v>
      </c>
    </row>
    <row r="404" spans="2:14" x14ac:dyDescent="0.55000000000000004">
      <c r="C404" s="2" t="s">
        <v>30</v>
      </c>
      <c r="D404" s="2">
        <v>14.974256</v>
      </c>
      <c r="E404" s="2">
        <v>16.305101000000001</v>
      </c>
      <c r="F404" s="2">
        <v>14.069718999999999</v>
      </c>
      <c r="G404" s="2">
        <v>16.657527999999999</v>
      </c>
      <c r="H404" s="2">
        <v>11.953407</v>
      </c>
      <c r="I404" s="2">
        <v>17.07489</v>
      </c>
      <c r="J404" s="2">
        <v>18.527906999999999</v>
      </c>
      <c r="K404" s="2">
        <v>14.974256</v>
      </c>
      <c r="L404" s="2">
        <f>AVERAGE(D404:K404)</f>
        <v>15.567132999999998</v>
      </c>
      <c r="M404" s="2">
        <f xml:space="preserve"> _xlfn.STDEV.S(D404:K404) / SQRT(COUNT(D404:K404))</f>
        <v>0.71685501672115703</v>
      </c>
      <c r="N404" s="2">
        <f>M404*$N$2</f>
        <v>0.80227483567512115</v>
      </c>
    </row>
    <row r="405" spans="2:14" x14ac:dyDescent="0.55000000000000004">
      <c r="C405" s="2" t="s">
        <v>31</v>
      </c>
      <c r="D405" s="2">
        <v>1.9973999999999999E-2</v>
      </c>
      <c r="E405" s="2">
        <v>2.8867E-2</v>
      </c>
      <c r="F405" s="2">
        <v>2.3872999999999998E-2</v>
      </c>
      <c r="G405" s="2">
        <v>7.1705000000000005E-2</v>
      </c>
      <c r="H405" s="2">
        <v>5.6978000000000001E-2</v>
      </c>
      <c r="I405" s="2">
        <v>4.7923E-2</v>
      </c>
      <c r="J405" s="2">
        <v>4.7456999999999999E-2</v>
      </c>
      <c r="K405" s="2">
        <v>1.9973999999999999E-2</v>
      </c>
      <c r="L405" s="2">
        <f>(1/COUNT(D405:K405))*SQRT(SUMSQ(D405:K405))</f>
        <v>1.5379585422423616E-2</v>
      </c>
    </row>
    <row r="406" spans="2:14" x14ac:dyDescent="0.55000000000000004">
      <c r="B406" s="2" t="s">
        <v>45</v>
      </c>
      <c r="C406" s="2" t="s">
        <v>22</v>
      </c>
      <c r="D406" s="2">
        <v>0.81081999999999999</v>
      </c>
      <c r="E406" s="2">
        <v>0.87065400000000004</v>
      </c>
      <c r="F406" s="2">
        <v>0.70096999999999998</v>
      </c>
      <c r="G406" s="2">
        <v>0.83816500000000005</v>
      </c>
      <c r="H406" s="2">
        <v>0.83030300000000001</v>
      </c>
      <c r="I406" s="2">
        <v>0.87394400000000005</v>
      </c>
      <c r="J406" s="2">
        <v>0.88305299999999998</v>
      </c>
      <c r="K406" s="2">
        <v>0.74181699999999995</v>
      </c>
      <c r="L406" s="2">
        <f>AVERAGE(D406:K406)</f>
        <v>0.81871575000000008</v>
      </c>
      <c r="M406" s="2">
        <f xml:space="preserve"> _xlfn.STDEV.S(D406:K406) / SQRT(COUNT(D406:K406))</f>
        <v>2.3237663047725846E-2</v>
      </c>
      <c r="N406" s="2">
        <f>M406*$N$2</f>
        <v>2.6006642721647936E-2</v>
      </c>
    </row>
    <row r="407" spans="2:14" x14ac:dyDescent="0.55000000000000004">
      <c r="C407" s="2" t="s">
        <v>23</v>
      </c>
      <c r="D407" s="2">
        <v>4.2690000000000002E-3</v>
      </c>
      <c r="E407" s="2">
        <v>2.4450000000000001E-3</v>
      </c>
      <c r="F407" s="2">
        <v>3.1939999999999998E-3</v>
      </c>
      <c r="G407" s="2">
        <v>7.1720000000000004E-3</v>
      </c>
      <c r="H407" s="2">
        <v>3.0209999999999998E-3</v>
      </c>
      <c r="I407" s="2">
        <v>9.6000000000000002E-4</v>
      </c>
      <c r="J407" s="2">
        <v>1.0039999999999999E-3</v>
      </c>
      <c r="K407" s="2">
        <v>2.4169999999999999E-3</v>
      </c>
      <c r="L407" s="2">
        <f>(1/COUNT(D407:K407))*SQRT(SUMSQ(D407:K407))</f>
        <v>1.2670065114276249E-3</v>
      </c>
    </row>
    <row r="408" spans="2:14" x14ac:dyDescent="0.55000000000000004">
      <c r="C408" s="2" t="s">
        <v>24</v>
      </c>
      <c r="D408" s="2">
        <v>0.583955</v>
      </c>
      <c r="E408" s="2">
        <v>0.481852</v>
      </c>
      <c r="F408" s="2">
        <v>0.71636500000000003</v>
      </c>
      <c r="G408" s="2">
        <v>0.535501</v>
      </c>
      <c r="H408" s="2">
        <v>0.55744899999999997</v>
      </c>
      <c r="I408" s="2">
        <v>0.48560199999999998</v>
      </c>
      <c r="J408" s="2">
        <v>0.45679900000000001</v>
      </c>
      <c r="K408" s="2">
        <v>0.68019300000000005</v>
      </c>
      <c r="L408" s="2">
        <f>AVERAGE(D408:K408)</f>
        <v>0.56221450000000006</v>
      </c>
      <c r="M408" s="2">
        <f xml:space="preserve"> _xlfn.STDEV.S(D408:K408) / SQRT(COUNT(D408:K408))</f>
        <v>3.336227224618489E-2</v>
      </c>
      <c r="N408" s="2">
        <f>M408*$N$2</f>
        <v>3.7337691527194808E-2</v>
      </c>
    </row>
    <row r="409" spans="2:14" x14ac:dyDescent="0.55000000000000004">
      <c r="C409" s="2" t="s">
        <v>25</v>
      </c>
      <c r="D409" s="2">
        <v>6.2899999999999996E-3</v>
      </c>
      <c r="E409" s="2">
        <v>4.607E-3</v>
      </c>
      <c r="F409" s="2">
        <v>3.5699999999999998E-3</v>
      </c>
      <c r="G409" s="2">
        <v>1.1889E-2</v>
      </c>
      <c r="H409" s="2">
        <v>4.4140000000000004E-3</v>
      </c>
      <c r="I409" s="2">
        <v>1.737E-3</v>
      </c>
      <c r="J409" s="2">
        <v>1.8450000000000001E-3</v>
      </c>
      <c r="K409" s="2">
        <v>2.5490000000000001E-3</v>
      </c>
      <c r="L409" s="2">
        <f>(1/COUNT(D409:K409))*SQRT(SUMSQ(D409:K409))</f>
        <v>1.9656573367769366E-3</v>
      </c>
    </row>
    <row r="410" spans="2:14" x14ac:dyDescent="0.55000000000000004">
      <c r="C410" s="2" t="s">
        <v>26</v>
      </c>
      <c r="D410" s="2">
        <v>0.44467899999999999</v>
      </c>
      <c r="E410" s="2">
        <v>0.55765699999999996</v>
      </c>
      <c r="F410" s="2">
        <v>0.42257800000000001</v>
      </c>
      <c r="G410" s="2">
        <v>0.48406300000000002</v>
      </c>
      <c r="H410" s="2">
        <v>0.49188100000000001</v>
      </c>
      <c r="I410" s="2">
        <v>0.38909100000000002</v>
      </c>
      <c r="J410" s="2">
        <v>0.51544500000000004</v>
      </c>
      <c r="K410" s="2">
        <v>0.30052800000000002</v>
      </c>
      <c r="L410" s="2">
        <f>AVERAGE(D410:K410)</f>
        <v>0.45074024999999995</v>
      </c>
      <c r="M410" s="2">
        <f xml:space="preserve"> _xlfn.STDEV.S(D410:K410) / SQRT(COUNT(D410:K410))</f>
        <v>2.8540405015615278E-2</v>
      </c>
      <c r="N410" s="2">
        <f>M410*$N$2</f>
        <v>3.1941254800356297E-2</v>
      </c>
    </row>
    <row r="411" spans="2:14" x14ac:dyDescent="0.55000000000000004">
      <c r="C411" s="2" t="s">
        <v>27</v>
      </c>
      <c r="D411" s="2">
        <v>6.9829999999999996E-3</v>
      </c>
      <c r="E411" s="2">
        <v>5.6249999999999998E-3</v>
      </c>
      <c r="F411" s="2">
        <v>1.6770000000000001E-3</v>
      </c>
      <c r="G411" s="2">
        <v>1.2418999999999999E-2</v>
      </c>
      <c r="H411" s="2">
        <v>3.3969999999999998E-3</v>
      </c>
      <c r="I411" s="2">
        <v>1.439E-3</v>
      </c>
      <c r="J411" s="2">
        <v>1.8810000000000001E-3</v>
      </c>
      <c r="K411" s="2">
        <v>1.851E-3</v>
      </c>
      <c r="L411" s="2">
        <f>(1/COUNT(D411:K411))*SQRT(SUMSQ(D411:K411))</f>
        <v>2.0078809414405029E-3</v>
      </c>
    </row>
    <row r="412" spans="2:14" x14ac:dyDescent="0.55000000000000004">
      <c r="C412" s="2" t="s">
        <v>28</v>
      </c>
      <c r="D412" s="2">
        <v>3.2597499999999999</v>
      </c>
      <c r="E412" s="2">
        <v>2.9474819999999999</v>
      </c>
      <c r="F412" s="2">
        <v>2.6461160000000001</v>
      </c>
      <c r="G412" s="2">
        <v>3.9434269999999998</v>
      </c>
      <c r="H412" s="2">
        <v>1.7895939999999999</v>
      </c>
      <c r="I412" s="2">
        <v>3.6952410000000002</v>
      </c>
      <c r="J412" s="2">
        <v>3.1603129999999999</v>
      </c>
      <c r="K412" s="2">
        <v>2.9777819999999999</v>
      </c>
      <c r="L412" s="2">
        <f>AVERAGE(D412:K412)</f>
        <v>3.0524631250000001</v>
      </c>
      <c r="M412" s="2">
        <f xml:space="preserve"> _xlfn.STDEV.S(D412:K412) / SQRT(COUNT(D412:K412))</f>
        <v>0.23292143782602714</v>
      </c>
      <c r="N412" s="2">
        <f>M412*$N$2</f>
        <v>0.2606761533340522</v>
      </c>
    </row>
    <row r="413" spans="2:14" x14ac:dyDescent="0.55000000000000004">
      <c r="C413" s="2" t="s">
        <v>29</v>
      </c>
      <c r="D413" s="2">
        <v>0.124103</v>
      </c>
      <c r="E413" s="2">
        <v>4.1404000000000003E-2</v>
      </c>
      <c r="F413" s="2">
        <v>2.5252E-2</v>
      </c>
      <c r="G413" s="2">
        <v>0.185588</v>
      </c>
      <c r="H413" s="2">
        <v>2.3328999999999999E-2</v>
      </c>
      <c r="I413" s="2">
        <v>2.9707999999999998E-2</v>
      </c>
      <c r="J413" s="2">
        <v>1.9178000000000001E-2</v>
      </c>
      <c r="K413" s="2">
        <v>2.6081E-2</v>
      </c>
      <c r="L413" s="2">
        <f>(1/COUNT(D413:K413))*SQRT(SUMSQ(D413:K413))</f>
        <v>2.9227351494094961E-2</v>
      </c>
    </row>
    <row r="414" spans="2:14" x14ac:dyDescent="0.55000000000000004">
      <c r="C414" s="2" t="s">
        <v>30</v>
      </c>
      <c r="D414" s="2">
        <v>14.901071999999999</v>
      </c>
      <c r="E414" s="2">
        <v>16.704968999999998</v>
      </c>
      <c r="F414" s="2">
        <v>15.445043999999999</v>
      </c>
      <c r="G414" s="2">
        <v>17.038433999999999</v>
      </c>
      <c r="H414" s="2">
        <v>11.122254</v>
      </c>
      <c r="I414" s="2">
        <v>16.290275000000001</v>
      </c>
      <c r="J414" s="2">
        <v>18.773539</v>
      </c>
      <c r="K414" s="2">
        <v>13.782011000000001</v>
      </c>
      <c r="L414" s="2">
        <f>AVERAGE(D414:K414)</f>
        <v>15.50719975</v>
      </c>
      <c r="M414" s="2">
        <f xml:space="preserve"> _xlfn.STDEV.S(D414:K414) / SQRT(COUNT(D414:K414))</f>
        <v>0.81980821023686856</v>
      </c>
      <c r="N414" s="2">
        <f>M414*$N$2</f>
        <v>0.9174958419921837</v>
      </c>
    </row>
    <row r="415" spans="2:14" x14ac:dyDescent="0.55000000000000004">
      <c r="C415" s="2" t="s">
        <v>31</v>
      </c>
      <c r="D415" s="2">
        <v>0.23342099999999999</v>
      </c>
      <c r="E415" s="2">
        <v>6.4411999999999997E-2</v>
      </c>
      <c r="F415" s="2">
        <v>0.192223</v>
      </c>
      <c r="G415" s="2">
        <v>0.26576100000000002</v>
      </c>
      <c r="H415" s="2">
        <v>7.0238999999999996E-2</v>
      </c>
      <c r="I415" s="2">
        <v>0.100448</v>
      </c>
      <c r="J415" s="2">
        <v>6.6248000000000001E-2</v>
      </c>
      <c r="K415" s="2">
        <v>0.109163</v>
      </c>
      <c r="L415" s="2">
        <f>(1/COUNT(D415:K415))*SQRT(SUMSQ(D415:K415))</f>
        <v>5.5557056219962958E-2</v>
      </c>
    </row>
    <row r="416" spans="2:14" x14ac:dyDescent="0.55000000000000004">
      <c r="B416" s="2" t="s">
        <v>46</v>
      </c>
      <c r="C416" s="2" t="s">
        <v>22</v>
      </c>
      <c r="L416" s="2" t="e">
        <f>AVERAGE(D416:K416)</f>
        <v>#DIV/0!</v>
      </c>
      <c r="M416" s="2" t="e">
        <f xml:space="preserve"> _xlfn.STDEV.S(D416:K416) / SQRT(COUNT(D416:K416))</f>
        <v>#DIV/0!</v>
      </c>
      <c r="N416" s="2" t="e">
        <f>M416*$N$2</f>
        <v>#DIV/0!</v>
      </c>
    </row>
    <row r="417" spans="2:14" x14ac:dyDescent="0.55000000000000004">
      <c r="C417" s="2" t="s">
        <v>23</v>
      </c>
      <c r="L417" s="2" t="e">
        <f>(1/COUNT(D417:K417))*SQRT(SUMSQ(D417:K417))</f>
        <v>#DIV/0!</v>
      </c>
    </row>
    <row r="418" spans="2:14" x14ac:dyDescent="0.55000000000000004">
      <c r="C418" s="2" t="s">
        <v>24</v>
      </c>
      <c r="L418" s="2" t="e">
        <f>AVERAGE(D418:K418)</f>
        <v>#DIV/0!</v>
      </c>
      <c r="M418" s="2" t="e">
        <f xml:space="preserve"> _xlfn.STDEV.S(D418:K418) / SQRT(COUNT(D418:K418))</f>
        <v>#DIV/0!</v>
      </c>
      <c r="N418" s="2" t="e">
        <f>M418*$N$2</f>
        <v>#DIV/0!</v>
      </c>
    </row>
    <row r="419" spans="2:14" x14ac:dyDescent="0.55000000000000004">
      <c r="C419" s="2" t="s">
        <v>25</v>
      </c>
      <c r="L419" s="2" t="e">
        <f>(1/COUNT(D419:K419))*SQRT(SUMSQ(D419:K419))</f>
        <v>#DIV/0!</v>
      </c>
    </row>
    <row r="420" spans="2:14" x14ac:dyDescent="0.55000000000000004">
      <c r="C420" s="2" t="s">
        <v>26</v>
      </c>
      <c r="L420" s="2" t="e">
        <f>AVERAGE(D420:K420)</f>
        <v>#DIV/0!</v>
      </c>
      <c r="M420" s="2" t="e">
        <f xml:space="preserve"> _xlfn.STDEV.S(D420:K420) / SQRT(COUNT(D420:K420))</f>
        <v>#DIV/0!</v>
      </c>
      <c r="N420" s="2" t="e">
        <f>M420*$N$2</f>
        <v>#DIV/0!</v>
      </c>
    </row>
    <row r="421" spans="2:14" x14ac:dyDescent="0.55000000000000004">
      <c r="C421" s="2" t="s">
        <v>27</v>
      </c>
      <c r="L421" s="2" t="e">
        <f>(1/COUNT(D421:K421))*SQRT(SUMSQ(D421:K421))</f>
        <v>#DIV/0!</v>
      </c>
    </row>
    <row r="422" spans="2:14" x14ac:dyDescent="0.55000000000000004">
      <c r="C422" s="2" t="s">
        <v>28</v>
      </c>
      <c r="L422" s="2" t="e">
        <f>AVERAGE(D422:K422)</f>
        <v>#DIV/0!</v>
      </c>
      <c r="M422" s="2" t="e">
        <f xml:space="preserve"> _xlfn.STDEV.S(D422:K422) / SQRT(COUNT(D422:K422))</f>
        <v>#DIV/0!</v>
      </c>
      <c r="N422" s="2" t="e">
        <f>M422*$N$2</f>
        <v>#DIV/0!</v>
      </c>
    </row>
    <row r="423" spans="2:14" x14ac:dyDescent="0.55000000000000004">
      <c r="C423" s="2" t="s">
        <v>29</v>
      </c>
      <c r="L423" s="2" t="e">
        <f>(1/COUNT(D423:K423))*SQRT(SUMSQ(D423:K423))</f>
        <v>#DIV/0!</v>
      </c>
    </row>
    <row r="424" spans="2:14" x14ac:dyDescent="0.55000000000000004">
      <c r="C424" s="2" t="s">
        <v>30</v>
      </c>
      <c r="L424" s="2" t="e">
        <f>AVERAGE(D424:K424)</f>
        <v>#DIV/0!</v>
      </c>
      <c r="M424" s="2" t="e">
        <f xml:space="preserve"> _xlfn.STDEV.S(D424:K424) / SQRT(COUNT(D424:K424))</f>
        <v>#DIV/0!</v>
      </c>
      <c r="N424" s="2" t="e">
        <f>M424*$N$2</f>
        <v>#DIV/0!</v>
      </c>
    </row>
    <row r="425" spans="2:14" x14ac:dyDescent="0.55000000000000004">
      <c r="C425" s="2" t="s">
        <v>31</v>
      </c>
      <c r="L425" s="2" t="e">
        <f>(1/COUNT(D425:K425))*SQRT(SUMSQ(D425:K425))</f>
        <v>#DIV/0!</v>
      </c>
    </row>
    <row r="426" spans="2:14" x14ac:dyDescent="0.55000000000000004">
      <c r="B426" s="2" t="s">
        <v>36</v>
      </c>
      <c r="C426" s="2" t="s">
        <v>22</v>
      </c>
      <c r="D426" s="2">
        <v>0.81187100000000001</v>
      </c>
      <c r="E426" s="2">
        <v>0.87121199999999999</v>
      </c>
      <c r="F426" s="2">
        <v>0.722557</v>
      </c>
      <c r="G426" s="2">
        <v>0.86700100000000002</v>
      </c>
      <c r="H426" s="2">
        <v>0.83476300000000003</v>
      </c>
      <c r="I426" s="2">
        <v>0.87029100000000004</v>
      </c>
      <c r="J426" s="2">
        <v>0.87451100000000004</v>
      </c>
      <c r="K426" s="2">
        <v>0.73998600000000003</v>
      </c>
      <c r="L426" s="2">
        <f>AVERAGE(D426:K426)</f>
        <v>0.82402399999999998</v>
      </c>
      <c r="M426" s="2">
        <f xml:space="preserve"> _xlfn.STDEV.S(D426:K426) / SQRT(COUNT(D426:K426))</f>
        <v>2.1705932942236258E-2</v>
      </c>
      <c r="N426" s="2">
        <f>M426*$N$2</f>
        <v>2.4292392991903347E-2</v>
      </c>
    </row>
    <row r="427" spans="2:14" x14ac:dyDescent="0.55000000000000004">
      <c r="C427" s="2" t="s">
        <v>24</v>
      </c>
      <c r="D427" s="2">
        <v>0.58504400000000001</v>
      </c>
      <c r="E427" s="2">
        <v>0.48660999999999999</v>
      </c>
      <c r="F427" s="2">
        <v>0.69069700000000001</v>
      </c>
      <c r="G427" s="2">
        <v>0.48914999999999997</v>
      </c>
      <c r="H427" s="2">
        <v>0.55120599999999997</v>
      </c>
      <c r="I427" s="2">
        <v>0.49390899999999999</v>
      </c>
      <c r="J427" s="2">
        <v>0.47369800000000001</v>
      </c>
      <c r="K427" s="2">
        <v>0.68296100000000004</v>
      </c>
      <c r="L427" s="2">
        <f t="shared" ref="L427:L444" si="12">AVERAGE(D427:K427)</f>
        <v>0.55665937500000007</v>
      </c>
      <c r="M427" s="2">
        <f t="shared" ref="M427:M443" si="13" xml:space="preserve"> _xlfn.STDEV.S(D427:K427) / SQRT(COUNT(D427:K427))</f>
        <v>3.1350051715574333E-2</v>
      </c>
      <c r="N427" s="2">
        <f t="shared" ref="N427:N443" si="14">M427*$N$2</f>
        <v>3.5085696552085856E-2</v>
      </c>
    </row>
    <row r="428" spans="2:14" x14ac:dyDescent="0.55000000000000004">
      <c r="C428" s="2" t="s">
        <v>26</v>
      </c>
      <c r="D428" s="2">
        <v>0.43833100000000003</v>
      </c>
      <c r="E428" s="2">
        <v>0.55777399999999999</v>
      </c>
      <c r="F428" s="2">
        <v>0.43962099999999998</v>
      </c>
      <c r="G428" s="2">
        <v>0.53109899999999999</v>
      </c>
      <c r="H428" s="2">
        <v>0.49596699999999999</v>
      </c>
      <c r="I428" s="2">
        <v>0.37975900000000001</v>
      </c>
      <c r="J428" s="2">
        <v>0.49639899999999998</v>
      </c>
      <c r="K428" s="2">
        <v>0.29809999999999998</v>
      </c>
      <c r="L428" s="2">
        <f t="shared" si="12"/>
        <v>0.45463124999999993</v>
      </c>
      <c r="M428" s="2">
        <f t="shared" si="13"/>
        <v>3.0040991232665366E-2</v>
      </c>
      <c r="N428" s="2">
        <f t="shared" si="14"/>
        <v>3.3620649563061149E-2</v>
      </c>
    </row>
    <row r="429" spans="2:14" x14ac:dyDescent="0.55000000000000004">
      <c r="C429" s="2" t="s">
        <v>28</v>
      </c>
      <c r="D429" s="2">
        <v>3.1613579999999999</v>
      </c>
      <c r="E429" s="2">
        <v>2.8733279999999999</v>
      </c>
      <c r="F429" s="2">
        <v>2.3927200000000002</v>
      </c>
      <c r="G429" s="2">
        <v>3.1632560000000001</v>
      </c>
      <c r="H429" s="2">
        <v>1.764996</v>
      </c>
      <c r="I429" s="2">
        <v>3.8026930000000001</v>
      </c>
      <c r="J429" s="2">
        <v>3.246191</v>
      </c>
      <c r="K429" s="2">
        <v>3.1284290000000001</v>
      </c>
      <c r="L429" s="2">
        <f t="shared" si="12"/>
        <v>2.941621375</v>
      </c>
      <c r="M429" s="2">
        <f t="shared" si="13"/>
        <v>0.21781849249251545</v>
      </c>
      <c r="N429" s="2">
        <f t="shared" si="14"/>
        <v>0.24377355419890989</v>
      </c>
    </row>
    <row r="430" spans="2:14" x14ac:dyDescent="0.55000000000000004">
      <c r="C430" s="2" t="s">
        <v>30</v>
      </c>
      <c r="D430" s="2">
        <v>14.642485000000001</v>
      </c>
      <c r="E430" s="2">
        <v>16.07666</v>
      </c>
      <c r="F430" s="2">
        <v>13.577131</v>
      </c>
      <c r="G430" s="2">
        <v>15.39776</v>
      </c>
      <c r="H430" s="2">
        <v>11.054641999999999</v>
      </c>
      <c r="I430" s="2">
        <v>16.256892000000001</v>
      </c>
      <c r="J430" s="2">
        <v>17.473042</v>
      </c>
      <c r="K430" s="2">
        <v>14.63771</v>
      </c>
      <c r="L430" s="2">
        <f t="shared" si="12"/>
        <v>14.88954025</v>
      </c>
      <c r="M430" s="2">
        <f t="shared" si="13"/>
        <v>0.69133656929269072</v>
      </c>
      <c r="N430" s="2">
        <f t="shared" si="14"/>
        <v>0.77371563229394347</v>
      </c>
    </row>
    <row r="431" spans="2:14" x14ac:dyDescent="0.55000000000000004">
      <c r="B431" s="2" t="s">
        <v>37</v>
      </c>
      <c r="C431" s="2" t="s">
        <v>22</v>
      </c>
      <c r="D431" s="2">
        <v>0.75998600000000005</v>
      </c>
      <c r="E431" s="2">
        <v>0.80556700000000003</v>
      </c>
      <c r="F431" s="2">
        <v>0.63791600000000004</v>
      </c>
      <c r="G431" s="2">
        <v>0.81290600000000002</v>
      </c>
      <c r="H431" s="2">
        <v>0.73717500000000002</v>
      </c>
      <c r="I431" s="2">
        <v>0.809033</v>
      </c>
      <c r="J431" s="2">
        <v>0.83707699999999996</v>
      </c>
      <c r="K431" s="2">
        <v>0.66100300000000001</v>
      </c>
      <c r="L431" s="2">
        <f t="shared" si="12"/>
        <v>0.75758287499999999</v>
      </c>
      <c r="M431" s="2">
        <f t="shared" si="13"/>
        <v>2.618602588175438E-2</v>
      </c>
      <c r="N431" s="2">
        <f t="shared" si="14"/>
        <v>2.9306329901072351E-2</v>
      </c>
    </row>
    <row r="432" spans="2:14" x14ac:dyDescent="0.55000000000000004">
      <c r="C432" s="2" t="s">
        <v>24</v>
      </c>
      <c r="D432" s="2">
        <v>0.66327100000000005</v>
      </c>
      <c r="E432" s="2">
        <v>0.58572500000000005</v>
      </c>
      <c r="F432" s="2">
        <v>0.78380499999999997</v>
      </c>
      <c r="G432" s="2">
        <v>0.58091599999999999</v>
      </c>
      <c r="H432" s="2">
        <v>0.68529700000000005</v>
      </c>
      <c r="I432" s="2">
        <v>0.59612500000000002</v>
      </c>
      <c r="J432" s="2">
        <v>0.53787399999999996</v>
      </c>
      <c r="K432" s="2">
        <v>0.77677499999999999</v>
      </c>
      <c r="L432" s="2">
        <f t="shared" si="12"/>
        <v>0.65122350000000007</v>
      </c>
      <c r="M432" s="2">
        <f t="shared" si="13"/>
        <v>3.266833626005454E-2</v>
      </c>
      <c r="N432" s="2">
        <f t="shared" si="14"/>
        <v>3.6561066733818579E-2</v>
      </c>
    </row>
    <row r="433" spans="1:14" x14ac:dyDescent="0.55000000000000004">
      <c r="C433" s="2" t="s">
        <v>26</v>
      </c>
      <c r="D433" s="2">
        <v>0.36224200000000001</v>
      </c>
      <c r="E433" s="2">
        <v>0.45494899999999999</v>
      </c>
      <c r="F433" s="2">
        <v>0.38602399999999998</v>
      </c>
      <c r="G433" s="2">
        <v>0.44829999999999998</v>
      </c>
      <c r="H433" s="2">
        <v>0.37989899999999999</v>
      </c>
      <c r="I433" s="2">
        <v>0.30006300000000002</v>
      </c>
      <c r="J433" s="2">
        <v>0.43410700000000002</v>
      </c>
      <c r="K433" s="2">
        <v>0.23524800000000001</v>
      </c>
      <c r="L433" s="2">
        <f t="shared" si="12"/>
        <v>0.37510399999999999</v>
      </c>
      <c r="M433" s="2">
        <f t="shared" si="13"/>
        <v>2.6963187316890222E-2</v>
      </c>
      <c r="N433" s="2">
        <f t="shared" si="14"/>
        <v>3.0176097215415046E-2</v>
      </c>
    </row>
    <row r="434" spans="1:14" x14ac:dyDescent="0.55000000000000004">
      <c r="C434" s="2" t="s">
        <v>28</v>
      </c>
      <c r="D434" s="2">
        <v>4.1383020000000004</v>
      </c>
      <c r="E434" s="2">
        <v>4.1538820000000003</v>
      </c>
      <c r="F434" s="2">
        <v>3.1213950000000001</v>
      </c>
      <c r="G434" s="2">
        <v>4.2063790000000001</v>
      </c>
      <c r="H434" s="2">
        <v>2.8919549999999998</v>
      </c>
      <c r="I434" s="2">
        <v>6.5582200000000004</v>
      </c>
      <c r="J434" s="2">
        <v>4.0564330000000002</v>
      </c>
      <c r="K434" s="2">
        <v>3.9364599999999998</v>
      </c>
      <c r="L434" s="2">
        <f t="shared" si="12"/>
        <v>4.1328782499999992</v>
      </c>
      <c r="M434" s="2">
        <f t="shared" si="13"/>
        <v>0.38949528746744716</v>
      </c>
      <c r="N434" s="2">
        <f t="shared" si="14"/>
        <v>0.43590720642292707</v>
      </c>
    </row>
    <row r="435" spans="1:14" x14ac:dyDescent="0.55000000000000004">
      <c r="C435" s="2" t="s">
        <v>30</v>
      </c>
      <c r="D435" s="2">
        <v>16.230281999999999</v>
      </c>
      <c r="E435" s="2">
        <v>18.063511999999999</v>
      </c>
      <c r="F435" s="2">
        <v>17.19238</v>
      </c>
      <c r="G435" s="2">
        <v>17.727741000000002</v>
      </c>
      <c r="H435" s="2">
        <v>16.117723000000002</v>
      </c>
      <c r="I435" s="2">
        <v>22.782720999999999</v>
      </c>
      <c r="J435" s="2">
        <v>19.168201</v>
      </c>
      <c r="K435" s="2">
        <v>18.019366999999999</v>
      </c>
      <c r="L435" s="2">
        <f t="shared" si="12"/>
        <v>18.162740874999997</v>
      </c>
      <c r="M435" s="2">
        <f t="shared" si="13"/>
        <v>0.74920063815237226</v>
      </c>
      <c r="N435" s="2">
        <f t="shared" si="14"/>
        <v>0.83847473316238663</v>
      </c>
    </row>
    <row r="436" spans="1:14" x14ac:dyDescent="0.55000000000000004">
      <c r="B436" s="2" t="s">
        <v>39</v>
      </c>
      <c r="C436" s="2" t="s">
        <v>22</v>
      </c>
      <c r="D436" s="2">
        <v>0.83873799999999998</v>
      </c>
      <c r="E436" s="2">
        <v>0.90588400000000002</v>
      </c>
      <c r="F436" s="2">
        <v>0.75278</v>
      </c>
      <c r="G436" s="2">
        <v>0.82092299999999996</v>
      </c>
      <c r="H436" s="2">
        <v>0.84024699999999997</v>
      </c>
      <c r="I436" s="2">
        <v>0.87587099999999996</v>
      </c>
      <c r="J436" s="2">
        <v>0.89526600000000001</v>
      </c>
      <c r="K436" s="2">
        <v>0.71493399999999996</v>
      </c>
      <c r="L436" s="2">
        <f t="shared" si="12"/>
        <v>0.83058037500000004</v>
      </c>
      <c r="M436" s="2">
        <f t="shared" si="13"/>
        <v>2.3749565601243489E-2</v>
      </c>
      <c r="N436" s="2">
        <f t="shared" si="14"/>
        <v>2.6579543137248696E-2</v>
      </c>
    </row>
    <row r="437" spans="1:14" x14ac:dyDescent="0.55000000000000004">
      <c r="C437" s="2" t="s">
        <v>24</v>
      </c>
      <c r="D437" s="2">
        <v>0.54508299999999998</v>
      </c>
      <c r="E437" s="2">
        <v>0.42141000000000001</v>
      </c>
      <c r="F437" s="2">
        <v>0.65941300000000003</v>
      </c>
      <c r="G437" s="2">
        <v>0.57116800000000001</v>
      </c>
      <c r="H437" s="2">
        <v>0.54341700000000004</v>
      </c>
      <c r="I437" s="2">
        <v>0.48516399999999998</v>
      </c>
      <c r="J437" s="2">
        <v>0.44022099999999997</v>
      </c>
      <c r="K437" s="2">
        <v>0.707681</v>
      </c>
      <c r="L437" s="2">
        <f t="shared" si="12"/>
        <v>0.5466946250000001</v>
      </c>
      <c r="M437" s="2">
        <f t="shared" si="13"/>
        <v>3.5368776367691118E-2</v>
      </c>
      <c r="N437" s="2">
        <f t="shared" si="14"/>
        <v>3.9583288930873199E-2</v>
      </c>
    </row>
    <row r="438" spans="1:14" x14ac:dyDescent="0.55000000000000004">
      <c r="C438" s="2" t="s">
        <v>26</v>
      </c>
      <c r="D438" s="2">
        <v>0.484788</v>
      </c>
      <c r="E438" s="2">
        <v>0.62254200000000004</v>
      </c>
      <c r="F438" s="2">
        <v>0.45814899999999997</v>
      </c>
      <c r="G438" s="2">
        <v>0.45253700000000002</v>
      </c>
      <c r="H438" s="2">
        <v>0.50298900000000002</v>
      </c>
      <c r="I438" s="2">
        <v>0.39214500000000002</v>
      </c>
      <c r="J438" s="2">
        <v>0.53050299999999995</v>
      </c>
      <c r="K438" s="2">
        <v>0.29323700000000003</v>
      </c>
      <c r="L438" s="2">
        <f t="shared" si="12"/>
        <v>0.46711125000000003</v>
      </c>
      <c r="M438" s="2">
        <f t="shared" si="13"/>
        <v>3.4309993491458503E-2</v>
      </c>
      <c r="N438" s="2">
        <f t="shared" si="14"/>
        <v>3.839834240998477E-2</v>
      </c>
    </row>
    <row r="439" spans="1:14" x14ac:dyDescent="0.55000000000000004">
      <c r="C439" s="2" t="s">
        <v>28</v>
      </c>
      <c r="D439" s="2">
        <v>2.5646339999999999</v>
      </c>
      <c r="E439" s="2">
        <v>2.417646</v>
      </c>
      <c r="F439" s="2">
        <v>2.2700399999999998</v>
      </c>
      <c r="G439" s="2">
        <v>4.0620960000000004</v>
      </c>
      <c r="H439" s="2">
        <v>1.720513</v>
      </c>
      <c r="I439" s="2">
        <v>3.5303309999999999</v>
      </c>
      <c r="J439" s="2">
        <v>2.9599850000000001</v>
      </c>
      <c r="K439" s="2">
        <v>3.6412040000000001</v>
      </c>
      <c r="L439" s="2">
        <f t="shared" si="12"/>
        <v>2.895806125</v>
      </c>
      <c r="M439" s="2">
        <f t="shared" si="13"/>
        <v>0.28138052729732899</v>
      </c>
      <c r="N439" s="2">
        <f t="shared" si="14"/>
        <v>0.3149095856679397</v>
      </c>
    </row>
    <row r="440" spans="1:14" x14ac:dyDescent="0.55000000000000004">
      <c r="C440" s="2" t="s">
        <v>30</v>
      </c>
      <c r="D440" s="2">
        <v>14.375158000000001</v>
      </c>
      <c r="E440" s="2">
        <v>16.432034000000002</v>
      </c>
      <c r="F440" s="2">
        <v>13.634993</v>
      </c>
      <c r="G440" s="2">
        <v>17.104521999999999</v>
      </c>
      <c r="H440" s="2">
        <v>10.683889000000001</v>
      </c>
      <c r="I440" s="2">
        <v>15.907745999999999</v>
      </c>
      <c r="J440" s="2">
        <v>18.144231000000001</v>
      </c>
      <c r="K440" s="2">
        <v>16.738226000000001</v>
      </c>
      <c r="L440" s="2">
        <f t="shared" si="12"/>
        <v>15.377599875</v>
      </c>
      <c r="M440" s="2">
        <f t="shared" si="13"/>
        <v>0.84465956486630289</v>
      </c>
      <c r="N440" s="2">
        <f t="shared" si="14"/>
        <v>0.94530846237786059</v>
      </c>
    </row>
    <row r="441" spans="1:14" x14ac:dyDescent="0.55000000000000004">
      <c r="B441" s="2" t="s">
        <v>61</v>
      </c>
      <c r="C441" s="2" t="s">
        <v>22</v>
      </c>
      <c r="D441" s="2">
        <v>0.75359299999999996</v>
      </c>
      <c r="E441" s="2">
        <v>0.78796200000000005</v>
      </c>
      <c r="F441" s="2">
        <v>0.62683</v>
      </c>
      <c r="G441" s="2">
        <v>0.81062999999999996</v>
      </c>
      <c r="H441" s="2">
        <v>0.69709299999999996</v>
      </c>
      <c r="I441" s="2">
        <v>0.78215599999999996</v>
      </c>
      <c r="J441" s="2">
        <v>0.83619900000000003</v>
      </c>
      <c r="K441" s="2">
        <v>0.64693999999999996</v>
      </c>
      <c r="L441" s="2">
        <f t="shared" si="12"/>
        <v>0.7426753749999998</v>
      </c>
      <c r="M441" s="2">
        <f t="shared" si="13"/>
        <v>2.7306611584230912E-2</v>
      </c>
      <c r="N441" s="2">
        <f t="shared" si="14"/>
        <v>3.0560443619110193E-2</v>
      </c>
    </row>
    <row r="442" spans="1:14" x14ac:dyDescent="0.55000000000000004">
      <c r="C442" s="2" t="s">
        <v>24</v>
      </c>
      <c r="D442" s="2">
        <v>0.69109299999999996</v>
      </c>
      <c r="E442" s="2">
        <v>0.61535499999999999</v>
      </c>
      <c r="F442" s="2">
        <v>0.84700600000000004</v>
      </c>
      <c r="G442" s="2">
        <v>0.55959000000000003</v>
      </c>
      <c r="H442" s="2">
        <v>0.76411200000000001</v>
      </c>
      <c r="I442" s="2">
        <v>0.65006600000000003</v>
      </c>
      <c r="J442" s="2">
        <v>0.54277900000000001</v>
      </c>
      <c r="K442" s="2">
        <v>0.82716400000000001</v>
      </c>
      <c r="L442" s="2">
        <f t="shared" si="12"/>
        <v>0.68714562499999998</v>
      </c>
      <c r="M442" s="2">
        <f t="shared" si="13"/>
        <v>4.1131505519725511E-2</v>
      </c>
      <c r="N442" s="2">
        <f t="shared" si="14"/>
        <v>4.6032699865646634E-2</v>
      </c>
    </row>
    <row r="443" spans="1:14" x14ac:dyDescent="0.55000000000000004">
      <c r="C443" s="2" t="s">
        <v>26</v>
      </c>
      <c r="D443" s="2">
        <v>0.388318</v>
      </c>
      <c r="E443" s="2">
        <v>0.47368900000000003</v>
      </c>
      <c r="F443" s="2">
        <v>0.40810099999999999</v>
      </c>
      <c r="G443" s="2">
        <v>0.48918200000000001</v>
      </c>
      <c r="H443" s="2">
        <v>0.35281099999999999</v>
      </c>
      <c r="I443" s="2">
        <v>0.30248700000000001</v>
      </c>
      <c r="J443" s="2">
        <v>0.46293899999999999</v>
      </c>
      <c r="K443" s="2">
        <v>0.222085</v>
      </c>
      <c r="L443" s="2">
        <f t="shared" si="12"/>
        <v>0.3874515</v>
      </c>
      <c r="M443" s="2">
        <f t="shared" si="13"/>
        <v>3.2644329574324928E-2</v>
      </c>
      <c r="N443" s="2">
        <f t="shared" si="14"/>
        <v>3.6534199432342582E-2</v>
      </c>
    </row>
    <row r="444" spans="1:14" x14ac:dyDescent="0.55000000000000004">
      <c r="A444" s="2" t="s">
        <v>20</v>
      </c>
      <c r="B444" s="2" t="s">
        <v>21</v>
      </c>
      <c r="C444" s="2" t="s">
        <v>22</v>
      </c>
      <c r="D444" s="2">
        <v>0.85388500000000001</v>
      </c>
      <c r="E444" s="2">
        <v>0.90790999999999999</v>
      </c>
      <c r="F444" s="2">
        <v>0.75259200000000004</v>
      </c>
      <c r="G444" s="2">
        <v>0.844503</v>
      </c>
      <c r="H444" s="2">
        <v>0.84013800000000005</v>
      </c>
      <c r="I444" s="2">
        <v>0.87514199999999998</v>
      </c>
      <c r="J444" s="2">
        <v>0.88647299999999996</v>
      </c>
      <c r="K444" s="2">
        <v>0.74458100000000005</v>
      </c>
      <c r="L444" s="2">
        <f t="shared" si="12"/>
        <v>0.83815300000000004</v>
      </c>
      <c r="M444" s="2">
        <f xml:space="preserve"> _xlfn.STDEV.S(D444:K444) / SQRT(COUNT(D444:K444))</f>
        <v>2.1102306079126575E-2</v>
      </c>
      <c r="N444" s="2">
        <f>M444*$N$2</f>
        <v>2.3616838477930009E-2</v>
      </c>
    </row>
    <row r="445" spans="1:14" x14ac:dyDescent="0.55000000000000004">
      <c r="A445" s="2">
        <v>1</v>
      </c>
      <c r="C445" s="2" t="s">
        <v>23</v>
      </c>
      <c r="D445" s="2">
        <v>1.65E-4</v>
      </c>
      <c r="E445" s="2">
        <v>1.0499999999999999E-3</v>
      </c>
      <c r="F445" s="2">
        <v>1.1720000000000001E-3</v>
      </c>
      <c r="G445" s="2">
        <v>6.7299999999999999E-4</v>
      </c>
      <c r="H445" s="2">
        <v>3.4499999999999998E-4</v>
      </c>
      <c r="I445" s="2">
        <v>3.8099999999999999E-4</v>
      </c>
      <c r="J445" s="2">
        <v>6.7100000000000005E-4</v>
      </c>
      <c r="K445" s="2">
        <v>6.1300000000000005E-4</v>
      </c>
      <c r="L445" s="2">
        <f>(1/COUNT(D445:K445))*SQRT(SUMSQ(D445:K445))</f>
        <v>2.514468756019848E-4</v>
      </c>
    </row>
    <row r="446" spans="1:14" x14ac:dyDescent="0.55000000000000004">
      <c r="C446" s="2" t="s">
        <v>24</v>
      </c>
      <c r="D446" s="2">
        <v>0.52190599999999998</v>
      </c>
      <c r="E446" s="2">
        <v>0.41623399999999999</v>
      </c>
      <c r="F446" s="2">
        <v>0.65827500000000005</v>
      </c>
      <c r="G446" s="2">
        <v>0.53512599999999999</v>
      </c>
      <c r="H446" s="2">
        <v>0.54332199999999997</v>
      </c>
      <c r="I446" s="2">
        <v>0.48611700000000002</v>
      </c>
      <c r="J446" s="2">
        <v>0.454239</v>
      </c>
      <c r="K446" s="2">
        <v>0.67859700000000001</v>
      </c>
      <c r="L446" s="2">
        <f>AVERAGE(D446:K446)</f>
        <v>0.53672699999999995</v>
      </c>
      <c r="M446" s="2">
        <f xml:space="preserve"> _xlfn.STDEV.S(D446:K446) / SQRT(COUNT(D446:K446))</f>
        <v>3.2472773695821008E-2</v>
      </c>
      <c r="N446" s="2">
        <f>M446*$N$2</f>
        <v>3.6342201104890871E-2</v>
      </c>
    </row>
    <row r="447" spans="1:14" x14ac:dyDescent="0.55000000000000004">
      <c r="C447" s="2" t="s">
        <v>25</v>
      </c>
      <c r="D447" s="2">
        <v>3.19E-4</v>
      </c>
      <c r="E447" s="2">
        <v>2.356E-3</v>
      </c>
      <c r="F447" s="2">
        <v>9.7599999999999998E-4</v>
      </c>
      <c r="G447" s="2">
        <v>1.1869999999999999E-3</v>
      </c>
      <c r="H447" s="2">
        <v>5.22E-4</v>
      </c>
      <c r="I447" s="2">
        <v>7.2599999999999997E-4</v>
      </c>
      <c r="J447" s="2">
        <v>1.1410000000000001E-3</v>
      </c>
      <c r="K447" s="2">
        <v>7.3700000000000002E-4</v>
      </c>
      <c r="L447" s="2">
        <f>(1/COUNT(D447:K447))*SQRT(SUMSQ(D447:K447))</f>
        <v>4.0809488786310472E-4</v>
      </c>
    </row>
    <row r="448" spans="1:14" x14ac:dyDescent="0.55000000000000004">
      <c r="C448" s="2" t="s">
        <v>26</v>
      </c>
      <c r="D448" s="2">
        <v>0.50948099999999996</v>
      </c>
      <c r="E448" s="2">
        <v>0.62737699999999996</v>
      </c>
      <c r="F448" s="2">
        <v>0.46060099999999998</v>
      </c>
      <c r="G448" s="2">
        <v>0.49091600000000002</v>
      </c>
      <c r="H448" s="2">
        <v>0.50350300000000003</v>
      </c>
      <c r="I448" s="2">
        <v>0.38747199999999998</v>
      </c>
      <c r="J448" s="2">
        <v>0.51723200000000003</v>
      </c>
      <c r="K448" s="2">
        <v>0.31830199999999997</v>
      </c>
      <c r="L448" s="2">
        <f>AVERAGE(D448:K448)</f>
        <v>0.47686050000000002</v>
      </c>
      <c r="M448" s="2">
        <f xml:space="preserve"> _xlfn.STDEV.S(D448:K448) / SQRT(COUNT(D448:K448))</f>
        <v>3.2637627519584538E-2</v>
      </c>
      <c r="N448" s="2">
        <f>M448*$N$2</f>
        <v>3.6526698766601098E-2</v>
      </c>
    </row>
    <row r="449" spans="2:14" x14ac:dyDescent="0.55000000000000004">
      <c r="C449" s="2" t="s">
        <v>27</v>
      </c>
      <c r="D449" s="2">
        <v>3.6999999999999999E-4</v>
      </c>
      <c r="E449" s="2">
        <v>2.3419999999999999E-3</v>
      </c>
      <c r="F449" s="2">
        <v>4.4900000000000002E-4</v>
      </c>
      <c r="G449" s="2">
        <v>1.4599999999999999E-3</v>
      </c>
      <c r="H449" s="2">
        <v>8.2899999999999998E-4</v>
      </c>
      <c r="I449" s="2">
        <v>5.7600000000000001E-4</v>
      </c>
      <c r="J449" s="2">
        <v>1.0970000000000001E-3</v>
      </c>
      <c r="K449" s="2">
        <v>4.46E-4</v>
      </c>
      <c r="L449" s="2">
        <f>(1/COUNT(D449:K449))*SQRT(SUMSQ(D449:K449))</f>
        <v>4.0265538537935888E-4</v>
      </c>
    </row>
    <row r="450" spans="2:14" x14ac:dyDescent="0.55000000000000004">
      <c r="C450" s="2" t="s">
        <v>28</v>
      </c>
      <c r="D450" s="2">
        <v>2.2448860000000002</v>
      </c>
      <c r="E450" s="2">
        <v>2.334031</v>
      </c>
      <c r="F450" s="2">
        <v>2.2873589999999999</v>
      </c>
      <c r="G450" s="2">
        <v>3.6231749999999998</v>
      </c>
      <c r="H450" s="2">
        <v>1.7189049999999999</v>
      </c>
      <c r="I450" s="2">
        <v>3.3767420000000001</v>
      </c>
      <c r="J450" s="2">
        <v>3.114484</v>
      </c>
      <c r="K450" s="2">
        <v>2.7316189999999998</v>
      </c>
      <c r="L450" s="2">
        <f>AVERAGE(D450:K450)</f>
        <v>2.6789001249999997</v>
      </c>
      <c r="M450" s="2">
        <f xml:space="preserve"> _xlfn.STDEV.S(D450:K450) / SQRT(COUNT(D450:K450))</f>
        <v>0.22964837176605785</v>
      </c>
      <c r="N450" s="2">
        <f>M450*$N$2</f>
        <v>0.25701307157530778</v>
      </c>
    </row>
    <row r="451" spans="2:14" x14ac:dyDescent="0.55000000000000004">
      <c r="C451" s="2" t="s">
        <v>29</v>
      </c>
      <c r="D451" s="2">
        <v>2.5400000000000002E-3</v>
      </c>
      <c r="E451" s="2">
        <v>1.3211000000000001E-2</v>
      </c>
      <c r="F451" s="2">
        <v>1.1632E-2</v>
      </c>
      <c r="G451" s="2">
        <v>1.745E-2</v>
      </c>
      <c r="H451" s="2">
        <v>7.1929999999999997E-3</v>
      </c>
      <c r="I451" s="2">
        <v>5.6150000000000002E-3</v>
      </c>
      <c r="J451" s="2">
        <v>1.2871E-2</v>
      </c>
      <c r="K451" s="2">
        <v>5.8310000000000002E-3</v>
      </c>
      <c r="L451" s="2">
        <f>(1/COUNT(D451:K451))*SQRT(SUMSQ(D451:K451))</f>
        <v>3.757739349080109E-3</v>
      </c>
    </row>
    <row r="452" spans="2:14" x14ac:dyDescent="0.55000000000000004">
      <c r="C452" s="2" t="s">
        <v>30</v>
      </c>
      <c r="D452" s="2">
        <v>13.768772</v>
      </c>
      <c r="E452" s="2">
        <v>16.090142</v>
      </c>
      <c r="F452" s="2">
        <v>14.122055</v>
      </c>
      <c r="G452" s="2">
        <v>16.5548</v>
      </c>
      <c r="H452" s="2">
        <v>10.766334000000001</v>
      </c>
      <c r="I452" s="2">
        <v>15.831965</v>
      </c>
      <c r="J452" s="2">
        <v>18.345085000000001</v>
      </c>
      <c r="K452" s="2">
        <v>13.563687</v>
      </c>
      <c r="L452" s="2">
        <f>AVERAGE(D452:K452)</f>
        <v>14.880355</v>
      </c>
      <c r="M452" s="2">
        <f xml:space="preserve"> _xlfn.STDEV.S(D452:K452) / SQRT(COUNT(D452:K452))</f>
        <v>0.81991599389977099</v>
      </c>
      <c r="N452" s="2">
        <f>M452*$N$2</f>
        <v>0.91761646906240912</v>
      </c>
    </row>
    <row r="453" spans="2:14" x14ac:dyDescent="0.55000000000000004">
      <c r="C453" s="2" t="s">
        <v>31</v>
      </c>
      <c r="D453" s="2">
        <v>1.9649E-2</v>
      </c>
      <c r="E453" s="2">
        <v>1.3292E-2</v>
      </c>
      <c r="F453" s="2">
        <v>7.5648000000000007E-2</v>
      </c>
      <c r="G453" s="2">
        <v>4.3798999999999998E-2</v>
      </c>
      <c r="H453" s="2">
        <v>1.6241999999999999E-2</v>
      </c>
      <c r="I453" s="2">
        <v>1.4866000000000001E-2</v>
      </c>
      <c r="J453" s="2">
        <v>2.5661E-2</v>
      </c>
      <c r="K453" s="2">
        <v>2.3644999999999999E-2</v>
      </c>
      <c r="L453" s="2">
        <f>(1/COUNT(D453:K453))*SQRT(SUMSQ(D453:K453))</f>
        <v>1.2441177996375586E-2</v>
      </c>
    </row>
    <row r="454" spans="2:14" x14ac:dyDescent="0.55000000000000004">
      <c r="B454" s="2" t="s">
        <v>32</v>
      </c>
      <c r="C454" s="2" t="s">
        <v>22</v>
      </c>
      <c r="D454" s="2">
        <v>0.83441699999999996</v>
      </c>
      <c r="E454" s="2">
        <v>0.88712599999999997</v>
      </c>
      <c r="F454" s="2">
        <v>0.74678699999999998</v>
      </c>
      <c r="G454" s="2">
        <v>0.84505399999999997</v>
      </c>
      <c r="H454" s="2">
        <v>0.82575299999999996</v>
      </c>
      <c r="I454" s="2">
        <v>0.87273800000000001</v>
      </c>
      <c r="J454" s="2">
        <v>0.89251000000000003</v>
      </c>
      <c r="K454" s="2">
        <v>0.74436999999999998</v>
      </c>
      <c r="L454" s="2">
        <f>AVERAGE(D454:K454)</f>
        <v>0.83109437499999994</v>
      </c>
      <c r="M454" s="2">
        <f xml:space="preserve"> _xlfn.STDEV.S(D454:K454) / SQRT(COUNT(D454:K454))</f>
        <v>2.0489067402726806E-2</v>
      </c>
      <c r="N454" s="2">
        <f>M454*$N$2</f>
        <v>2.293052681537297E-2</v>
      </c>
    </row>
    <row r="455" spans="2:14" x14ac:dyDescent="0.55000000000000004">
      <c r="C455" s="2" t="s">
        <v>23</v>
      </c>
      <c r="D455" s="2">
        <v>1.583E-3</v>
      </c>
      <c r="E455" s="2">
        <v>3.8760000000000001E-3</v>
      </c>
      <c r="F455" s="2">
        <v>3.1519999999999999E-3</v>
      </c>
      <c r="G455" s="2">
        <v>2.3760000000000001E-3</v>
      </c>
      <c r="H455" s="2">
        <v>8.6399999999999997E-4</v>
      </c>
      <c r="I455" s="2">
        <v>1.719E-3</v>
      </c>
      <c r="J455" s="2">
        <v>2.042E-3</v>
      </c>
      <c r="K455" s="2">
        <v>5.2400000000000005E-4</v>
      </c>
      <c r="L455" s="2">
        <f>(1/COUNT(D455:K455))*SQRT(SUMSQ(D455:K455))</f>
        <v>8.0288096486963738E-4</v>
      </c>
    </row>
    <row r="456" spans="2:14" x14ac:dyDescent="0.55000000000000004">
      <c r="C456" s="2" t="s">
        <v>24</v>
      </c>
      <c r="D456" s="2">
        <v>0.55352100000000004</v>
      </c>
      <c r="E456" s="2">
        <v>0.45767200000000002</v>
      </c>
      <c r="F456" s="2">
        <v>0.66511600000000004</v>
      </c>
      <c r="G456" s="2">
        <v>0.53371800000000003</v>
      </c>
      <c r="H456" s="2">
        <v>0.56470600000000004</v>
      </c>
      <c r="I456" s="2">
        <v>0.49049100000000001</v>
      </c>
      <c r="J456" s="2">
        <v>0.445386</v>
      </c>
      <c r="K456" s="2">
        <v>0.67883099999999996</v>
      </c>
      <c r="L456" s="2">
        <f>AVERAGE(D456:K456)</f>
        <v>0.54868012500000007</v>
      </c>
      <c r="M456" s="2">
        <f xml:space="preserve"> _xlfn.STDEV.S(D456:K456) / SQRT(COUNT(D456:K456))</f>
        <v>3.0862257497419738E-2</v>
      </c>
      <c r="N456" s="2">
        <f>M456*$N$2</f>
        <v>3.4539777200076248E-2</v>
      </c>
    </row>
    <row r="457" spans="2:14" x14ac:dyDescent="0.55000000000000004">
      <c r="C457" s="2" t="s">
        <v>25</v>
      </c>
      <c r="D457" s="2">
        <v>2.173E-3</v>
      </c>
      <c r="E457" s="2">
        <v>7.5690000000000002E-3</v>
      </c>
      <c r="F457" s="2">
        <v>3.5479999999999999E-3</v>
      </c>
      <c r="G457" s="2">
        <v>3.6319999999999998E-3</v>
      </c>
      <c r="H457" s="2">
        <v>1.261E-3</v>
      </c>
      <c r="I457" s="2">
        <v>3.0709999999999999E-3</v>
      </c>
      <c r="J457" s="2">
        <v>3.9309999999999996E-3</v>
      </c>
      <c r="K457" s="2">
        <v>6.6299999999999996E-4</v>
      </c>
      <c r="L457" s="2">
        <f>(1/COUNT(D457:K457))*SQRT(SUMSQ(D457:K457))</f>
        <v>1.3387547268824114E-3</v>
      </c>
    </row>
    <row r="458" spans="2:14" x14ac:dyDescent="0.55000000000000004">
      <c r="C458" s="2" t="s">
        <v>26</v>
      </c>
      <c r="D458" s="2">
        <v>0.48811900000000003</v>
      </c>
      <c r="E458" s="2">
        <v>0.58357899999999996</v>
      </c>
      <c r="F458" s="2">
        <v>0.45551700000000001</v>
      </c>
      <c r="G458" s="2">
        <v>0.49239100000000002</v>
      </c>
      <c r="H458" s="2">
        <v>0.485178</v>
      </c>
      <c r="I458" s="2">
        <v>0.38751000000000002</v>
      </c>
      <c r="J458" s="2">
        <v>0.52406200000000003</v>
      </c>
      <c r="K458" s="2">
        <v>0.31797799999999998</v>
      </c>
      <c r="L458" s="2">
        <f>AVERAGE(D458:K458)</f>
        <v>0.46679174999999995</v>
      </c>
      <c r="M458" s="2">
        <f xml:space="preserve"> _xlfn.STDEV.S(D458:K458) / SQRT(COUNT(D458:K458))</f>
        <v>2.8947495185094523E-2</v>
      </c>
      <c r="N458" s="2">
        <f>M458*$N$2</f>
        <v>3.2396853479595165E-2</v>
      </c>
    </row>
    <row r="459" spans="2:14" x14ac:dyDescent="0.55000000000000004">
      <c r="C459" s="2" t="s">
        <v>27</v>
      </c>
      <c r="D459" s="2">
        <v>2.3770000000000002E-3</v>
      </c>
      <c r="E459" s="2">
        <v>8.0499999999999999E-3</v>
      </c>
      <c r="F459" s="2">
        <v>2.006E-3</v>
      </c>
      <c r="G459" s="2">
        <v>4.4219999999999997E-3</v>
      </c>
      <c r="H459" s="2">
        <v>9.5799999999999998E-4</v>
      </c>
      <c r="I459" s="2">
        <v>2.7420000000000001E-3</v>
      </c>
      <c r="J459" s="2">
        <v>4.0200000000000001E-3</v>
      </c>
      <c r="K459" s="2">
        <v>4.7699999999999999E-4</v>
      </c>
      <c r="L459" s="2">
        <f>(1/COUNT(D459:K459))*SQRT(SUMSQ(D459:K459))</f>
        <v>1.3627580374923497E-3</v>
      </c>
    </row>
    <row r="460" spans="2:14" x14ac:dyDescent="0.55000000000000004">
      <c r="C460" s="2" t="s">
        <v>28</v>
      </c>
      <c r="D460" s="2">
        <v>2.6655570000000002</v>
      </c>
      <c r="E460" s="2">
        <v>2.6573720000000001</v>
      </c>
      <c r="F460" s="2">
        <v>2.3879920000000001</v>
      </c>
      <c r="G460" s="2">
        <v>3.5875119999999998</v>
      </c>
      <c r="H460" s="2">
        <v>1.8606050000000001</v>
      </c>
      <c r="I460" s="2">
        <v>3.6512669999999998</v>
      </c>
      <c r="J460" s="2">
        <v>3.0185590000000002</v>
      </c>
      <c r="K460" s="2">
        <v>2.7628949999999999</v>
      </c>
      <c r="L460" s="2">
        <f>AVERAGE(D460:K460)</f>
        <v>2.823969875</v>
      </c>
      <c r="M460" s="2">
        <f xml:space="preserve"> _xlfn.STDEV.S(D460:K460) / SQRT(COUNT(D460:K460))</f>
        <v>0.21044214756422738</v>
      </c>
      <c r="N460" s="2">
        <f>M460*$N$2</f>
        <v>0.23551825043847427</v>
      </c>
    </row>
    <row r="461" spans="2:14" x14ac:dyDescent="0.55000000000000004">
      <c r="C461" s="2" t="s">
        <v>29</v>
      </c>
      <c r="D461" s="2">
        <v>4.6406999999999997E-2</v>
      </c>
      <c r="E461" s="2">
        <v>5.3228999999999999E-2</v>
      </c>
      <c r="F461" s="2">
        <v>2.2976E-2</v>
      </c>
      <c r="G461" s="2">
        <v>7.2700000000000001E-2</v>
      </c>
      <c r="H461" s="2">
        <v>8.6300000000000005E-3</v>
      </c>
      <c r="I461" s="2">
        <v>5.7298000000000002E-2</v>
      </c>
      <c r="J461" s="2">
        <v>3.6646999999999999E-2</v>
      </c>
      <c r="K461" s="2">
        <v>4.9550000000000002E-3</v>
      </c>
      <c r="L461" s="2">
        <f>(1/COUNT(D461:K461))*SQRT(SUMSQ(D461:K461))</f>
        <v>1.5575027590264487E-2</v>
      </c>
    </row>
    <row r="462" spans="2:14" x14ac:dyDescent="0.55000000000000004">
      <c r="C462" s="2" t="s">
        <v>30</v>
      </c>
      <c r="D462" s="2">
        <v>15.708564000000001</v>
      </c>
      <c r="E462" s="2">
        <v>16.589454</v>
      </c>
      <c r="F462" s="2">
        <v>14.902208</v>
      </c>
      <c r="G462" s="2">
        <v>16.707231</v>
      </c>
      <c r="H462" s="2">
        <v>11.647354</v>
      </c>
      <c r="I462" s="2">
        <v>16.451184999999999</v>
      </c>
      <c r="J462" s="2">
        <v>18.409807000000001</v>
      </c>
      <c r="K462" s="2">
        <v>13.591765000000001</v>
      </c>
      <c r="L462" s="2">
        <f>AVERAGE(D462:K462)</f>
        <v>15.500945999999999</v>
      </c>
      <c r="M462" s="2">
        <f xml:space="preserve"> _xlfn.STDEV.S(D462:K462) / SQRT(COUNT(D462:K462))</f>
        <v>0.74283644928366188</v>
      </c>
      <c r="N462" s="2">
        <f>M462*$N$2</f>
        <v>0.83135219309535358</v>
      </c>
    </row>
    <row r="463" spans="2:14" x14ac:dyDescent="0.55000000000000004">
      <c r="C463" s="2" t="s">
        <v>31</v>
      </c>
      <c r="D463" s="2">
        <v>6.6602999999999996E-2</v>
      </c>
      <c r="E463" s="2">
        <v>3.3717999999999998E-2</v>
      </c>
      <c r="F463" s="2">
        <v>7.2481000000000004E-2</v>
      </c>
      <c r="G463" s="2">
        <v>0.16422400000000001</v>
      </c>
      <c r="H463" s="2">
        <v>3.9417000000000001E-2</v>
      </c>
      <c r="I463" s="2">
        <v>9.4806000000000001E-2</v>
      </c>
      <c r="J463" s="2">
        <v>5.2019000000000003E-2</v>
      </c>
      <c r="K463" s="2">
        <v>1.7021000000000001E-2</v>
      </c>
      <c r="L463" s="2">
        <f>(1/COUNT(D463:K463))*SQRT(SUMSQ(D463:K463))</f>
        <v>2.8321107686284534E-2</v>
      </c>
    </row>
    <row r="464" spans="2:14" x14ac:dyDescent="0.55000000000000004">
      <c r="B464" s="2" t="s">
        <v>33</v>
      </c>
      <c r="C464" s="2" t="s">
        <v>22</v>
      </c>
      <c r="D464" s="2">
        <v>0.85434699999999997</v>
      </c>
      <c r="E464" s="2">
        <v>0.90634499999999996</v>
      </c>
      <c r="F464" s="2">
        <v>0.74870800000000004</v>
      </c>
      <c r="G464" s="2">
        <v>0.85527500000000001</v>
      </c>
      <c r="H464" s="2">
        <v>0.83955299999999999</v>
      </c>
      <c r="I464" s="2">
        <v>0.87566999999999995</v>
      </c>
      <c r="J464" s="2">
        <v>0.86977899999999997</v>
      </c>
      <c r="K464" s="2">
        <v>0.74633799999999995</v>
      </c>
      <c r="L464" s="2">
        <f>AVERAGE(D464:K464)</f>
        <v>0.83700187500000001</v>
      </c>
      <c r="M464" s="2">
        <f xml:space="preserve"> _xlfn.STDEV.S(D464:K464) / SQRT(COUNT(D464:K464))</f>
        <v>2.0717077190118758E-2</v>
      </c>
      <c r="N464" s="2">
        <f>M464*$N$2</f>
        <v>2.3185706050288406E-2</v>
      </c>
    </row>
    <row r="465" spans="2:14" x14ac:dyDescent="0.55000000000000004">
      <c r="C465" s="2" t="s">
        <v>23</v>
      </c>
      <c r="D465" s="2">
        <v>1.7899999999999999E-4</v>
      </c>
      <c r="E465" s="2">
        <v>3.4400000000000001E-4</v>
      </c>
      <c r="F465" s="2">
        <v>6.2200000000000005E-4</v>
      </c>
      <c r="G465" s="2">
        <v>3.79E-4</v>
      </c>
      <c r="H465" s="2">
        <v>2.4399999999999999E-4</v>
      </c>
      <c r="I465" s="2">
        <v>1.8200000000000001E-4</v>
      </c>
      <c r="J465" s="2">
        <v>6.3699999999999998E-4</v>
      </c>
      <c r="K465" s="2">
        <v>1.56E-4</v>
      </c>
      <c r="L465" s="2">
        <f>(1/COUNT(D465:K465))*SQRT(SUMSQ(D465:K465))</f>
        <v>1.3713969839182234E-4</v>
      </c>
    </row>
    <row r="466" spans="2:14" x14ac:dyDescent="0.55000000000000004">
      <c r="C466" s="2" t="s">
        <v>24</v>
      </c>
      <c r="D466" s="2">
        <v>0.52138700000000004</v>
      </c>
      <c r="E466" s="2">
        <v>0.41921399999999998</v>
      </c>
      <c r="F466" s="2">
        <v>0.66267100000000001</v>
      </c>
      <c r="G466" s="2">
        <v>0.51717599999999997</v>
      </c>
      <c r="H466" s="2">
        <v>0.54416799999999999</v>
      </c>
      <c r="I466" s="2">
        <v>0.48578300000000002</v>
      </c>
      <c r="J466" s="2">
        <v>0.48716999999999999</v>
      </c>
      <c r="K466" s="2">
        <v>0.67622800000000005</v>
      </c>
      <c r="L466" s="2">
        <f>AVERAGE(D466:K466)</f>
        <v>0.53922462500000001</v>
      </c>
      <c r="M466" s="2">
        <f xml:space="preserve"> _xlfn.STDEV.S(D466:K466) / SQRT(COUNT(D466:K466))</f>
        <v>3.1283819793223942E-2</v>
      </c>
      <c r="N466" s="2">
        <f>M466*$N$2</f>
        <v>3.5011572491598496E-2</v>
      </c>
    </row>
    <row r="467" spans="2:14" x14ac:dyDescent="0.55000000000000004">
      <c r="C467" s="2" t="s">
        <v>25</v>
      </c>
      <c r="D467" s="2">
        <v>3.0299999999999999E-4</v>
      </c>
      <c r="E467" s="2">
        <v>7.5500000000000003E-4</v>
      </c>
      <c r="F467" s="2">
        <v>7.1400000000000001E-4</v>
      </c>
      <c r="G467" s="2">
        <v>6.4599999999999998E-4</v>
      </c>
      <c r="H467" s="2">
        <v>3.8200000000000002E-4</v>
      </c>
      <c r="I467" s="2">
        <v>3.4200000000000002E-4</v>
      </c>
      <c r="J467" s="2">
        <v>1.196E-3</v>
      </c>
      <c r="K467" s="2">
        <v>1.8699999999999999E-4</v>
      </c>
      <c r="L467" s="2">
        <f>(1/COUNT(D467:K467))*SQRT(SUMSQ(D467:K467))</f>
        <v>2.2766542749174718E-4</v>
      </c>
    </row>
    <row r="468" spans="2:14" x14ac:dyDescent="0.55000000000000004">
      <c r="C468" s="2" t="s">
        <v>26</v>
      </c>
      <c r="D468" s="2">
        <v>0.51022800000000001</v>
      </c>
      <c r="E468" s="2">
        <v>0.62385900000000005</v>
      </c>
      <c r="F468" s="2">
        <v>0.45818199999999998</v>
      </c>
      <c r="G468" s="2">
        <v>0.50180000000000002</v>
      </c>
      <c r="H468" s="2">
        <v>0.50325399999999998</v>
      </c>
      <c r="I468" s="2">
        <v>0.389351</v>
      </c>
      <c r="J468" s="2">
        <v>0.48199700000000001</v>
      </c>
      <c r="K468" s="2">
        <v>0.32117400000000002</v>
      </c>
      <c r="L468" s="2">
        <f>AVERAGE(D468:K468)</f>
        <v>0.47373062500000007</v>
      </c>
      <c r="M468" s="2">
        <f xml:space="preserve"> _xlfn.STDEV.S(D468:K468) / SQRT(COUNT(D468:K468))</f>
        <v>3.1688676573782007E-2</v>
      </c>
      <c r="N468" s="2">
        <f>M468*$N$2</f>
        <v>3.5464671653239042E-2</v>
      </c>
    </row>
    <row r="469" spans="2:14" x14ac:dyDescent="0.55000000000000004">
      <c r="C469" s="2" t="s">
        <v>27</v>
      </c>
      <c r="D469" s="2">
        <v>3.4499999999999998E-4</v>
      </c>
      <c r="E469" s="2">
        <v>7.5699999999999997E-4</v>
      </c>
      <c r="F469" s="2">
        <v>3.9100000000000002E-4</v>
      </c>
      <c r="G469" s="2">
        <v>7.0699999999999995E-4</v>
      </c>
      <c r="H469" s="2">
        <v>3.2200000000000002E-4</v>
      </c>
      <c r="I469" s="2">
        <v>3.1300000000000002E-4</v>
      </c>
      <c r="J469" s="2">
        <v>1.1379999999999999E-3</v>
      </c>
      <c r="K469" s="2">
        <v>1.9699999999999999E-4</v>
      </c>
      <c r="L469" s="2">
        <f>(1/COUNT(D469:K469))*SQRT(SUMSQ(D469:K469))</f>
        <v>2.1214345087699501E-4</v>
      </c>
    </row>
    <row r="470" spans="2:14" x14ac:dyDescent="0.55000000000000004">
      <c r="C470" s="2" t="s">
        <v>28</v>
      </c>
      <c r="D470" s="2">
        <v>2.2359650000000002</v>
      </c>
      <c r="E470" s="2">
        <v>2.353037</v>
      </c>
      <c r="F470" s="2">
        <v>2.3040219999999998</v>
      </c>
      <c r="G470" s="2">
        <v>3.5151949999999998</v>
      </c>
      <c r="H470" s="2">
        <v>1.71957</v>
      </c>
      <c r="I470" s="2">
        <v>3.5578129999999999</v>
      </c>
      <c r="J470" s="2">
        <v>3.335302</v>
      </c>
      <c r="K470" s="2">
        <v>2.709225</v>
      </c>
      <c r="L470" s="2">
        <f>AVERAGE(D470:K470)</f>
        <v>2.7162661249999998</v>
      </c>
      <c r="M470" s="2">
        <f xml:space="preserve"> _xlfn.STDEV.S(D470:K470) / SQRT(COUNT(D470:K470))</f>
        <v>0.24111779998214589</v>
      </c>
      <c r="N470" s="2">
        <f>M470*$N$2</f>
        <v>0.26984918686042808</v>
      </c>
    </row>
    <row r="471" spans="2:14" x14ac:dyDescent="0.55000000000000004">
      <c r="C471" s="2" t="s">
        <v>29</v>
      </c>
      <c r="D471" s="2">
        <v>3.019E-3</v>
      </c>
      <c r="E471" s="2">
        <v>4.5799999999999999E-3</v>
      </c>
      <c r="F471" s="2">
        <v>3.6440000000000001E-3</v>
      </c>
      <c r="G471" s="2">
        <v>7.8670000000000007E-3</v>
      </c>
      <c r="H471" s="2">
        <v>2.4499999999999999E-3</v>
      </c>
      <c r="I471" s="2">
        <v>6.0980000000000001E-3</v>
      </c>
      <c r="J471" s="2">
        <v>1.0397999999999999E-2</v>
      </c>
      <c r="K471" s="2">
        <v>1.9419999999999999E-3</v>
      </c>
      <c r="L471" s="2">
        <f>(1/COUNT(D471:K471))*SQRT(SUMSQ(D471:K471))</f>
        <v>2.0168704795425017E-3</v>
      </c>
    </row>
    <row r="472" spans="2:14" x14ac:dyDescent="0.55000000000000004">
      <c r="C472" s="2" t="s">
        <v>30</v>
      </c>
      <c r="D472" s="2">
        <v>13.790635999999999</v>
      </c>
      <c r="E472" s="2">
        <v>16.071158</v>
      </c>
      <c r="F472" s="2">
        <v>14.047058</v>
      </c>
      <c r="G472" s="2">
        <v>16.094681999999999</v>
      </c>
      <c r="H472" s="2">
        <v>10.709941000000001</v>
      </c>
      <c r="I472" s="2">
        <v>16.348441999999999</v>
      </c>
      <c r="J472" s="2">
        <v>18.033805000000001</v>
      </c>
      <c r="K472" s="2">
        <v>13.470939</v>
      </c>
      <c r="L472" s="2">
        <f>AVERAGE(D472:K472)</f>
        <v>14.820832625</v>
      </c>
      <c r="M472" s="2">
        <f xml:space="preserve"> _xlfn.STDEV.S(D472:K472) / SQRT(COUNT(D472:K472))</f>
        <v>0.80427943201201568</v>
      </c>
      <c r="N472" s="2">
        <f>M472*$N$2</f>
        <v>0.90011666808954038</v>
      </c>
    </row>
    <row r="473" spans="2:14" x14ac:dyDescent="0.55000000000000004">
      <c r="C473" s="2" t="s">
        <v>31</v>
      </c>
      <c r="D473" s="2">
        <v>7.0429999999999998E-3</v>
      </c>
      <c r="E473" s="2">
        <v>6.0000000000000001E-3</v>
      </c>
      <c r="F473" s="2">
        <v>9.3360000000000005E-3</v>
      </c>
      <c r="G473" s="2">
        <v>2.7342999999999999E-2</v>
      </c>
      <c r="H473" s="2">
        <v>1.0149999999999999E-2</v>
      </c>
      <c r="I473" s="2">
        <v>1.0662E-2</v>
      </c>
      <c r="J473" s="2">
        <v>1.8988000000000001E-2</v>
      </c>
      <c r="K473" s="2">
        <v>5.836E-3</v>
      </c>
      <c r="L473" s="2">
        <f>(1/COUNT(D473:K473))*SQRT(SUMSQ(D473:K473))</f>
        <v>4.8921304440141412E-3</v>
      </c>
    </row>
    <row r="474" spans="2:14" x14ac:dyDescent="0.55000000000000004">
      <c r="B474" s="2" t="s">
        <v>34</v>
      </c>
      <c r="C474" s="2" t="s">
        <v>22</v>
      </c>
      <c r="D474" s="2">
        <v>0.83023800000000003</v>
      </c>
      <c r="E474" s="2">
        <v>0.882637</v>
      </c>
      <c r="F474" s="2">
        <v>0.75715500000000002</v>
      </c>
      <c r="G474" s="2">
        <v>0.83313199999999998</v>
      </c>
      <c r="H474" s="2">
        <v>0.820129</v>
      </c>
      <c r="I474" s="2">
        <v>0.87660300000000002</v>
      </c>
      <c r="J474" s="2">
        <v>0.89226499999999997</v>
      </c>
      <c r="K474" s="2">
        <v>0.727993</v>
      </c>
      <c r="L474" s="2">
        <f>AVERAGE(D474:K474)</f>
        <v>0.827519</v>
      </c>
      <c r="M474" s="2">
        <f xml:space="preserve"> _xlfn.STDEV.S(D474:K474) / SQRT(COUNT(D474:K474))</f>
        <v>2.0954587589253913E-2</v>
      </c>
      <c r="N474" s="2">
        <f>M474*$N$2</f>
        <v>2.3451517981561264E-2</v>
      </c>
    </row>
    <row r="475" spans="2:14" x14ac:dyDescent="0.55000000000000004">
      <c r="C475" s="2" t="s">
        <v>23</v>
      </c>
      <c r="D475" s="2">
        <v>4.2919999999999998E-3</v>
      </c>
      <c r="E475" s="2">
        <v>5.4450000000000002E-3</v>
      </c>
      <c r="F475" s="2">
        <v>3.9090000000000001E-3</v>
      </c>
      <c r="G475" s="2">
        <v>7.0920000000000002E-3</v>
      </c>
      <c r="H475" s="2">
        <v>1.1199999999999999E-3</v>
      </c>
      <c r="I475" s="2">
        <v>1.663E-3</v>
      </c>
      <c r="J475" s="2">
        <v>2.5579999999999999E-3</v>
      </c>
      <c r="K475" s="2">
        <v>1.0269999999999999E-3</v>
      </c>
      <c r="L475" s="2">
        <f>(1/COUNT(D475:K475))*SQRT(SUMSQ(D475:K475))</f>
        <v>1.3990180484897256E-3</v>
      </c>
    </row>
    <row r="476" spans="2:14" x14ac:dyDescent="0.55000000000000004">
      <c r="C476" s="2" t="s">
        <v>24</v>
      </c>
      <c r="D476" s="2">
        <v>0.56055299999999997</v>
      </c>
      <c r="E476" s="2">
        <v>0.46655000000000002</v>
      </c>
      <c r="F476" s="2">
        <v>0.65334400000000004</v>
      </c>
      <c r="G476" s="2">
        <v>0.55162900000000004</v>
      </c>
      <c r="H476" s="2">
        <v>0.57295200000000002</v>
      </c>
      <c r="I476" s="2">
        <v>0.48257</v>
      </c>
      <c r="J476" s="2">
        <v>0.44508399999999998</v>
      </c>
      <c r="K476" s="2">
        <v>0.70016100000000003</v>
      </c>
      <c r="L476" s="2">
        <f>AVERAGE(D476:K476)</f>
        <v>0.55410537500000001</v>
      </c>
      <c r="M476" s="2">
        <f xml:space="preserve"> _xlfn.STDEV.S(D476:K476) / SQRT(COUNT(D476:K476))</f>
        <v>3.1693950424296666E-2</v>
      </c>
      <c r="N476" s="2">
        <f>M476*$N$2</f>
        <v>3.5470573931184142E-2</v>
      </c>
    </row>
    <row r="477" spans="2:14" x14ac:dyDescent="0.55000000000000004">
      <c r="C477" s="2" t="s">
        <v>25</v>
      </c>
      <c r="D477" s="2">
        <v>6.156E-3</v>
      </c>
      <c r="E477" s="2">
        <v>9.3080000000000003E-3</v>
      </c>
      <c r="F477" s="2">
        <v>4.5430000000000002E-3</v>
      </c>
      <c r="G477" s="2">
        <v>1.0696000000000001E-2</v>
      </c>
      <c r="H477" s="2">
        <v>1.619E-3</v>
      </c>
      <c r="I477" s="2">
        <v>3.117E-3</v>
      </c>
      <c r="J477" s="2">
        <v>4.8589999999999996E-3</v>
      </c>
      <c r="K477" s="2">
        <v>1.2589999999999999E-3</v>
      </c>
      <c r="L477" s="2">
        <f>(1/COUNT(D477:K477))*SQRT(SUMSQ(D477:K477))</f>
        <v>2.1546108878693158E-3</v>
      </c>
    </row>
    <row r="478" spans="2:14" x14ac:dyDescent="0.55000000000000004">
      <c r="C478" s="2" t="s">
        <v>26</v>
      </c>
      <c r="D478" s="2">
        <v>0.479097</v>
      </c>
      <c r="E478" s="2">
        <v>0.57949499999999998</v>
      </c>
      <c r="F478" s="2">
        <v>0.46249200000000001</v>
      </c>
      <c r="G478" s="2">
        <v>0.47199099999999999</v>
      </c>
      <c r="H478" s="2">
        <v>0.47890899999999997</v>
      </c>
      <c r="I478" s="2">
        <v>0.39083699999999999</v>
      </c>
      <c r="J478" s="2">
        <v>0.52482300000000004</v>
      </c>
      <c r="K478" s="2">
        <v>0.29605300000000001</v>
      </c>
      <c r="L478" s="2">
        <f>AVERAGE(D478:K478)</f>
        <v>0.460462125</v>
      </c>
      <c r="M478" s="2">
        <f xml:space="preserve"> _xlfn.STDEV.S(D478:K478) / SQRT(COUNT(D478:K478))</f>
        <v>3.0182110089917721E-2</v>
      </c>
      <c r="N478" s="2">
        <f>M478*$N$2</f>
        <v>3.3778584020339043E-2</v>
      </c>
    </row>
    <row r="479" spans="2:14" x14ac:dyDescent="0.55000000000000004">
      <c r="C479" s="2" t="s">
        <v>27</v>
      </c>
      <c r="D479" s="2">
        <v>7.0650000000000001E-3</v>
      </c>
      <c r="E479" s="2">
        <v>1.0366E-2</v>
      </c>
      <c r="F479" s="2">
        <v>2.7439999999999999E-3</v>
      </c>
      <c r="G479" s="2">
        <v>1.2326999999999999E-2</v>
      </c>
      <c r="H479" s="2">
        <v>1.3060000000000001E-3</v>
      </c>
      <c r="I479" s="2">
        <v>2.9069999999999999E-3</v>
      </c>
      <c r="J479" s="2">
        <v>4.888E-3</v>
      </c>
      <c r="K479" s="2">
        <v>9.2299999999999999E-4</v>
      </c>
      <c r="L479" s="2">
        <f>(1/COUNT(D479:K479))*SQRT(SUMSQ(D479:K479))</f>
        <v>2.3443862603035365E-3</v>
      </c>
    </row>
    <row r="480" spans="2:14" x14ac:dyDescent="0.55000000000000004">
      <c r="C480" s="2" t="s">
        <v>28</v>
      </c>
      <c r="D480" s="2">
        <v>2.7078039999999999</v>
      </c>
      <c r="E480" s="2">
        <v>2.7917260000000002</v>
      </c>
      <c r="F480" s="2">
        <v>2.2710530000000002</v>
      </c>
      <c r="G480" s="2">
        <v>3.8952589999999998</v>
      </c>
      <c r="H480" s="2">
        <v>1.913972</v>
      </c>
      <c r="I480" s="2">
        <v>3.4621559999999998</v>
      </c>
      <c r="J480" s="2">
        <v>3.016114</v>
      </c>
      <c r="K480" s="2">
        <v>3.1040869999999998</v>
      </c>
      <c r="L480" s="2">
        <f>AVERAGE(D480:K480)</f>
        <v>2.8952713750000001</v>
      </c>
      <c r="M480" s="2">
        <f xml:space="preserve"> _xlfn.STDEV.S(D480:K480) / SQRT(COUNT(D480:K480))</f>
        <v>0.22272673190609363</v>
      </c>
      <c r="N480" s="2">
        <f>M480*$N$2</f>
        <v>0.24926665514279894</v>
      </c>
    </row>
    <row r="481" spans="2:14" x14ac:dyDescent="0.55000000000000004">
      <c r="C481" s="2" t="s">
        <v>29</v>
      </c>
      <c r="D481" s="2">
        <v>9.4631000000000007E-2</v>
      </c>
      <c r="E481" s="2">
        <v>8.6338999999999999E-2</v>
      </c>
      <c r="F481" s="2">
        <v>2.2844E-2</v>
      </c>
      <c r="G481" s="2">
        <v>0.17036599999999999</v>
      </c>
      <c r="H481" s="2">
        <v>1.1135000000000001E-2</v>
      </c>
      <c r="I481" s="2">
        <v>5.9650000000000002E-2</v>
      </c>
      <c r="J481" s="2">
        <v>4.6741999999999999E-2</v>
      </c>
      <c r="K481" s="2">
        <v>8.2140000000000008E-3</v>
      </c>
      <c r="L481" s="2">
        <f>(1/COUNT(D481:K481))*SQRT(SUMSQ(D481:K481))</f>
        <v>2.8474293905589212E-2</v>
      </c>
    </row>
    <row r="482" spans="2:14" x14ac:dyDescent="0.55000000000000004">
      <c r="C482" s="2" t="s">
        <v>30</v>
      </c>
      <c r="D482" s="2">
        <v>15.728239</v>
      </c>
      <c r="E482" s="2">
        <v>17.045617</v>
      </c>
      <c r="F482" s="2">
        <v>14.107837</v>
      </c>
      <c r="G482" s="2">
        <v>16.966358</v>
      </c>
      <c r="H482" s="2">
        <v>11.888273</v>
      </c>
      <c r="I482" s="2">
        <v>16.125677</v>
      </c>
      <c r="J482" s="2">
        <v>18.328149</v>
      </c>
      <c r="K482" s="2">
        <v>14.799224000000001</v>
      </c>
      <c r="L482" s="2">
        <f>AVERAGE(D482:K482)</f>
        <v>15.623671749999998</v>
      </c>
      <c r="M482" s="2">
        <f xml:space="preserve"> _xlfn.STDEV.S(D482:K482) / SQRT(COUNT(D482:K482))</f>
        <v>0.71129344381247128</v>
      </c>
      <c r="N482" s="2">
        <f>M482*$N$2</f>
        <v>0.79605055058631824</v>
      </c>
    </row>
    <row r="483" spans="2:14" x14ac:dyDescent="0.55000000000000004">
      <c r="C483" s="2" t="s">
        <v>31</v>
      </c>
      <c r="D483" s="2">
        <v>6.7375000000000004E-2</v>
      </c>
      <c r="E483" s="2">
        <v>5.1024E-2</v>
      </c>
      <c r="F483" s="2">
        <v>5.6027E-2</v>
      </c>
      <c r="G483" s="2">
        <v>0.26092599999999999</v>
      </c>
      <c r="H483" s="2">
        <v>5.7759999999999999E-2</v>
      </c>
      <c r="I483" s="2">
        <v>0.104241</v>
      </c>
      <c r="J483" s="2">
        <v>6.5121999999999999E-2</v>
      </c>
      <c r="K483" s="2">
        <v>2.4981E-2</v>
      </c>
      <c r="L483" s="2">
        <f>(1/COUNT(D483:K483))*SQRT(SUMSQ(D483:K483))</f>
        <v>3.9017538190376642E-2</v>
      </c>
    </row>
    <row r="484" spans="2:14" x14ac:dyDescent="0.55000000000000004">
      <c r="B484" s="2" t="s">
        <v>35</v>
      </c>
      <c r="C484" s="2" t="s">
        <v>22</v>
      </c>
      <c r="D484" s="2">
        <v>0.72298799999999996</v>
      </c>
      <c r="E484" s="2">
        <v>0.87768400000000002</v>
      </c>
      <c r="F484" s="2">
        <v>0.72739699999999996</v>
      </c>
      <c r="G484" s="2">
        <v>0.83677800000000002</v>
      </c>
      <c r="H484" s="2">
        <v>0.81759199999999999</v>
      </c>
      <c r="I484" s="2">
        <v>0.85880800000000002</v>
      </c>
      <c r="J484" s="2">
        <v>0.85882700000000001</v>
      </c>
      <c r="K484" s="2">
        <v>0.72298799999999996</v>
      </c>
      <c r="L484" s="2">
        <f>AVERAGE(D484:K484)</f>
        <v>0.80288274999999998</v>
      </c>
      <c r="M484" s="2">
        <f xml:space="preserve"> _xlfn.STDEV.S(D484:K484) / SQRT(COUNT(D484:K484))</f>
        <v>2.3785616269344386E-2</v>
      </c>
      <c r="N484" s="2">
        <f>M484*$N$2</f>
        <v>2.6619889571537343E-2</v>
      </c>
    </row>
    <row r="485" spans="2:14" x14ac:dyDescent="0.55000000000000004">
      <c r="C485" s="2" t="s">
        <v>23</v>
      </c>
      <c r="D485" s="2">
        <v>5.2499999999999997E-4</v>
      </c>
      <c r="E485" s="2">
        <v>9.3599999999999998E-4</v>
      </c>
      <c r="F485" s="2">
        <v>8.4800000000000001E-4</v>
      </c>
      <c r="G485" s="2">
        <v>1.173E-3</v>
      </c>
      <c r="H485" s="2">
        <v>8.6399999999999997E-4</v>
      </c>
      <c r="I485" s="2">
        <v>6.2500000000000001E-4</v>
      </c>
      <c r="J485" s="2">
        <v>1.0369999999999999E-3</v>
      </c>
      <c r="K485" s="2">
        <v>5.2499999999999997E-4</v>
      </c>
      <c r="L485" s="2">
        <f>(1/COUNT(D485:K485))*SQRT(SUMSQ(D485:K485))</f>
        <v>2.9934483146531863E-4</v>
      </c>
    </row>
    <row r="486" spans="2:14" x14ac:dyDescent="0.55000000000000004">
      <c r="C486" s="2" t="s">
        <v>24</v>
      </c>
      <c r="D486" s="2">
        <v>0.705403</v>
      </c>
      <c r="E486" s="2">
        <v>0.47036099999999997</v>
      </c>
      <c r="F486" s="2">
        <v>0.68585399999999996</v>
      </c>
      <c r="G486" s="2">
        <v>0.54728500000000002</v>
      </c>
      <c r="H486" s="2">
        <v>0.57664400000000005</v>
      </c>
      <c r="I486" s="2">
        <v>0.51642699999999997</v>
      </c>
      <c r="J486" s="2">
        <v>0.50082099999999996</v>
      </c>
      <c r="K486" s="2">
        <v>0.705403</v>
      </c>
      <c r="L486" s="2">
        <f>AVERAGE(D486:K486)</f>
        <v>0.58852474999999993</v>
      </c>
      <c r="M486" s="2">
        <f xml:space="preserve"> _xlfn.STDEV.S(D486:K486) / SQRT(COUNT(D486:K486))</f>
        <v>3.4197067513557361E-2</v>
      </c>
      <c r="N486" s="2">
        <f>M486*$N$2</f>
        <v>3.8271960270987573E-2</v>
      </c>
    </row>
    <row r="487" spans="2:14" x14ac:dyDescent="0.55000000000000004">
      <c r="C487" s="2" t="s">
        <v>25</v>
      </c>
      <c r="D487" s="2">
        <v>6.5200000000000002E-4</v>
      </c>
      <c r="E487" s="2">
        <v>1.908E-3</v>
      </c>
      <c r="F487" s="2">
        <v>9.7099999999999997E-4</v>
      </c>
      <c r="G487" s="2">
        <v>1.9419999999999999E-3</v>
      </c>
      <c r="H487" s="2">
        <v>1.235E-3</v>
      </c>
      <c r="I487" s="2">
        <v>1.083E-3</v>
      </c>
      <c r="J487" s="2">
        <v>1.8810000000000001E-3</v>
      </c>
      <c r="K487" s="2">
        <v>6.5200000000000002E-4</v>
      </c>
      <c r="L487" s="2">
        <f>(1/COUNT(D487:K487))*SQRT(SUMSQ(D487:K487))</f>
        <v>4.9119039078548759E-4</v>
      </c>
    </row>
    <row r="488" spans="2:14" x14ac:dyDescent="0.55000000000000004">
      <c r="C488" s="2" t="s">
        <v>26</v>
      </c>
      <c r="D488" s="2">
        <v>0.28564600000000001</v>
      </c>
      <c r="E488" s="2">
        <v>0.57084199999999996</v>
      </c>
      <c r="F488" s="2">
        <v>0.444604</v>
      </c>
      <c r="G488" s="2">
        <v>0.46687299999999998</v>
      </c>
      <c r="H488" s="2">
        <v>0.47601500000000002</v>
      </c>
      <c r="I488" s="2">
        <v>0.360626</v>
      </c>
      <c r="J488" s="2">
        <v>0.46764099999999997</v>
      </c>
      <c r="K488" s="2">
        <v>0.28564600000000001</v>
      </c>
      <c r="L488" s="2">
        <f>AVERAGE(D488:K488)</f>
        <v>0.41973662499999992</v>
      </c>
      <c r="M488" s="2">
        <f xml:space="preserve"> _xlfn.STDEV.S(D488:K488) / SQRT(COUNT(D488:K488))</f>
        <v>3.5503973769514079E-2</v>
      </c>
      <c r="N488" s="2">
        <f>M488*$N$2</f>
        <v>3.9734596337254111E-2</v>
      </c>
    </row>
    <row r="489" spans="2:14" x14ac:dyDescent="0.55000000000000004">
      <c r="C489" s="2" t="s">
        <v>27</v>
      </c>
      <c r="D489" s="2">
        <v>3.68E-4</v>
      </c>
      <c r="E489" s="2">
        <v>1.9189999999999999E-3</v>
      </c>
      <c r="F489" s="2">
        <v>5.8699999999999996E-4</v>
      </c>
      <c r="G489" s="2">
        <v>2.3180000000000002E-3</v>
      </c>
      <c r="H489" s="2">
        <v>9.8700000000000003E-4</v>
      </c>
      <c r="I489" s="2">
        <v>8.43E-4</v>
      </c>
      <c r="J489" s="2">
        <v>1.737E-3</v>
      </c>
      <c r="K489" s="2">
        <v>3.68E-4</v>
      </c>
      <c r="L489" s="2">
        <f>(1/COUNT(D489:K489))*SQRT(SUMSQ(D489:K489))</f>
        <v>4.7389821230407698E-4</v>
      </c>
    </row>
    <row r="490" spans="2:14" x14ac:dyDescent="0.55000000000000004">
      <c r="C490" s="2" t="s">
        <v>28</v>
      </c>
      <c r="D490" s="2">
        <v>3.2088510000000001</v>
      </c>
      <c r="E490" s="2">
        <v>2.7818800000000001</v>
      </c>
      <c r="F490" s="2">
        <v>2.4329939999999999</v>
      </c>
      <c r="G490" s="2">
        <v>3.8200159999999999</v>
      </c>
      <c r="H490" s="2">
        <v>1.935322</v>
      </c>
      <c r="I490" s="2">
        <v>4.1383989999999997</v>
      </c>
      <c r="J490" s="2">
        <v>3.594535</v>
      </c>
      <c r="K490" s="2">
        <v>3.2088510000000001</v>
      </c>
      <c r="L490" s="2">
        <f>AVERAGE(D490:K490)</f>
        <v>3.1401059999999998</v>
      </c>
      <c r="M490" s="2">
        <f xml:space="preserve"> _xlfn.STDEV.S(D490:K490) / SQRT(COUNT(D490:K490))</f>
        <v>0.2589353794977482</v>
      </c>
      <c r="N490" s="2">
        <f>M490*$N$2</f>
        <v>0.28978989362061885</v>
      </c>
    </row>
    <row r="491" spans="2:14" x14ac:dyDescent="0.55000000000000004">
      <c r="C491" s="2" t="s">
        <v>29</v>
      </c>
      <c r="D491" s="2">
        <v>4.1460000000000004E-3</v>
      </c>
      <c r="E491" s="2">
        <v>1.3256E-2</v>
      </c>
      <c r="F491" s="2">
        <v>5.352E-3</v>
      </c>
      <c r="G491" s="2">
        <v>2.6325999999999999E-2</v>
      </c>
      <c r="H491" s="2">
        <v>7.515E-3</v>
      </c>
      <c r="I491" s="2">
        <v>2.0986999999999999E-2</v>
      </c>
      <c r="J491" s="2">
        <v>2.0545000000000001E-2</v>
      </c>
      <c r="K491" s="2">
        <v>4.1460000000000004E-3</v>
      </c>
      <c r="L491" s="2">
        <f>(1/COUNT(D491:K491))*SQRT(SUMSQ(D491:K491))</f>
        <v>5.3776574346433596E-3</v>
      </c>
    </row>
    <row r="492" spans="2:14" x14ac:dyDescent="0.55000000000000004">
      <c r="C492" s="2" t="s">
        <v>30</v>
      </c>
      <c r="D492" s="2">
        <v>14.952802</v>
      </c>
      <c r="E492" s="2">
        <v>16.349378999999999</v>
      </c>
      <c r="F492" s="2">
        <v>14.015257</v>
      </c>
      <c r="G492" s="2">
        <v>16.6188</v>
      </c>
      <c r="H492" s="2">
        <v>12.082656</v>
      </c>
      <c r="I492" s="2">
        <v>17.276440000000001</v>
      </c>
      <c r="J492" s="2">
        <v>18.739165</v>
      </c>
      <c r="K492" s="2">
        <v>14.952802</v>
      </c>
      <c r="L492" s="2">
        <f>AVERAGE(D492:K492)</f>
        <v>15.623412625</v>
      </c>
      <c r="M492" s="2">
        <f xml:space="preserve"> _xlfn.STDEV.S(D492:K492) / SQRT(COUNT(D492:K492))</f>
        <v>0.73169073752391078</v>
      </c>
      <c r="N492" s="2">
        <f>M492*$N$2</f>
        <v>0.8188783680373436</v>
      </c>
    </row>
    <row r="493" spans="2:14" x14ac:dyDescent="0.55000000000000004">
      <c r="C493" s="2" t="s">
        <v>31</v>
      </c>
      <c r="D493" s="2">
        <v>1.5280999999999999E-2</v>
      </c>
      <c r="E493" s="2">
        <v>2.6616999999999998E-2</v>
      </c>
      <c r="F493" s="2">
        <v>2.7283999999999999E-2</v>
      </c>
      <c r="G493" s="2">
        <v>7.2346999999999995E-2</v>
      </c>
      <c r="H493" s="2">
        <v>4.5802000000000002E-2</v>
      </c>
      <c r="I493" s="2">
        <v>4.7350999999999997E-2</v>
      </c>
      <c r="J493" s="2">
        <v>5.9028999999999998E-2</v>
      </c>
      <c r="K493" s="2">
        <v>1.5280999999999999E-2</v>
      </c>
      <c r="L493" s="2">
        <f>(1/COUNT(D493:K493))*SQRT(SUMSQ(D493:K493))</f>
        <v>1.5298259154434859E-2</v>
      </c>
    </row>
    <row r="494" spans="2:14" x14ac:dyDescent="0.55000000000000004">
      <c r="B494" s="2" t="s">
        <v>45</v>
      </c>
      <c r="C494" s="2" t="s">
        <v>22</v>
      </c>
      <c r="D494" s="2">
        <v>0.81076700000000002</v>
      </c>
      <c r="E494" s="2">
        <v>0.865672</v>
      </c>
      <c r="F494" s="2">
        <v>0.6956</v>
      </c>
      <c r="G494" s="2">
        <v>0.83701599999999998</v>
      </c>
      <c r="H494" s="2">
        <v>0.82521800000000001</v>
      </c>
      <c r="I494" s="2">
        <v>0.86288600000000004</v>
      </c>
      <c r="J494" s="2">
        <v>0.876579</v>
      </c>
      <c r="K494" s="2">
        <v>0.73358599999999996</v>
      </c>
      <c r="L494" s="2">
        <f>AVERAGE(D494:K494)</f>
        <v>0.81341549999999996</v>
      </c>
      <c r="M494" s="2">
        <f xml:space="preserve"> _xlfn.STDEV.S(D494:K494) / SQRT(COUNT(D494:K494))</f>
        <v>2.319337889047525E-2</v>
      </c>
      <c r="N494" s="2">
        <f>M494*$N$2</f>
        <v>2.595708170281914E-2</v>
      </c>
    </row>
    <row r="495" spans="2:14" x14ac:dyDescent="0.55000000000000004">
      <c r="C495" s="2" t="s">
        <v>23</v>
      </c>
      <c r="D495" s="2">
        <v>3.0829999999999998E-3</v>
      </c>
      <c r="E495" s="2">
        <v>5.11E-3</v>
      </c>
      <c r="F495" s="2">
        <v>9.3139999999999994E-3</v>
      </c>
      <c r="G495" s="2">
        <v>5.3109999999999997E-3</v>
      </c>
      <c r="H495" s="2">
        <v>5.8440000000000002E-3</v>
      </c>
      <c r="I495" s="2">
        <v>2.1589999999999999E-3</v>
      </c>
      <c r="J495" s="2">
        <v>3.437E-3</v>
      </c>
      <c r="K495" s="2">
        <v>2.5240000000000002E-3</v>
      </c>
      <c r="L495" s="2">
        <f>(1/COUNT(D495:K495))*SQRT(SUMSQ(D495:K495))</f>
        <v>1.8009175959771175E-3</v>
      </c>
    </row>
    <row r="496" spans="2:14" x14ac:dyDescent="0.55000000000000004">
      <c r="C496" s="2" t="s">
        <v>24</v>
      </c>
      <c r="D496" s="2">
        <v>0.58325199999999999</v>
      </c>
      <c r="E496" s="2">
        <v>0.48752400000000001</v>
      </c>
      <c r="F496" s="2">
        <v>0.72126599999999996</v>
      </c>
      <c r="G496" s="2">
        <v>0.53693999999999997</v>
      </c>
      <c r="H496" s="2">
        <v>0.56514500000000001</v>
      </c>
      <c r="I496" s="2">
        <v>0.50536899999999996</v>
      </c>
      <c r="J496" s="2">
        <v>0.46838600000000002</v>
      </c>
      <c r="K496" s="2">
        <v>0.68892299999999995</v>
      </c>
      <c r="L496" s="2">
        <f>AVERAGE(D496:K496)</f>
        <v>0.56960062500000008</v>
      </c>
      <c r="M496" s="2">
        <f xml:space="preserve"> _xlfn.STDEV.S(D496:K496) / SQRT(COUNT(D496:K496))</f>
        <v>3.262881574398456E-2</v>
      </c>
      <c r="N496" s="2">
        <f>M496*$N$2</f>
        <v>3.6516836987501314E-2</v>
      </c>
    </row>
    <row r="497" spans="2:14" x14ac:dyDescent="0.55000000000000004">
      <c r="C497" s="2" t="s">
        <v>25</v>
      </c>
      <c r="D497" s="2">
        <v>4.9379999999999997E-3</v>
      </c>
      <c r="E497" s="2">
        <v>8.2369999999999995E-3</v>
      </c>
      <c r="F497" s="2">
        <v>1.0626E-2</v>
      </c>
      <c r="G497" s="2">
        <v>7.8860000000000006E-3</v>
      </c>
      <c r="H497" s="2">
        <v>8.6269999999999993E-3</v>
      </c>
      <c r="I497" s="2">
        <v>4.0270000000000002E-3</v>
      </c>
      <c r="J497" s="2">
        <v>6.1700000000000001E-3</v>
      </c>
      <c r="K497" s="2">
        <v>2.6310000000000001E-3</v>
      </c>
      <c r="L497" s="2">
        <f>(1/COUNT(D497:K497))*SQRT(SUMSQ(D497:K497))</f>
        <v>2.5092510212212727E-3</v>
      </c>
    </row>
    <row r="498" spans="2:14" x14ac:dyDescent="0.55000000000000004">
      <c r="C498" s="2" t="s">
        <v>26</v>
      </c>
      <c r="D498" s="2">
        <v>0.44675700000000002</v>
      </c>
      <c r="E498" s="2">
        <v>0.553006</v>
      </c>
      <c r="F498" s="2">
        <v>0.41916599999999998</v>
      </c>
      <c r="G498" s="2">
        <v>0.48375200000000002</v>
      </c>
      <c r="H498" s="2">
        <v>0.48523300000000003</v>
      </c>
      <c r="I498" s="2">
        <v>0.37136799999999998</v>
      </c>
      <c r="J498" s="2">
        <v>0.50414000000000003</v>
      </c>
      <c r="K498" s="2">
        <v>0.29685099999999998</v>
      </c>
      <c r="L498" s="2">
        <f>AVERAGE(D498:K498)</f>
        <v>0.44503412499999995</v>
      </c>
      <c r="M498" s="2">
        <f xml:space="preserve"> _xlfn.STDEV.S(D498:K498) / SQRT(COUNT(D498:K498))</f>
        <v>2.8761183645570003E-2</v>
      </c>
      <c r="N498" s="2">
        <f>M498*$N$2</f>
        <v>3.2188341219417244E-2</v>
      </c>
    </row>
    <row r="499" spans="2:14" x14ac:dyDescent="0.55000000000000004">
      <c r="C499" s="2" t="s">
        <v>27</v>
      </c>
      <c r="D499" s="2">
        <v>5.3499999999999997E-3</v>
      </c>
      <c r="E499" s="2">
        <v>8.1359999999999991E-3</v>
      </c>
      <c r="F499" s="2">
        <v>6.9249999999999997E-3</v>
      </c>
      <c r="G499" s="2">
        <v>7.0260000000000001E-3</v>
      </c>
      <c r="H499" s="2">
        <v>6.9150000000000001E-3</v>
      </c>
      <c r="I499" s="2">
        <v>4.3189999999999999E-3</v>
      </c>
      <c r="J499" s="2">
        <v>5.1399999999999996E-3</v>
      </c>
      <c r="K499" s="2">
        <v>2.1129999999999999E-3</v>
      </c>
      <c r="L499" s="2">
        <f>(1/COUNT(D499:K499))*SQRT(SUMSQ(D499:K499))</f>
        <v>2.126810449358381E-3</v>
      </c>
    </row>
    <row r="500" spans="2:14" x14ac:dyDescent="0.55000000000000004">
      <c r="C500" s="2" t="s">
        <v>28</v>
      </c>
      <c r="D500" s="2">
        <v>3.3051110000000001</v>
      </c>
      <c r="E500" s="2">
        <v>2.9816549999999999</v>
      </c>
      <c r="F500" s="2">
        <v>2.6888290000000001</v>
      </c>
      <c r="G500" s="2">
        <v>3.9805120000000001</v>
      </c>
      <c r="H500" s="2">
        <v>1.838131</v>
      </c>
      <c r="I500" s="2">
        <v>4.0800539999999996</v>
      </c>
      <c r="J500" s="2">
        <v>3.2994490000000001</v>
      </c>
      <c r="K500" s="2">
        <v>3.036807</v>
      </c>
      <c r="L500" s="2">
        <f>AVERAGE(D500:K500)</f>
        <v>3.1513184999999999</v>
      </c>
      <c r="M500" s="2">
        <f xml:space="preserve"> _xlfn.STDEV.S(D500:K500) / SQRT(COUNT(D500:K500))</f>
        <v>0.25269839455225279</v>
      </c>
      <c r="N500" s="2">
        <f>M500*$N$2</f>
        <v>0.28280971498541529</v>
      </c>
    </row>
    <row r="501" spans="2:14" x14ac:dyDescent="0.55000000000000004">
      <c r="C501" s="2" t="s">
        <v>29</v>
      </c>
      <c r="D501" s="2">
        <v>6.053E-2</v>
      </c>
      <c r="E501" s="2">
        <v>7.8643000000000005E-2</v>
      </c>
      <c r="F501" s="2">
        <v>6.1103999999999999E-2</v>
      </c>
      <c r="G501" s="2">
        <v>0.146644</v>
      </c>
      <c r="H501" s="2">
        <v>5.4525999999999998E-2</v>
      </c>
      <c r="I501" s="2">
        <v>8.7383000000000002E-2</v>
      </c>
      <c r="J501" s="2">
        <v>6.4352000000000006E-2</v>
      </c>
      <c r="K501" s="2">
        <v>3.1106000000000002E-2</v>
      </c>
      <c r="L501" s="2">
        <f>(1/COUNT(D501:K501))*SQRT(SUMSQ(D501:K501))</f>
        <v>2.817478937532187E-2</v>
      </c>
    </row>
    <row r="502" spans="2:14" x14ac:dyDescent="0.55000000000000004">
      <c r="C502" s="2" t="s">
        <v>30</v>
      </c>
      <c r="D502" s="2">
        <v>15.200825999999999</v>
      </c>
      <c r="E502" s="2">
        <v>16.085086</v>
      </c>
      <c r="F502" s="2">
        <v>15.500958000000001</v>
      </c>
      <c r="G502" s="2">
        <v>17.042563000000001</v>
      </c>
      <c r="H502" s="2">
        <v>11.461356</v>
      </c>
      <c r="I502" s="2">
        <v>16.637708</v>
      </c>
      <c r="J502" s="2">
        <v>19.012913000000001</v>
      </c>
      <c r="K502" s="2">
        <v>14.302231000000001</v>
      </c>
      <c r="L502" s="2">
        <f>AVERAGE(D502:K502)</f>
        <v>15.655455125000001</v>
      </c>
      <c r="M502" s="2">
        <f xml:space="preserve"> _xlfn.STDEV.S(D502:K502) / SQRT(COUNT(D502:K502))</f>
        <v>0.77917349805768177</v>
      </c>
      <c r="N502" s="2">
        <f>M502*$N$2</f>
        <v>0.87201913292851008</v>
      </c>
    </row>
    <row r="503" spans="2:14" x14ac:dyDescent="0.55000000000000004">
      <c r="C503" s="2" t="s">
        <v>31</v>
      </c>
      <c r="D503" s="2">
        <v>0.22644500000000001</v>
      </c>
      <c r="E503" s="2">
        <v>5.4916E-2</v>
      </c>
      <c r="F503" s="2">
        <v>0.156085</v>
      </c>
      <c r="G503" s="2">
        <v>0.26441300000000001</v>
      </c>
      <c r="H503" s="2">
        <v>0.24627099999999999</v>
      </c>
      <c r="I503" s="2">
        <v>0.17105899999999999</v>
      </c>
      <c r="J503" s="2">
        <v>0.106186</v>
      </c>
      <c r="K503" s="2">
        <v>0.18976299999999999</v>
      </c>
      <c r="L503" s="2">
        <f>(1/COUNT(D503:K503))*SQRT(SUMSQ(D503:K503))</f>
        <v>6.6821347234856387E-2</v>
      </c>
    </row>
    <row r="504" spans="2:14" x14ac:dyDescent="0.55000000000000004">
      <c r="B504" s="2" t="s">
        <v>46</v>
      </c>
      <c r="C504" s="2" t="s">
        <v>22</v>
      </c>
      <c r="L504" s="2" t="e">
        <f>AVERAGE(D504:K504)</f>
        <v>#DIV/0!</v>
      </c>
      <c r="M504" s="2" t="e">
        <f xml:space="preserve"> _xlfn.STDEV.S(D504:K504) / SQRT(COUNT(D504:K504))</f>
        <v>#DIV/0!</v>
      </c>
      <c r="N504" s="2" t="e">
        <f>M504*$N$2</f>
        <v>#DIV/0!</v>
      </c>
    </row>
    <row r="505" spans="2:14" x14ac:dyDescent="0.55000000000000004">
      <c r="C505" s="2" t="s">
        <v>23</v>
      </c>
      <c r="L505" s="2" t="e">
        <f>(1/COUNT(D505:K505))*SQRT(SUMSQ(D505:K505))</f>
        <v>#DIV/0!</v>
      </c>
    </row>
    <row r="506" spans="2:14" x14ac:dyDescent="0.55000000000000004">
      <c r="C506" s="2" t="s">
        <v>24</v>
      </c>
      <c r="L506" s="2" t="e">
        <f>AVERAGE(D506:K506)</f>
        <v>#DIV/0!</v>
      </c>
      <c r="M506" s="2" t="e">
        <f xml:space="preserve"> _xlfn.STDEV.S(D506:K506) / SQRT(COUNT(D506:K506))</f>
        <v>#DIV/0!</v>
      </c>
      <c r="N506" s="2" t="e">
        <f>M506*$N$2</f>
        <v>#DIV/0!</v>
      </c>
    </row>
    <row r="507" spans="2:14" x14ac:dyDescent="0.55000000000000004">
      <c r="C507" s="2" t="s">
        <v>25</v>
      </c>
      <c r="L507" s="2" t="e">
        <f>(1/COUNT(D507:K507))*SQRT(SUMSQ(D507:K507))</f>
        <v>#DIV/0!</v>
      </c>
    </row>
    <row r="508" spans="2:14" x14ac:dyDescent="0.55000000000000004">
      <c r="C508" s="2" t="s">
        <v>26</v>
      </c>
      <c r="L508" s="2" t="e">
        <f>AVERAGE(D508:K508)</f>
        <v>#DIV/0!</v>
      </c>
      <c r="M508" s="2" t="e">
        <f xml:space="preserve"> _xlfn.STDEV.S(D508:K508) / SQRT(COUNT(D508:K508))</f>
        <v>#DIV/0!</v>
      </c>
      <c r="N508" s="2" t="e">
        <f>M508*$N$2</f>
        <v>#DIV/0!</v>
      </c>
    </row>
    <row r="509" spans="2:14" x14ac:dyDescent="0.55000000000000004">
      <c r="C509" s="2" t="s">
        <v>27</v>
      </c>
      <c r="L509" s="2" t="e">
        <f>(1/COUNT(D509:K509))*SQRT(SUMSQ(D509:K509))</f>
        <v>#DIV/0!</v>
      </c>
    </row>
    <row r="510" spans="2:14" x14ac:dyDescent="0.55000000000000004">
      <c r="C510" s="2" t="s">
        <v>28</v>
      </c>
      <c r="L510" s="2" t="e">
        <f>AVERAGE(D510:K510)</f>
        <v>#DIV/0!</v>
      </c>
      <c r="M510" s="2" t="e">
        <f xml:space="preserve"> _xlfn.STDEV.S(D510:K510) / SQRT(COUNT(D510:K510))</f>
        <v>#DIV/0!</v>
      </c>
      <c r="N510" s="2" t="e">
        <f>M510*$N$2</f>
        <v>#DIV/0!</v>
      </c>
    </row>
    <row r="511" spans="2:14" x14ac:dyDescent="0.55000000000000004">
      <c r="C511" s="2" t="s">
        <v>29</v>
      </c>
      <c r="L511" s="2" t="e">
        <f>(1/COUNT(D511:K511))*SQRT(SUMSQ(D511:K511))</f>
        <v>#DIV/0!</v>
      </c>
    </row>
    <row r="512" spans="2:14" x14ac:dyDescent="0.55000000000000004">
      <c r="C512" s="2" t="s">
        <v>30</v>
      </c>
      <c r="L512" s="2" t="e">
        <f>AVERAGE(D512:K512)</f>
        <v>#DIV/0!</v>
      </c>
      <c r="M512" s="2" t="e">
        <f xml:space="preserve"> _xlfn.STDEV.S(D512:K512) / SQRT(COUNT(D512:K512))</f>
        <v>#DIV/0!</v>
      </c>
      <c r="N512" s="2" t="e">
        <f>M512*$N$2</f>
        <v>#DIV/0!</v>
      </c>
    </row>
    <row r="513" spans="2:14" x14ac:dyDescent="0.55000000000000004">
      <c r="C513" s="2" t="s">
        <v>31</v>
      </c>
      <c r="L513" s="2" t="e">
        <f>(1/COUNT(D513:K513))*SQRT(SUMSQ(D513:K513))</f>
        <v>#DIV/0!</v>
      </c>
    </row>
    <row r="514" spans="2:14" x14ac:dyDescent="0.55000000000000004">
      <c r="B514" s="2" t="s">
        <v>36</v>
      </c>
      <c r="C514" s="2" t="s">
        <v>22</v>
      </c>
      <c r="D514" s="2">
        <v>0.80122099999999996</v>
      </c>
      <c r="E514" s="2">
        <v>0.86308300000000004</v>
      </c>
      <c r="F514" s="2">
        <v>0.71276300000000004</v>
      </c>
      <c r="G514" s="2">
        <v>0.86804499999999996</v>
      </c>
      <c r="H514" s="2">
        <v>0.82935999999999999</v>
      </c>
      <c r="I514" s="2">
        <v>0.86205500000000002</v>
      </c>
      <c r="J514" s="2">
        <v>0.86139900000000003</v>
      </c>
      <c r="K514" s="2">
        <v>0.73726400000000003</v>
      </c>
      <c r="L514" s="2">
        <f>AVERAGE(D514:K514)</f>
        <v>0.81689875000000001</v>
      </c>
      <c r="M514" s="2">
        <f xml:space="preserve"> _xlfn.STDEV.S(D514:K514) / SQRT(COUNT(D514:K514))</f>
        <v>2.1694018857040819E-2</v>
      </c>
      <c r="N514" s="2">
        <f>M514*$N$2</f>
        <v>2.4279059234700796E-2</v>
      </c>
    </row>
    <row r="515" spans="2:14" x14ac:dyDescent="0.55000000000000004">
      <c r="C515" s="2" t="s">
        <v>24</v>
      </c>
      <c r="D515" s="2">
        <v>0.60049200000000003</v>
      </c>
      <c r="E515" s="2">
        <v>0.49983899999999998</v>
      </c>
      <c r="F515" s="2">
        <v>0.70123000000000002</v>
      </c>
      <c r="G515" s="2">
        <v>0.48891699999999999</v>
      </c>
      <c r="H515" s="2">
        <v>0.55917499999999998</v>
      </c>
      <c r="I515" s="2">
        <v>0.50829199999999997</v>
      </c>
      <c r="J515" s="2">
        <v>0.495558</v>
      </c>
      <c r="K515" s="2">
        <v>0.68633900000000003</v>
      </c>
      <c r="L515" s="2">
        <f t="shared" ref="L515:L532" si="15">AVERAGE(D515:K515)</f>
        <v>0.56748025000000002</v>
      </c>
      <c r="M515" s="2">
        <f t="shared" ref="M515:M531" si="16" xml:space="preserve"> _xlfn.STDEV.S(D515:K515) / SQRT(COUNT(D515:K515))</f>
        <v>3.0647399338367357E-2</v>
      </c>
      <c r="N515" s="2">
        <f t="shared" ref="N515:N531" si="17">M515*$N$2</f>
        <v>3.4299316730069855E-2</v>
      </c>
    </row>
    <row r="516" spans="2:14" x14ac:dyDescent="0.55000000000000004">
      <c r="C516" s="2" t="s">
        <v>26</v>
      </c>
      <c r="D516" s="2">
        <v>0.42299300000000001</v>
      </c>
      <c r="E516" s="2">
        <v>0.54273899999999997</v>
      </c>
      <c r="F516" s="2">
        <v>0.43333899999999997</v>
      </c>
      <c r="G516" s="2">
        <v>0.53060499999999999</v>
      </c>
      <c r="H516" s="2">
        <v>0.48883300000000002</v>
      </c>
      <c r="I516" s="2">
        <v>0.36705300000000002</v>
      </c>
      <c r="J516" s="2">
        <v>0.477738</v>
      </c>
      <c r="K516" s="2">
        <v>0.29533799999999999</v>
      </c>
      <c r="L516" s="2">
        <f t="shared" si="15"/>
        <v>0.44482974999999997</v>
      </c>
      <c r="M516" s="2">
        <f t="shared" si="16"/>
        <v>2.9570962114613946E-2</v>
      </c>
      <c r="N516" s="2">
        <f t="shared" si="17"/>
        <v>3.3094612184998262E-2</v>
      </c>
    </row>
    <row r="517" spans="2:14" x14ac:dyDescent="0.55000000000000004">
      <c r="C517" s="2" t="s">
        <v>28</v>
      </c>
      <c r="D517" s="2">
        <v>3.454774</v>
      </c>
      <c r="E517" s="2">
        <v>3.013401</v>
      </c>
      <c r="F517" s="2">
        <v>2.4639229999999999</v>
      </c>
      <c r="G517" s="2">
        <v>3.1850869999999998</v>
      </c>
      <c r="H517" s="2">
        <v>1.8183419999999999</v>
      </c>
      <c r="I517" s="2">
        <v>4.090484</v>
      </c>
      <c r="J517" s="2">
        <v>3.5138850000000001</v>
      </c>
      <c r="K517" s="2">
        <v>3.1130740000000001</v>
      </c>
      <c r="L517" s="2">
        <f t="shared" si="15"/>
        <v>3.08162125</v>
      </c>
      <c r="M517" s="2">
        <f t="shared" si="16"/>
        <v>0.24413378225310237</v>
      </c>
      <c r="N517" s="2">
        <f t="shared" si="17"/>
        <v>0.27322455094994508</v>
      </c>
    </row>
    <row r="518" spans="2:14" x14ac:dyDescent="0.55000000000000004">
      <c r="C518" s="2" t="s">
        <v>30</v>
      </c>
      <c r="D518" s="2">
        <v>15.190084000000001</v>
      </c>
      <c r="E518" s="2">
        <v>16.294865999999999</v>
      </c>
      <c r="F518" s="2">
        <v>13.740841</v>
      </c>
      <c r="G518" s="2">
        <v>15.540172999999999</v>
      </c>
      <c r="H518" s="2">
        <v>11.356401</v>
      </c>
      <c r="I518" s="2">
        <v>16.48217</v>
      </c>
      <c r="J518" s="2">
        <v>17.921496000000001</v>
      </c>
      <c r="K518" s="2">
        <v>14.468088</v>
      </c>
      <c r="L518" s="2">
        <f t="shared" si="15"/>
        <v>15.124264875</v>
      </c>
      <c r="M518" s="2">
        <f t="shared" si="16"/>
        <v>0.70403498929401809</v>
      </c>
      <c r="N518" s="2">
        <f t="shared" si="17"/>
        <v>0.78792718495419556</v>
      </c>
    </row>
    <row r="519" spans="2:14" ht="14.25" customHeight="1" x14ac:dyDescent="0.55000000000000004">
      <c r="B519" s="2" t="s">
        <v>37</v>
      </c>
      <c r="C519" s="2" t="s">
        <v>22</v>
      </c>
      <c r="D519" s="2">
        <v>0.74255400000000005</v>
      </c>
      <c r="E519" s="2">
        <v>0.78924700000000003</v>
      </c>
      <c r="F519" s="2">
        <v>0.60903099999999999</v>
      </c>
      <c r="G519" s="2">
        <v>0.80499900000000002</v>
      </c>
      <c r="H519" s="2">
        <v>0.71916899999999995</v>
      </c>
      <c r="I519" s="2">
        <v>0.79729300000000003</v>
      </c>
      <c r="J519" s="2">
        <v>0.82105600000000001</v>
      </c>
      <c r="K519" s="2">
        <v>0.64866100000000004</v>
      </c>
      <c r="L519" s="2">
        <f t="shared" si="15"/>
        <v>0.74150124999999989</v>
      </c>
      <c r="M519" s="2">
        <f t="shared" si="16"/>
        <v>2.7522982390533971E-2</v>
      </c>
      <c r="N519" s="2">
        <f t="shared" si="17"/>
        <v>3.0802596982095171E-2</v>
      </c>
    </row>
    <row r="520" spans="2:14" x14ac:dyDescent="0.55000000000000004">
      <c r="C520" s="2" t="s">
        <v>24</v>
      </c>
      <c r="D520" s="2">
        <v>0.68952000000000002</v>
      </c>
      <c r="E520" s="2">
        <v>0.61026400000000003</v>
      </c>
      <c r="F520" s="2">
        <v>0.81315800000000005</v>
      </c>
      <c r="G520" s="2">
        <v>0.592638</v>
      </c>
      <c r="H520" s="2">
        <v>0.70709100000000003</v>
      </c>
      <c r="I520" s="2">
        <v>0.61368400000000001</v>
      </c>
      <c r="J520" s="2">
        <v>0.56430499999999995</v>
      </c>
      <c r="K520" s="2">
        <v>0.78985700000000003</v>
      </c>
      <c r="L520" s="2">
        <f t="shared" si="15"/>
        <v>0.67256462500000014</v>
      </c>
      <c r="M520" s="2">
        <f t="shared" si="16"/>
        <v>3.2857990250218669E-2</v>
      </c>
      <c r="N520" s="2">
        <f t="shared" si="17"/>
        <v>3.6773319728140921E-2</v>
      </c>
    </row>
    <row r="521" spans="2:14" x14ac:dyDescent="0.55000000000000004">
      <c r="C521" s="2" t="s">
        <v>26</v>
      </c>
      <c r="D521" s="2">
        <v>0.34679500000000002</v>
      </c>
      <c r="E521" s="2">
        <v>0.43282999999999999</v>
      </c>
      <c r="F521" s="2">
        <v>0.36759500000000001</v>
      </c>
      <c r="G521" s="2">
        <v>0.43506800000000001</v>
      </c>
      <c r="H521" s="2">
        <v>0.36187799999999998</v>
      </c>
      <c r="I521" s="2">
        <v>0.288462</v>
      </c>
      <c r="J521" s="2">
        <v>0.41001300000000002</v>
      </c>
      <c r="K521" s="2">
        <v>0.226025</v>
      </c>
      <c r="L521" s="2">
        <f t="shared" si="15"/>
        <v>0.35858325000000002</v>
      </c>
      <c r="M521" s="2">
        <f t="shared" si="16"/>
        <v>2.5609437870880672E-2</v>
      </c>
      <c r="N521" s="2">
        <f t="shared" si="17"/>
        <v>2.8661036165399317E-2</v>
      </c>
    </row>
    <row r="522" spans="2:14" x14ac:dyDescent="0.55000000000000004">
      <c r="C522" s="2" t="s">
        <v>28</v>
      </c>
      <c r="D522" s="2">
        <v>4.6597359999999997</v>
      </c>
      <c r="E522" s="2">
        <v>4.5473169999999996</v>
      </c>
      <c r="F522" s="2">
        <v>3.3527499999999999</v>
      </c>
      <c r="G522" s="2">
        <v>4.38103</v>
      </c>
      <c r="H522" s="2">
        <v>3.1279249999999998</v>
      </c>
      <c r="I522" s="2">
        <v>7.3065009999999999</v>
      </c>
      <c r="J522" s="2">
        <v>4.4584229999999998</v>
      </c>
      <c r="K522" s="2">
        <v>4.0740530000000001</v>
      </c>
      <c r="L522" s="2">
        <f t="shared" si="15"/>
        <v>4.4884668750000003</v>
      </c>
      <c r="M522" s="2">
        <f t="shared" si="16"/>
        <v>0.44919022319079177</v>
      </c>
      <c r="N522" s="2">
        <f t="shared" si="17"/>
        <v>0.50271533865465312</v>
      </c>
    </row>
    <row r="523" spans="2:14" x14ac:dyDescent="0.55000000000000004">
      <c r="C523" s="2" t="s">
        <v>30</v>
      </c>
      <c r="D523" s="2">
        <v>19.088923000000001</v>
      </c>
      <c r="E523" s="2">
        <v>18.509167000000001</v>
      </c>
      <c r="F523" s="2">
        <v>17.71621</v>
      </c>
      <c r="G523" s="2">
        <v>17.723839999999999</v>
      </c>
      <c r="H523" s="2">
        <v>17.181830999999999</v>
      </c>
      <c r="I523" s="2">
        <v>24.648530000000001</v>
      </c>
      <c r="J523" s="2">
        <v>20.592696</v>
      </c>
      <c r="K523" s="2">
        <v>18.655526999999999</v>
      </c>
      <c r="L523" s="2">
        <f t="shared" si="15"/>
        <v>19.264590500000001</v>
      </c>
      <c r="M523" s="2">
        <f t="shared" si="16"/>
        <v>0.85390314200233608</v>
      </c>
      <c r="N523" s="2">
        <f t="shared" si="17"/>
        <v>0.95565349610836448</v>
      </c>
    </row>
    <row r="524" spans="2:14" x14ac:dyDescent="0.55000000000000004">
      <c r="B524" s="2" t="s">
        <v>39</v>
      </c>
      <c r="C524" s="2" t="s">
        <v>22</v>
      </c>
      <c r="D524" s="2">
        <v>0.837337</v>
      </c>
      <c r="E524" s="2">
        <v>0.90715800000000002</v>
      </c>
      <c r="F524" s="2">
        <v>0.74937299999999996</v>
      </c>
      <c r="G524" s="2">
        <v>0.82045500000000005</v>
      </c>
      <c r="H524" s="2">
        <v>0.83724699999999996</v>
      </c>
      <c r="I524" s="2">
        <v>0.87784700000000004</v>
      </c>
      <c r="J524" s="2">
        <v>0.88648499999999997</v>
      </c>
      <c r="K524" s="2">
        <v>0.72906400000000005</v>
      </c>
      <c r="L524" s="2">
        <f t="shared" si="15"/>
        <v>0.83062074999999991</v>
      </c>
      <c r="M524" s="2">
        <f t="shared" si="16"/>
        <v>2.2486667391677418E-2</v>
      </c>
      <c r="N524" s="2">
        <f t="shared" si="17"/>
        <v>2.5166159077821607E-2</v>
      </c>
    </row>
    <row r="525" spans="2:14" x14ac:dyDescent="0.55000000000000004">
      <c r="C525" s="2" t="s">
        <v>24</v>
      </c>
      <c r="D525" s="2">
        <v>0.54716699999999996</v>
      </c>
      <c r="E525" s="2">
        <v>0.41845599999999999</v>
      </c>
      <c r="F525" s="2">
        <v>0.66358399999999995</v>
      </c>
      <c r="G525" s="2">
        <v>0.57146300000000005</v>
      </c>
      <c r="H525" s="2">
        <v>0.54823699999999997</v>
      </c>
      <c r="I525" s="2">
        <v>0.48132599999999998</v>
      </c>
      <c r="J525" s="2">
        <v>0.45682</v>
      </c>
      <c r="K525" s="2">
        <v>0.69511100000000003</v>
      </c>
      <c r="L525" s="2">
        <f t="shared" si="15"/>
        <v>0.54777049999999994</v>
      </c>
      <c r="M525" s="2">
        <f t="shared" si="16"/>
        <v>3.4093623999112574E-2</v>
      </c>
      <c r="N525" s="2">
        <f t="shared" si="17"/>
        <v>3.815619051752691E-2</v>
      </c>
    </row>
    <row r="526" spans="2:14" x14ac:dyDescent="0.55000000000000004">
      <c r="C526" s="2" t="s">
        <v>26</v>
      </c>
      <c r="D526" s="2">
        <v>0.48299399999999998</v>
      </c>
      <c r="E526" s="2">
        <v>0.62548899999999996</v>
      </c>
      <c r="F526" s="2">
        <v>0.45572800000000002</v>
      </c>
      <c r="G526" s="2">
        <v>0.45188200000000001</v>
      </c>
      <c r="H526" s="2">
        <v>0.49906499999999998</v>
      </c>
      <c r="I526" s="2">
        <v>0.39542500000000003</v>
      </c>
      <c r="J526" s="2">
        <v>0.51458800000000005</v>
      </c>
      <c r="K526" s="2">
        <v>0.301427</v>
      </c>
      <c r="L526" s="2">
        <f t="shared" si="15"/>
        <v>0.46582474999999995</v>
      </c>
      <c r="M526" s="2">
        <f t="shared" si="16"/>
        <v>3.3152600169384559E-2</v>
      </c>
      <c r="N526" s="2">
        <f t="shared" si="17"/>
        <v>3.710303510848123E-2</v>
      </c>
    </row>
    <row r="527" spans="2:14" x14ac:dyDescent="0.55000000000000004">
      <c r="C527" s="2" t="s">
        <v>28</v>
      </c>
      <c r="D527" s="2">
        <v>2.6045180000000001</v>
      </c>
      <c r="E527" s="2">
        <v>2.401176</v>
      </c>
      <c r="F527" s="2">
        <v>2.2923650000000002</v>
      </c>
      <c r="G527" s="2">
        <v>4.0999129999999999</v>
      </c>
      <c r="H527" s="2">
        <v>1.749322</v>
      </c>
      <c r="I527" s="2">
        <v>3.7788300000000001</v>
      </c>
      <c r="J527" s="2">
        <v>3.1094840000000001</v>
      </c>
      <c r="K527" s="2">
        <v>3.1348370000000001</v>
      </c>
      <c r="L527" s="2">
        <f t="shared" si="15"/>
        <v>2.8963056249999997</v>
      </c>
      <c r="M527" s="2">
        <f t="shared" si="16"/>
        <v>0.27840333344967533</v>
      </c>
      <c r="N527" s="2">
        <f t="shared" si="17"/>
        <v>0.31157763199643679</v>
      </c>
    </row>
    <row r="528" spans="2:14" x14ac:dyDescent="0.55000000000000004">
      <c r="C528" s="2" t="s">
        <v>30</v>
      </c>
      <c r="D528" s="2">
        <v>14.447535</v>
      </c>
      <c r="E528" s="2">
        <v>16.419792000000001</v>
      </c>
      <c r="F528" s="2">
        <v>13.702583000000001</v>
      </c>
      <c r="G528" s="2">
        <v>17.001158</v>
      </c>
      <c r="H528" s="2">
        <v>10.822533999999999</v>
      </c>
      <c r="I528" s="2">
        <v>18.568225999999999</v>
      </c>
      <c r="J528" s="2">
        <v>18.386766999999999</v>
      </c>
      <c r="K528" s="2">
        <v>15.445644</v>
      </c>
      <c r="L528" s="2">
        <f t="shared" si="15"/>
        <v>15.599279875000002</v>
      </c>
      <c r="M528" s="2">
        <f t="shared" si="16"/>
        <v>0.91600947845764957</v>
      </c>
      <c r="N528" s="2">
        <f t="shared" si="17"/>
        <v>1.0251603694814106</v>
      </c>
    </row>
    <row r="529" spans="1:14" x14ac:dyDescent="0.55000000000000004">
      <c r="B529" s="2" t="s">
        <v>61</v>
      </c>
      <c r="C529" s="2" t="s">
        <v>22</v>
      </c>
      <c r="D529" s="2">
        <v>0.73602500000000004</v>
      </c>
      <c r="E529" s="2">
        <v>0.77194499999999999</v>
      </c>
      <c r="F529" s="2">
        <v>0.58907699999999996</v>
      </c>
      <c r="G529" s="2">
        <v>0.78441799999999995</v>
      </c>
      <c r="H529" s="2">
        <v>0.66708800000000001</v>
      </c>
      <c r="I529" s="2">
        <v>0.76580800000000004</v>
      </c>
      <c r="J529" s="2">
        <v>0.81143600000000005</v>
      </c>
      <c r="K529" s="2">
        <v>0.61354299999999995</v>
      </c>
      <c r="L529" s="2">
        <f t="shared" si="15"/>
        <v>0.71741750000000004</v>
      </c>
      <c r="M529" s="2">
        <f t="shared" si="16"/>
        <v>2.9515107332032543E-2</v>
      </c>
      <c r="N529" s="2">
        <f t="shared" si="17"/>
        <v>3.3032101795209642E-2</v>
      </c>
    </row>
    <row r="530" spans="1:14" x14ac:dyDescent="0.55000000000000004">
      <c r="C530" s="2" t="s">
        <v>24</v>
      </c>
      <c r="D530" s="2">
        <v>0.71410300000000004</v>
      </c>
      <c r="E530" s="2">
        <v>0.63672300000000004</v>
      </c>
      <c r="F530" s="2">
        <v>0.88961599999999996</v>
      </c>
      <c r="G530" s="2">
        <v>0.61676500000000001</v>
      </c>
      <c r="H530" s="2">
        <v>0.80191800000000002</v>
      </c>
      <c r="I530" s="2">
        <v>0.67592799999999997</v>
      </c>
      <c r="J530" s="2">
        <v>0.58787199999999995</v>
      </c>
      <c r="K530" s="2">
        <v>0.86556299999999997</v>
      </c>
      <c r="L530" s="2">
        <f t="shared" si="15"/>
        <v>0.72356100000000001</v>
      </c>
      <c r="M530" s="2">
        <f t="shared" si="16"/>
        <v>4.0881958890374714E-2</v>
      </c>
      <c r="N530" s="2">
        <f t="shared" si="17"/>
        <v>4.5753417477456884E-2</v>
      </c>
    </row>
    <row r="531" spans="1:14" x14ac:dyDescent="0.55000000000000004">
      <c r="C531" s="2" t="s">
        <v>26</v>
      </c>
      <c r="D531" s="2">
        <v>0.36734699999999998</v>
      </c>
      <c r="E531" s="2">
        <v>0.44944299999999998</v>
      </c>
      <c r="F531" s="2">
        <v>0.38221500000000003</v>
      </c>
      <c r="G531" s="2">
        <v>0.457289</v>
      </c>
      <c r="H531" s="2">
        <v>0.32455499999999998</v>
      </c>
      <c r="I531" s="2">
        <v>0.28372199999999997</v>
      </c>
      <c r="J531" s="2">
        <v>0.42646099999999998</v>
      </c>
      <c r="K531" s="2">
        <v>0.20077</v>
      </c>
      <c r="L531" s="2">
        <f t="shared" si="15"/>
        <v>0.36147524999999997</v>
      </c>
      <c r="M531" s="2">
        <f t="shared" si="16"/>
        <v>3.1293886963950329E-2</v>
      </c>
      <c r="N531" s="2">
        <f t="shared" si="17"/>
        <v>3.5022839257613701E-2</v>
      </c>
    </row>
    <row r="532" spans="1:14" x14ac:dyDescent="0.55000000000000004">
      <c r="A532" s="2" t="s">
        <v>20</v>
      </c>
      <c r="B532" s="2" t="s">
        <v>21</v>
      </c>
      <c r="C532" s="2" t="s">
        <v>22</v>
      </c>
      <c r="D532" s="2">
        <v>0.85409199999999996</v>
      </c>
      <c r="E532" s="2">
        <v>0.90701699999999996</v>
      </c>
      <c r="F532" s="2">
        <v>0.72212900000000002</v>
      </c>
      <c r="G532" s="2">
        <v>0.84590399999999999</v>
      </c>
      <c r="H532" s="2">
        <v>0.84147899999999998</v>
      </c>
      <c r="I532" s="2">
        <v>0.87484799999999996</v>
      </c>
      <c r="J532" s="2">
        <v>0.87556100000000003</v>
      </c>
      <c r="K532" s="2">
        <v>0.74360000000000004</v>
      </c>
      <c r="L532" s="2">
        <f t="shared" si="15"/>
        <v>0.83307874999999998</v>
      </c>
      <c r="M532" s="2">
        <f xml:space="preserve"> _xlfn.STDEV.S(D532:K532) / SQRT(COUNT(D532:K532))</f>
        <v>2.3149042815563351E-2</v>
      </c>
      <c r="N532" s="2">
        <f>M532*$N$2</f>
        <v>2.5907462579865776E-2</v>
      </c>
    </row>
    <row r="533" spans="1:14" x14ac:dyDescent="0.55000000000000004">
      <c r="A533" s="2">
        <v>1.167</v>
      </c>
      <c r="C533" s="2" t="s">
        <v>23</v>
      </c>
      <c r="D533" s="2">
        <v>4.4299999999999998E-4</v>
      </c>
      <c r="E533" s="2">
        <v>1.6080000000000001E-3</v>
      </c>
      <c r="F533" s="2">
        <v>5.0136E-2</v>
      </c>
      <c r="G533" s="2">
        <v>7.4200000000000004E-4</v>
      </c>
      <c r="H533" s="2">
        <v>6.69E-4</v>
      </c>
      <c r="I533" s="2">
        <v>5.4900000000000001E-4</v>
      </c>
      <c r="J533" s="2">
        <v>1.4989999999999999E-3</v>
      </c>
      <c r="K533" s="2">
        <v>5.7700000000000004E-4</v>
      </c>
      <c r="L533" s="2">
        <f>(1/COUNT(D533:K533))*SQRT(SUMSQ(D533:K533))</f>
        <v>6.275298629597241E-3</v>
      </c>
    </row>
    <row r="534" spans="1:14" x14ac:dyDescent="0.55000000000000004">
      <c r="C534" s="2" t="s">
        <v>24</v>
      </c>
      <c r="D534" s="2">
        <v>0.52167399999999997</v>
      </c>
      <c r="E534" s="2">
        <v>0.41803099999999999</v>
      </c>
      <c r="F534" s="2">
        <v>0.69150699999999998</v>
      </c>
      <c r="G534" s="2">
        <v>0.53279799999999999</v>
      </c>
      <c r="H534" s="2">
        <v>0.54131300000000004</v>
      </c>
      <c r="I534" s="2">
        <v>0.48666700000000002</v>
      </c>
      <c r="J534" s="2">
        <v>0.47691</v>
      </c>
      <c r="K534" s="2">
        <v>0.679894</v>
      </c>
      <c r="L534" s="2">
        <f>AVERAGE(D534:K534)</f>
        <v>0.54359925000000009</v>
      </c>
      <c r="M534" s="2">
        <f xml:space="preserve"> _xlfn.STDEV.S(D534:K534) / SQRT(COUNT(D534:K534))</f>
        <v>3.3941045126465563E-2</v>
      </c>
      <c r="N534" s="2">
        <f>M534*$N$2</f>
        <v>3.7985430479408923E-2</v>
      </c>
    </row>
    <row r="535" spans="1:14" x14ac:dyDescent="0.55000000000000004">
      <c r="C535" s="2" t="s">
        <v>25</v>
      </c>
      <c r="D535" s="2">
        <v>7.7899999999999996E-4</v>
      </c>
      <c r="E535" s="2">
        <v>3.398E-3</v>
      </c>
      <c r="F535" s="2">
        <v>5.3247000000000003E-2</v>
      </c>
      <c r="G535" s="2">
        <v>1.111E-3</v>
      </c>
      <c r="H535" s="2">
        <v>1.0679999999999999E-3</v>
      </c>
      <c r="I535" s="2">
        <v>9.8900000000000008E-4</v>
      </c>
      <c r="J535" s="2">
        <v>3.0799999999999998E-3</v>
      </c>
      <c r="K535" s="2">
        <v>7.1599999999999995E-4</v>
      </c>
      <c r="L535" s="2">
        <f>(1/COUNT(D535:K535))*SQRT(SUMSQ(D535:K535))</f>
        <v>6.6857455362135942E-3</v>
      </c>
    </row>
    <row r="536" spans="1:14" x14ac:dyDescent="0.55000000000000004">
      <c r="C536" s="2" t="s">
        <v>26</v>
      </c>
      <c r="D536" s="2">
        <v>0.50987400000000005</v>
      </c>
      <c r="E536" s="2">
        <v>0.62563199999999997</v>
      </c>
      <c r="F536" s="2">
        <v>0.436832</v>
      </c>
      <c r="G536" s="2">
        <v>0.49388700000000002</v>
      </c>
      <c r="H536" s="2">
        <v>0.50466299999999997</v>
      </c>
      <c r="I536" s="2">
        <v>0.38684800000000003</v>
      </c>
      <c r="J536" s="2">
        <v>0.49369200000000002</v>
      </c>
      <c r="K536" s="2">
        <v>0.31581300000000001</v>
      </c>
      <c r="L536" s="2">
        <f>AVERAGE(D536:K536)</f>
        <v>0.47090512499999998</v>
      </c>
      <c r="M536" s="2">
        <f xml:space="preserve"> _xlfn.STDEV.S(D536:K536) / SQRT(COUNT(D536:K536))</f>
        <v>3.2712526758784596E-2</v>
      </c>
      <c r="N536" s="2">
        <f>M536*$N$2</f>
        <v>3.6610522933859163E-2</v>
      </c>
    </row>
    <row r="537" spans="1:14" x14ac:dyDescent="0.55000000000000004">
      <c r="C537" s="2" t="s">
        <v>27</v>
      </c>
      <c r="D537" s="2">
        <v>8.6499999999999999E-4</v>
      </c>
      <c r="E537" s="2">
        <v>3.441E-3</v>
      </c>
      <c r="F537" s="2">
        <v>3.3753999999999999E-2</v>
      </c>
      <c r="G537" s="2">
        <v>1.49E-3</v>
      </c>
      <c r="H537" s="2">
        <v>9.4300000000000004E-4</v>
      </c>
      <c r="I537" s="2">
        <v>8.4800000000000001E-4</v>
      </c>
      <c r="J537" s="2">
        <v>2.7330000000000002E-3</v>
      </c>
      <c r="K537" s="2">
        <v>7.2599999999999997E-4</v>
      </c>
      <c r="L537" s="2">
        <f>(1/COUNT(D537:K537))*SQRT(SUMSQ(D537:K537))</f>
        <v>4.264215270715117E-3</v>
      </c>
    </row>
    <row r="538" spans="1:14" x14ac:dyDescent="0.55000000000000004">
      <c r="C538" s="2" t="s">
        <v>28</v>
      </c>
      <c r="D538" s="2">
        <v>2.2403119999999999</v>
      </c>
      <c r="E538" s="2">
        <v>2.346949</v>
      </c>
      <c r="F538" s="2">
        <v>2.5683560000000001</v>
      </c>
      <c r="G538" s="2">
        <v>3.555507</v>
      </c>
      <c r="H538" s="2">
        <v>1.7099310000000001</v>
      </c>
      <c r="I538" s="2">
        <v>3.392312</v>
      </c>
      <c r="J538" s="2">
        <v>3.235439</v>
      </c>
      <c r="K538" s="2">
        <v>2.7559879999999999</v>
      </c>
      <c r="L538" s="2">
        <f>AVERAGE(D538:K538)</f>
        <v>2.7255992499999997</v>
      </c>
      <c r="M538" s="2">
        <f xml:space="preserve"> _xlfn.STDEV.S(D538:K538) / SQRT(COUNT(D538:K538))</f>
        <v>0.22477369459936444</v>
      </c>
      <c r="N538" s="2">
        <f>M538*$N$2</f>
        <v>0.25155753212638815</v>
      </c>
    </row>
    <row r="539" spans="1:14" x14ac:dyDescent="0.55000000000000004">
      <c r="C539" s="2" t="s">
        <v>29</v>
      </c>
      <c r="D539" s="2">
        <v>8.1689999999999992E-3</v>
      </c>
      <c r="E539" s="2">
        <v>2.0798000000000001E-2</v>
      </c>
      <c r="F539" s="2">
        <v>0.35021000000000002</v>
      </c>
      <c r="G539" s="2">
        <v>2.0917999999999999E-2</v>
      </c>
      <c r="H539" s="2">
        <v>8.7910000000000002E-3</v>
      </c>
      <c r="I539" s="2">
        <v>1.4080000000000001E-2</v>
      </c>
      <c r="J539" s="2">
        <v>2.7983999999999998E-2</v>
      </c>
      <c r="K539" s="2">
        <v>5.8079999999999998E-3</v>
      </c>
      <c r="L539" s="2">
        <f>(1/COUNT(D539:K539))*SQRT(SUMSQ(D539:K539))</f>
        <v>4.41369072797217E-2</v>
      </c>
    </row>
    <row r="540" spans="1:14" x14ac:dyDescent="0.55000000000000004">
      <c r="C540" s="2" t="s">
        <v>30</v>
      </c>
      <c r="D540" s="2">
        <v>13.756014</v>
      </c>
      <c r="E540" s="2">
        <v>16.124824</v>
      </c>
      <c r="F540" s="2">
        <v>15.620915999999999</v>
      </c>
      <c r="G540" s="2">
        <v>16.294404</v>
      </c>
      <c r="H540" s="2">
        <v>10.762231999999999</v>
      </c>
      <c r="I540" s="2">
        <v>15.923937</v>
      </c>
      <c r="J540" s="2">
        <v>18.002238999999999</v>
      </c>
      <c r="K540" s="2">
        <v>13.611565000000001</v>
      </c>
      <c r="L540" s="2">
        <f>AVERAGE(D540:K540)</f>
        <v>15.012016375</v>
      </c>
      <c r="M540" s="2">
        <f xml:space="preserve"> _xlfn.STDEV.S(D540:K540) / SQRT(COUNT(D540:K540))</f>
        <v>0.78633554964329044</v>
      </c>
      <c r="N540" s="2">
        <f>M540*$N$2</f>
        <v>0.88003460833833902</v>
      </c>
    </row>
    <row r="541" spans="1:14" x14ac:dyDescent="0.55000000000000004">
      <c r="C541" s="2" t="s">
        <v>31</v>
      </c>
      <c r="D541" s="2">
        <v>9.8829999999999994E-3</v>
      </c>
      <c r="E541" s="2">
        <v>1.3931000000000001E-2</v>
      </c>
      <c r="F541" s="2">
        <v>0.92018900000000003</v>
      </c>
      <c r="G541" s="2">
        <v>3.6107E-2</v>
      </c>
      <c r="H541" s="2">
        <v>5.7053E-2</v>
      </c>
      <c r="I541" s="2">
        <v>1.6626999999999999E-2</v>
      </c>
      <c r="J541" s="2">
        <v>5.1604999999999998E-2</v>
      </c>
      <c r="K541" s="2">
        <v>3.9794000000000003E-2</v>
      </c>
      <c r="L541" s="2">
        <f>(1/COUNT(D541:K541))*SQRT(SUMSQ(D541:K541))</f>
        <v>0.11565853554341278</v>
      </c>
    </row>
    <row r="542" spans="1:14" x14ac:dyDescent="0.55000000000000004">
      <c r="B542" s="2" t="s">
        <v>32</v>
      </c>
      <c r="C542" s="2" t="s">
        <v>22</v>
      </c>
      <c r="D542" s="2">
        <v>0.83508899999999997</v>
      </c>
      <c r="E542" s="2">
        <v>0.85958599999999996</v>
      </c>
      <c r="F542" s="2">
        <v>0.74981699999999996</v>
      </c>
      <c r="G542" s="2">
        <v>0.84673500000000002</v>
      </c>
      <c r="H542" s="2">
        <v>0.82495099999999999</v>
      </c>
      <c r="I542" s="2">
        <v>0.87231800000000004</v>
      </c>
      <c r="J542" s="2">
        <v>0.89237599999999995</v>
      </c>
      <c r="K542" s="2">
        <v>0.74452799999999997</v>
      </c>
      <c r="L542" s="2">
        <f>AVERAGE(D542:K542)</f>
        <v>0.82817499999999988</v>
      </c>
      <c r="M542" s="2">
        <f xml:space="preserve"> _xlfn.STDEV.S(D542:K542) / SQRT(COUNT(D542:K542))</f>
        <v>1.9177968999051269E-2</v>
      </c>
      <c r="N542" s="2">
        <f>M542*$N$2</f>
        <v>2.1463199068719477E-2</v>
      </c>
    </row>
    <row r="543" spans="1:14" x14ac:dyDescent="0.55000000000000004">
      <c r="C543" s="2" t="s">
        <v>23</v>
      </c>
      <c r="D543" s="2">
        <v>1.732E-3</v>
      </c>
      <c r="E543" s="2">
        <v>9.332E-3</v>
      </c>
      <c r="F543" s="2">
        <v>3.1359999999999999E-3</v>
      </c>
      <c r="G543" s="2">
        <v>2.0370000000000002E-3</v>
      </c>
      <c r="H543" s="2">
        <v>7.1699999999999997E-4</v>
      </c>
      <c r="I543" s="2">
        <v>1.575E-3</v>
      </c>
      <c r="J543" s="2">
        <v>2.4680000000000001E-3</v>
      </c>
      <c r="K543" s="2">
        <v>5.5400000000000002E-4</v>
      </c>
      <c r="L543" s="2">
        <f>(1/COUNT(D543:K543))*SQRT(SUMSQ(D543:K543))</f>
        <v>1.3314851142145752E-3</v>
      </c>
    </row>
    <row r="544" spans="1:14" x14ac:dyDescent="0.55000000000000004">
      <c r="C544" s="2" t="s">
        <v>24</v>
      </c>
      <c r="D544" s="2">
        <v>0.55285899999999999</v>
      </c>
      <c r="E544" s="2">
        <v>0.50735799999999998</v>
      </c>
      <c r="F544" s="2">
        <v>0.66177399999999997</v>
      </c>
      <c r="G544" s="2">
        <v>0.53122199999999997</v>
      </c>
      <c r="H544" s="2">
        <v>0.56591100000000005</v>
      </c>
      <c r="I544" s="2">
        <v>0.49122199999999999</v>
      </c>
      <c r="J544" s="2">
        <v>0.44580199999999998</v>
      </c>
      <c r="K544" s="2">
        <v>0.67857500000000004</v>
      </c>
      <c r="L544" s="2">
        <f>AVERAGE(D544:K544)</f>
        <v>0.55434037500000011</v>
      </c>
      <c r="M544" s="2">
        <f xml:space="preserve"> _xlfn.STDEV.S(D544:K544) / SQRT(COUNT(D544:K544))</f>
        <v>2.8541514437580261E-2</v>
      </c>
      <c r="N544" s="2">
        <f>M544*$N$2</f>
        <v>3.1942496420075614E-2</v>
      </c>
    </row>
    <row r="545" spans="2:14" x14ac:dyDescent="0.55000000000000004">
      <c r="C545" s="2" t="s">
        <v>25</v>
      </c>
      <c r="D545" s="2">
        <v>2.4949999999999998E-3</v>
      </c>
      <c r="E545" s="2">
        <v>1.5622E-2</v>
      </c>
      <c r="F545" s="2">
        <v>3.496E-3</v>
      </c>
      <c r="G545" s="2">
        <v>3.2290000000000001E-3</v>
      </c>
      <c r="H545" s="2">
        <v>1.139E-3</v>
      </c>
      <c r="I545" s="2">
        <v>2.8630000000000001E-3</v>
      </c>
      <c r="J545" s="2">
        <v>4.5300000000000002E-3</v>
      </c>
      <c r="K545" s="2">
        <v>6.96E-4</v>
      </c>
      <c r="L545" s="2">
        <f>(1/COUNT(D545:K545))*SQRT(SUMSQ(D545:K545))</f>
        <v>2.17736858099404E-3</v>
      </c>
    </row>
    <row r="546" spans="2:14" x14ac:dyDescent="0.55000000000000004">
      <c r="C546" s="2" t="s">
        <v>26</v>
      </c>
      <c r="D546" s="2">
        <v>0.48880600000000002</v>
      </c>
      <c r="E546" s="2">
        <v>0.53449100000000005</v>
      </c>
      <c r="F546" s="2">
        <v>0.457262</v>
      </c>
      <c r="G546" s="2">
        <v>0.49534400000000001</v>
      </c>
      <c r="H546" s="2">
        <v>0.48454199999999997</v>
      </c>
      <c r="I546" s="2">
        <v>0.386882</v>
      </c>
      <c r="J546" s="2">
        <v>0.52335799999999999</v>
      </c>
      <c r="K546" s="2">
        <v>0.31793900000000003</v>
      </c>
      <c r="L546" s="2">
        <f>AVERAGE(D546:K546)</f>
        <v>0.46107799999999999</v>
      </c>
      <c r="M546" s="2">
        <f xml:space="preserve"> _xlfn.STDEV.S(D546:K546) / SQRT(COUNT(D546:K546))</f>
        <v>2.5970521956221296E-2</v>
      </c>
      <c r="N546" s="2">
        <f>M546*$N$2</f>
        <v>2.9065146715614294E-2</v>
      </c>
    </row>
    <row r="547" spans="2:14" x14ac:dyDescent="0.55000000000000004">
      <c r="C547" s="2" t="s">
        <v>27</v>
      </c>
      <c r="D547" s="2">
        <v>2.8540000000000002E-3</v>
      </c>
      <c r="E547" s="2">
        <v>1.6802999999999998E-2</v>
      </c>
      <c r="F547" s="2">
        <v>2.0140000000000002E-3</v>
      </c>
      <c r="G547" s="2">
        <v>4.045E-3</v>
      </c>
      <c r="H547" s="2">
        <v>8.92E-4</v>
      </c>
      <c r="I547" s="2">
        <v>2.6459999999999999E-3</v>
      </c>
      <c r="J547" s="2">
        <v>4.463E-3</v>
      </c>
      <c r="K547" s="2">
        <v>5.9999999999999995E-4</v>
      </c>
      <c r="L547" s="2">
        <f>(1/COUNT(D547:K547))*SQRT(SUMSQ(D547:K547))</f>
        <v>2.3014251528943974E-3</v>
      </c>
    </row>
    <row r="548" spans="2:14" x14ac:dyDescent="0.55000000000000004">
      <c r="C548" s="2" t="s">
        <v>28</v>
      </c>
      <c r="D548" s="2">
        <v>2.6248830000000001</v>
      </c>
      <c r="E548" s="2">
        <v>3.1536010000000001</v>
      </c>
      <c r="F548" s="2">
        <v>2.3653170000000001</v>
      </c>
      <c r="G548" s="2">
        <v>3.5382280000000002</v>
      </c>
      <c r="H548" s="2">
        <v>1.8671580000000001</v>
      </c>
      <c r="I548" s="2">
        <v>3.6697220000000002</v>
      </c>
      <c r="J548" s="2">
        <v>3.0186459999999999</v>
      </c>
      <c r="K548" s="2">
        <v>2.7626559999999998</v>
      </c>
      <c r="L548" s="2">
        <f>AVERAGE(D548:K548)</f>
        <v>2.875026375</v>
      </c>
      <c r="M548" s="2">
        <f xml:space="preserve"> _xlfn.STDEV.S(D548:K548) / SQRT(COUNT(D548:K548))</f>
        <v>0.21214925118962735</v>
      </c>
      <c r="N548" s="2">
        <f>M548*$N$2</f>
        <v>0.23742877104389942</v>
      </c>
    </row>
    <row r="549" spans="2:14" x14ac:dyDescent="0.55000000000000004">
      <c r="C549" s="2" t="s">
        <v>29</v>
      </c>
      <c r="D549" s="2">
        <v>4.8307000000000003E-2</v>
      </c>
      <c r="E549" s="2">
        <v>0.16761000000000001</v>
      </c>
      <c r="F549" s="2">
        <v>2.0513E-2</v>
      </c>
      <c r="G549" s="2">
        <v>5.4573999999999998E-2</v>
      </c>
      <c r="H549" s="2">
        <v>7.2490000000000002E-3</v>
      </c>
      <c r="I549" s="2">
        <v>5.0598999999999998E-2</v>
      </c>
      <c r="J549" s="2">
        <v>4.2122E-2</v>
      </c>
      <c r="K549" s="2">
        <v>6.3740000000000003E-3</v>
      </c>
      <c r="L549" s="2">
        <f>(1/COUNT(D549:K549))*SQRT(SUMSQ(D549:K549))</f>
        <v>2.4448121271122242E-2</v>
      </c>
    </row>
    <row r="550" spans="2:14" x14ac:dyDescent="0.55000000000000004">
      <c r="C550" s="2" t="s">
        <v>30</v>
      </c>
      <c r="D550" s="2">
        <v>15.699486</v>
      </c>
      <c r="E550" s="2">
        <v>17.312683</v>
      </c>
      <c r="F550" s="2">
        <v>14.864043000000001</v>
      </c>
      <c r="G550" s="2">
        <v>16.62388</v>
      </c>
      <c r="H550" s="2">
        <v>11.708786</v>
      </c>
      <c r="I550" s="2">
        <v>16.503223999999999</v>
      </c>
      <c r="J550" s="2">
        <v>18.399612000000001</v>
      </c>
      <c r="K550" s="2">
        <v>13.585131000000001</v>
      </c>
      <c r="L550" s="2">
        <f>AVERAGE(D550:K550)</f>
        <v>15.587105625000001</v>
      </c>
      <c r="M550" s="2">
        <f xml:space="preserve"> _xlfn.STDEV.S(D550:K550) / SQRT(COUNT(D550:K550))</f>
        <v>0.760482668504465</v>
      </c>
      <c r="N550" s="2">
        <f>M550*$N$2</f>
        <v>0.85110112041738117</v>
      </c>
    </row>
    <row r="551" spans="2:14" x14ac:dyDescent="0.55000000000000004">
      <c r="C551" s="2" t="s">
        <v>31</v>
      </c>
      <c r="D551" s="2">
        <v>5.7620999999999999E-2</v>
      </c>
      <c r="E551" s="2">
        <v>0.20354900000000001</v>
      </c>
      <c r="F551" s="2">
        <v>4.9498E-2</v>
      </c>
      <c r="G551" s="2">
        <v>0.12461999999999999</v>
      </c>
      <c r="H551" s="2">
        <v>4.6214999999999999E-2</v>
      </c>
      <c r="I551" s="2">
        <v>8.2031000000000007E-2</v>
      </c>
      <c r="J551" s="2">
        <v>8.7618000000000001E-2</v>
      </c>
      <c r="K551" s="2">
        <v>2.2877000000000002E-2</v>
      </c>
      <c r="L551" s="2">
        <f>(1/COUNT(D551:K551))*SQRT(SUMSQ(D551:K551))</f>
        <v>3.5310620234259904E-2</v>
      </c>
    </row>
    <row r="552" spans="2:14" x14ac:dyDescent="0.55000000000000004">
      <c r="B552" s="2" t="s">
        <v>33</v>
      </c>
      <c r="C552" s="2" t="s">
        <v>22</v>
      </c>
      <c r="D552" s="2">
        <v>0.85058999999999996</v>
      </c>
      <c r="E552" s="2">
        <v>0.90527000000000002</v>
      </c>
      <c r="F552" s="2">
        <v>0.74816899999999997</v>
      </c>
      <c r="G552" s="2">
        <v>0.85445400000000005</v>
      </c>
      <c r="H552" s="2">
        <v>0.83937899999999999</v>
      </c>
      <c r="I552" s="2">
        <v>0.874919</v>
      </c>
      <c r="J552" s="2">
        <v>0.86990900000000004</v>
      </c>
      <c r="K552" s="2">
        <v>0.74645899999999998</v>
      </c>
      <c r="L552" s="2">
        <f>AVERAGE(D552:K552)</f>
        <v>0.83614362499999995</v>
      </c>
      <c r="M552" s="2">
        <f xml:space="preserve"> _xlfn.STDEV.S(D552:K552) / SQRT(COUNT(D552:K552))</f>
        <v>2.0597931508438888E-2</v>
      </c>
      <c r="N552" s="2">
        <f>M552*$N$2</f>
        <v>2.3052363073031542E-2</v>
      </c>
    </row>
    <row r="553" spans="2:14" x14ac:dyDescent="0.55000000000000004">
      <c r="C553" s="2" t="s">
        <v>23</v>
      </c>
      <c r="D553" s="2">
        <v>2.2800000000000001E-4</v>
      </c>
      <c r="E553" s="2">
        <v>3.8900000000000002E-4</v>
      </c>
      <c r="F553" s="2">
        <v>4.7399999999999997E-4</v>
      </c>
      <c r="G553" s="2">
        <v>3.7500000000000001E-4</v>
      </c>
      <c r="H553" s="2">
        <v>2.1100000000000001E-4</v>
      </c>
      <c r="I553" s="2">
        <v>1.54E-4</v>
      </c>
      <c r="J553" s="2">
        <v>7.2000000000000005E-4</v>
      </c>
      <c r="K553" s="2">
        <v>2.22E-4</v>
      </c>
      <c r="L553" s="2">
        <f>(1/COUNT(D553:K553))*SQRT(SUMSQ(D553:K553))</f>
        <v>1.3718868165778109E-4</v>
      </c>
    </row>
    <row r="554" spans="2:14" x14ac:dyDescent="0.55000000000000004">
      <c r="C554" s="2" t="s">
        <v>24</v>
      </c>
      <c r="D554" s="2">
        <v>0.52674399999999999</v>
      </c>
      <c r="E554" s="2">
        <v>0.42154599999999998</v>
      </c>
      <c r="F554" s="2">
        <v>0.66337699999999999</v>
      </c>
      <c r="G554" s="2">
        <v>0.51839900000000005</v>
      </c>
      <c r="H554" s="2">
        <v>0.54441099999999998</v>
      </c>
      <c r="I554" s="2">
        <v>0.48711900000000002</v>
      </c>
      <c r="J554" s="2">
        <v>0.48684100000000002</v>
      </c>
      <c r="K554" s="2">
        <v>0.67609699999999995</v>
      </c>
      <c r="L554" s="2">
        <f>AVERAGE(D554:K554)</f>
        <v>0.54056674999999998</v>
      </c>
      <c r="M554" s="2">
        <f xml:space="preserve"> _xlfn.STDEV.S(D554:K554) / SQRT(COUNT(D554:K554))</f>
        <v>3.1069369133986956E-2</v>
      </c>
      <c r="N554" s="2">
        <f>M554*$N$2</f>
        <v>3.477156807873031E-2</v>
      </c>
    </row>
    <row r="555" spans="2:14" x14ac:dyDescent="0.55000000000000004">
      <c r="C555" s="2" t="s">
        <v>25</v>
      </c>
      <c r="D555" s="2">
        <v>3.57E-4</v>
      </c>
      <c r="E555" s="2">
        <v>8.5099999999999998E-4</v>
      </c>
      <c r="F555" s="2">
        <v>5.71E-4</v>
      </c>
      <c r="G555" s="2">
        <v>6.2600000000000004E-4</v>
      </c>
      <c r="H555" s="2">
        <v>3.3599999999999998E-4</v>
      </c>
      <c r="I555" s="2">
        <v>2.7500000000000002E-4</v>
      </c>
      <c r="J555" s="2">
        <v>1.348E-3</v>
      </c>
      <c r="K555" s="2">
        <v>2.8600000000000001E-4</v>
      </c>
      <c r="L555" s="2">
        <f>(1/COUNT(D555:K555))*SQRT(SUMSQ(D555:K555))</f>
        <v>2.3904066076715902E-4</v>
      </c>
    </row>
    <row r="556" spans="2:14" x14ac:dyDescent="0.55000000000000004">
      <c r="C556" s="2" t="s">
        <v>26</v>
      </c>
      <c r="D556" s="2">
        <v>0.50420299999999996</v>
      </c>
      <c r="E556" s="2">
        <v>0.62146500000000005</v>
      </c>
      <c r="F556" s="2">
        <v>0.45766899999999999</v>
      </c>
      <c r="G556" s="2">
        <v>0.49920100000000001</v>
      </c>
      <c r="H556" s="2">
        <v>0.50289300000000003</v>
      </c>
      <c r="I556" s="2">
        <v>0.38825999999999999</v>
      </c>
      <c r="J556" s="2">
        <v>0.48275299999999999</v>
      </c>
      <c r="K556" s="2">
        <v>0.32109100000000002</v>
      </c>
      <c r="L556" s="2">
        <f>AVERAGE(D556:K556)</f>
        <v>0.47219187500000004</v>
      </c>
      <c r="M556" s="2">
        <f xml:space="preserve"> _xlfn.STDEV.S(D556:K556) / SQRT(COUNT(D556:K556))</f>
        <v>3.1389749011100809E-2</v>
      </c>
      <c r="N556" s="2">
        <f>M556*$N$2</f>
        <v>3.5130124142745571E-2</v>
      </c>
    </row>
    <row r="557" spans="2:14" x14ac:dyDescent="0.55000000000000004">
      <c r="C557" s="2" t="s">
        <v>27</v>
      </c>
      <c r="D557" s="2">
        <v>4.1300000000000001E-4</v>
      </c>
      <c r="E557" s="2">
        <v>8.43E-4</v>
      </c>
      <c r="F557" s="2">
        <v>3.1700000000000001E-4</v>
      </c>
      <c r="G557" s="2">
        <v>7.2499999999999995E-4</v>
      </c>
      <c r="H557" s="2">
        <v>2.1699999999999999E-4</v>
      </c>
      <c r="I557" s="2">
        <v>2.5000000000000001E-4</v>
      </c>
      <c r="J557" s="2">
        <v>1.3129999999999999E-3</v>
      </c>
      <c r="K557" s="2">
        <v>2.4000000000000001E-4</v>
      </c>
      <c r="L557" s="2">
        <f>(1/COUNT(D557:K557))*SQRT(SUMSQ(D557:K557))</f>
        <v>2.3043742371845768E-4</v>
      </c>
    </row>
    <row r="558" spans="2:14" x14ac:dyDescent="0.55000000000000004">
      <c r="C558" s="2" t="s">
        <v>28</v>
      </c>
      <c r="D558" s="2">
        <v>2.3082289999999999</v>
      </c>
      <c r="E558" s="2">
        <v>2.368595</v>
      </c>
      <c r="F558" s="2">
        <v>2.3097089999999998</v>
      </c>
      <c r="G558" s="2">
        <v>3.519736</v>
      </c>
      <c r="H558" s="2">
        <v>1.722998</v>
      </c>
      <c r="I558" s="2">
        <v>3.5815700000000001</v>
      </c>
      <c r="J558" s="2">
        <v>3.3402989999999999</v>
      </c>
      <c r="K558" s="2">
        <v>2.7135229999999999</v>
      </c>
      <c r="L558" s="2">
        <f>AVERAGE(D558:K558)</f>
        <v>2.733082375</v>
      </c>
      <c r="M558" s="2">
        <f xml:space="preserve"> _xlfn.STDEV.S(D558:K558) / SQRT(COUNT(D558:K558))</f>
        <v>0.23981825970006776</v>
      </c>
      <c r="N558" s="2">
        <f>M558*$N$2</f>
        <v>0.26839479449106707</v>
      </c>
    </row>
    <row r="559" spans="2:14" x14ac:dyDescent="0.55000000000000004">
      <c r="C559" s="2" t="s">
        <v>29</v>
      </c>
      <c r="D559" s="2">
        <v>4.2830000000000003E-3</v>
      </c>
      <c r="E559" s="2">
        <v>5.1580000000000003E-3</v>
      </c>
      <c r="F559" s="2">
        <v>2.9039999999999999E-3</v>
      </c>
      <c r="G559" s="2">
        <v>9.2160000000000002E-3</v>
      </c>
      <c r="H559" s="2">
        <v>1.6379999999999999E-3</v>
      </c>
      <c r="I559" s="2">
        <v>5.751E-3</v>
      </c>
      <c r="J559" s="2">
        <v>1.1778E-2</v>
      </c>
      <c r="K559" s="2">
        <v>2.1069999999999999E-3</v>
      </c>
      <c r="L559" s="2">
        <f>(1/COUNT(D559:K559))*SQRT(SUMSQ(D559:K559))</f>
        <v>2.2263854640144866E-3</v>
      </c>
    </row>
    <row r="560" spans="2:14" x14ac:dyDescent="0.55000000000000004">
      <c r="C560" s="2" t="s">
        <v>30</v>
      </c>
      <c r="D560" s="2">
        <v>13.826257999999999</v>
      </c>
      <c r="E560" s="2">
        <v>16.089226</v>
      </c>
      <c r="F560" s="2">
        <v>14.132018</v>
      </c>
      <c r="G560" s="2">
        <v>16.113838999999999</v>
      </c>
      <c r="H560" s="2">
        <v>10.763392</v>
      </c>
      <c r="I560" s="2">
        <v>16.464535000000001</v>
      </c>
      <c r="J560" s="2">
        <v>18.124036</v>
      </c>
      <c r="K560" s="2">
        <v>13.490159999999999</v>
      </c>
      <c r="L560" s="2">
        <f>AVERAGE(D560:K560)</f>
        <v>14.875433000000001</v>
      </c>
      <c r="M560" s="2">
        <f xml:space="preserve"> _xlfn.STDEV.S(D560:K560) / SQRT(COUNT(D560:K560))</f>
        <v>0.80807206625618067</v>
      </c>
      <c r="N560" s="2">
        <f>M560*$N$2</f>
        <v>0.90436122932443352</v>
      </c>
    </row>
    <row r="561" spans="2:14" x14ac:dyDescent="0.55000000000000004">
      <c r="C561" s="2" t="s">
        <v>31</v>
      </c>
      <c r="D561" s="2">
        <v>6.7320000000000001E-3</v>
      </c>
      <c r="E561" s="2">
        <v>5.7869999999999996E-3</v>
      </c>
      <c r="F561" s="2">
        <v>1.0834999999999999E-2</v>
      </c>
      <c r="G561" s="2">
        <v>4.0071000000000002E-2</v>
      </c>
      <c r="H561" s="2">
        <v>1.0717000000000001E-2</v>
      </c>
      <c r="I561" s="2">
        <v>1.0968E-2</v>
      </c>
      <c r="J561" s="2">
        <v>2.1104000000000001E-2</v>
      </c>
      <c r="K561" s="2">
        <v>1.0571000000000001E-2</v>
      </c>
      <c r="L561" s="2">
        <f>(1/COUNT(D561:K561))*SQRT(SUMSQ(D561:K561))</f>
        <v>6.3666212450659418E-3</v>
      </c>
    </row>
    <row r="562" spans="2:14" x14ac:dyDescent="0.55000000000000004">
      <c r="B562" s="2" t="s">
        <v>34</v>
      </c>
      <c r="C562" s="2" t="s">
        <v>22</v>
      </c>
      <c r="D562" s="2">
        <v>0.82559700000000003</v>
      </c>
      <c r="E562" s="2">
        <v>0.899034</v>
      </c>
      <c r="F562" s="2">
        <v>0.75813200000000003</v>
      </c>
      <c r="G562" s="2">
        <v>0.83954200000000001</v>
      </c>
      <c r="H562" s="2">
        <v>0.82018000000000002</v>
      </c>
      <c r="I562" s="2">
        <v>0.87565099999999996</v>
      </c>
      <c r="J562" s="2">
        <v>0.89133799999999996</v>
      </c>
      <c r="K562" s="2">
        <v>0.74135700000000004</v>
      </c>
      <c r="L562" s="2">
        <f>AVERAGE(D562:K562)</f>
        <v>0.83135387500000002</v>
      </c>
      <c r="M562" s="2">
        <f xml:space="preserve"> _xlfn.STDEV.S(D562:K562) / SQRT(COUNT(D562:K562))</f>
        <v>2.062715479084851E-2</v>
      </c>
      <c r="N562" s="2">
        <f>M562*$N$2</f>
        <v>2.3085068576300952E-2</v>
      </c>
    </row>
    <row r="563" spans="2:14" x14ac:dyDescent="0.55000000000000004">
      <c r="C563" s="2" t="s">
        <v>23</v>
      </c>
      <c r="D563" s="2">
        <v>6.1139999999999996E-3</v>
      </c>
      <c r="E563" s="2">
        <v>1.338E-3</v>
      </c>
      <c r="F563" s="2">
        <v>2.6150000000000001E-3</v>
      </c>
      <c r="G563" s="2">
        <v>3.6589999999999999E-3</v>
      </c>
      <c r="H563" s="2">
        <v>1.1299999999999999E-3</v>
      </c>
      <c r="I563" s="2">
        <v>1.771E-3</v>
      </c>
      <c r="J563" s="2">
        <v>2.6949999999999999E-3</v>
      </c>
      <c r="K563" s="2">
        <v>5.0199999999999995E-4</v>
      </c>
      <c r="L563" s="2">
        <f>(1/COUNT(D563:K563))*SQRT(SUMSQ(D563:K563))</f>
        <v>1.0556848784083251E-3</v>
      </c>
    </row>
    <row r="564" spans="2:14" x14ac:dyDescent="0.55000000000000004">
      <c r="C564" s="2" t="s">
        <v>24</v>
      </c>
      <c r="D564" s="2">
        <v>0.567384</v>
      </c>
      <c r="E564" s="2">
        <v>0.43476300000000001</v>
      </c>
      <c r="F564" s="2">
        <v>0.65199499999999999</v>
      </c>
      <c r="G564" s="2">
        <v>0.54265699999999994</v>
      </c>
      <c r="H564" s="2">
        <v>0.57284500000000005</v>
      </c>
      <c r="I564" s="2">
        <v>0.48418</v>
      </c>
      <c r="J564" s="2">
        <v>0.44705899999999998</v>
      </c>
      <c r="K564" s="2">
        <v>0.68261400000000005</v>
      </c>
      <c r="L564" s="2">
        <f>AVERAGE(D564:K564)</f>
        <v>0.54793712499999991</v>
      </c>
      <c r="M564" s="2">
        <f xml:space="preserve"> _xlfn.STDEV.S(D564:K564) / SQRT(COUNT(D564:K564))</f>
        <v>3.1915657424484753E-2</v>
      </c>
      <c r="N564" s="2">
        <f>M564*$N$2</f>
        <v>3.5718699344266254E-2</v>
      </c>
    </row>
    <row r="565" spans="2:14" x14ac:dyDescent="0.55000000000000004">
      <c r="C565" s="2" t="s">
        <v>25</v>
      </c>
      <c r="D565" s="2">
        <v>8.8699999999999994E-3</v>
      </c>
      <c r="E565" s="2">
        <v>2.7989999999999998E-3</v>
      </c>
      <c r="F565" s="2">
        <v>3.042E-3</v>
      </c>
      <c r="G565" s="2">
        <v>5.4879999999999998E-3</v>
      </c>
      <c r="H565" s="2">
        <v>1.5790000000000001E-3</v>
      </c>
      <c r="I565" s="2">
        <v>3.336E-3</v>
      </c>
      <c r="J565" s="2">
        <v>4.9979999999999998E-3</v>
      </c>
      <c r="K565" s="2">
        <v>6.2100000000000002E-4</v>
      </c>
      <c r="L565" s="2">
        <f>(1/COUNT(D565:K565))*SQRT(SUMSQ(D565:K565))</f>
        <v>1.6050262410238032E-3</v>
      </c>
    </row>
    <row r="566" spans="2:14" x14ac:dyDescent="0.55000000000000004">
      <c r="C566" s="2" t="s">
        <v>26</v>
      </c>
      <c r="D566" s="2">
        <v>0.47117199999999998</v>
      </c>
      <c r="E566" s="2">
        <v>0.60904199999999997</v>
      </c>
      <c r="F566" s="2">
        <v>0.46310699999999999</v>
      </c>
      <c r="G566" s="2">
        <v>0.46737899999999999</v>
      </c>
      <c r="H566" s="2">
        <v>0.47823700000000002</v>
      </c>
      <c r="I566" s="2">
        <v>0.38954499999999997</v>
      </c>
      <c r="J566" s="2">
        <v>0.52316799999999997</v>
      </c>
      <c r="K566" s="2">
        <v>0.31503199999999998</v>
      </c>
      <c r="L566" s="2">
        <f>AVERAGE(D566:K566)</f>
        <v>0.46458525000000001</v>
      </c>
      <c r="M566" s="2">
        <f xml:space="preserve"> _xlfn.STDEV.S(D566:K566) / SQRT(COUNT(D566:K566))</f>
        <v>3.0629307492841994E-2</v>
      </c>
      <c r="N566" s="2">
        <f>M566*$N$2</f>
        <v>3.4279069076001242E-2</v>
      </c>
    </row>
    <row r="567" spans="2:14" x14ac:dyDescent="0.55000000000000004">
      <c r="C567" s="2" t="s">
        <v>27</v>
      </c>
      <c r="D567" s="2">
        <v>1.03E-2</v>
      </c>
      <c r="E567" s="2">
        <v>2.8519999999999999E-3</v>
      </c>
      <c r="F567" s="2">
        <v>1.838E-3</v>
      </c>
      <c r="G567" s="2">
        <v>5.5440000000000003E-3</v>
      </c>
      <c r="H567" s="2">
        <v>1.235E-3</v>
      </c>
      <c r="I567" s="2">
        <v>3.1189999999999998E-3</v>
      </c>
      <c r="J567" s="2">
        <v>4.9829999999999996E-3</v>
      </c>
      <c r="K567" s="2">
        <v>5.3899999999999998E-4</v>
      </c>
      <c r="L567" s="2">
        <f>(1/COUNT(D567:K567))*SQRT(SUMSQ(D567:K567))</f>
        <v>1.6988611994509734E-3</v>
      </c>
    </row>
    <row r="568" spans="2:14" x14ac:dyDescent="0.55000000000000004">
      <c r="C568" s="2" t="s">
        <v>28</v>
      </c>
      <c r="D568" s="2">
        <v>2.8101950000000002</v>
      </c>
      <c r="E568" s="2">
        <v>2.4523860000000002</v>
      </c>
      <c r="F568" s="2">
        <v>2.2653970000000001</v>
      </c>
      <c r="G568" s="2">
        <v>3.8864920000000001</v>
      </c>
      <c r="H568" s="2">
        <v>1.923303</v>
      </c>
      <c r="I568" s="2">
        <v>3.4998480000000001</v>
      </c>
      <c r="J568" s="2">
        <v>3.029887</v>
      </c>
      <c r="K568" s="2">
        <v>2.7721010000000001</v>
      </c>
      <c r="L568" s="2">
        <f>AVERAGE(D568:K568)</f>
        <v>2.829951125</v>
      </c>
      <c r="M568" s="2">
        <f xml:space="preserve"> _xlfn.STDEV.S(D568:K568) / SQRT(COUNT(D568:K568))</f>
        <v>0.22725219413787859</v>
      </c>
      <c r="N568" s="2">
        <f>M568*$N$2</f>
        <v>0.25433136750955565</v>
      </c>
    </row>
    <row r="569" spans="2:14" x14ac:dyDescent="0.55000000000000004">
      <c r="C569" s="2" t="s">
        <v>29</v>
      </c>
      <c r="D569" s="2">
        <v>0.14338100000000001</v>
      </c>
      <c r="E569" s="2">
        <v>1.7701999999999999E-2</v>
      </c>
      <c r="F569" s="2">
        <v>1.5089999999999999E-2</v>
      </c>
      <c r="G569" s="2">
        <v>9.1090000000000004E-2</v>
      </c>
      <c r="H569" s="2">
        <v>1.0479E-2</v>
      </c>
      <c r="I569" s="2">
        <v>5.9173999999999997E-2</v>
      </c>
      <c r="J569" s="2">
        <v>4.7327000000000001E-2</v>
      </c>
      <c r="K569" s="2">
        <v>4.921E-3</v>
      </c>
      <c r="L569" s="2">
        <f>(1/COUNT(D569:K569))*SQRT(SUMSQ(D569:K569))</f>
        <v>2.3476051977227772E-2</v>
      </c>
    </row>
    <row r="570" spans="2:14" x14ac:dyDescent="0.55000000000000004">
      <c r="C570" s="2" t="s">
        <v>30</v>
      </c>
      <c r="D570" s="2">
        <v>15.811313</v>
      </c>
      <c r="E570" s="2">
        <v>16.214074</v>
      </c>
      <c r="F570" s="2">
        <v>14.130811</v>
      </c>
      <c r="G570" s="2">
        <v>18.338442000000001</v>
      </c>
      <c r="H570" s="2">
        <v>11.970003999999999</v>
      </c>
      <c r="I570" s="2">
        <v>16.116517000000002</v>
      </c>
      <c r="J570" s="2">
        <v>18.343610999999999</v>
      </c>
      <c r="K570" s="2">
        <v>13.64514</v>
      </c>
      <c r="L570" s="2">
        <f>AVERAGE(D570:K570)</f>
        <v>15.571239</v>
      </c>
      <c r="M570" s="2">
        <f xml:space="preserve"> _xlfn.STDEV.S(D570:K570) / SQRT(COUNT(D570:K570))</f>
        <v>0.78904602341538865</v>
      </c>
      <c r="N570" s="2">
        <f>M570*$N$2</f>
        <v>0.88306805980256675</v>
      </c>
    </row>
    <row r="571" spans="2:14" x14ac:dyDescent="0.55000000000000004">
      <c r="C571" s="2" t="s">
        <v>31</v>
      </c>
      <c r="D571" s="2">
        <v>0.11210299999999999</v>
      </c>
      <c r="E571" s="2">
        <v>3.0537000000000002E-2</v>
      </c>
      <c r="F571" s="2">
        <v>4.5918E-2</v>
      </c>
      <c r="G571" s="2">
        <v>0.30077500000000001</v>
      </c>
      <c r="H571" s="2">
        <v>7.6984999999999998E-2</v>
      </c>
      <c r="I571" s="2">
        <v>9.7200999999999996E-2</v>
      </c>
      <c r="J571" s="2">
        <v>7.8380000000000005E-2</v>
      </c>
      <c r="K571" s="2">
        <v>2.1167999999999999E-2</v>
      </c>
      <c r="L571" s="2">
        <f>(1/COUNT(D571:K571))*SQRT(SUMSQ(D571:K571))</f>
        <v>4.4728327080169515E-2</v>
      </c>
    </row>
    <row r="572" spans="2:14" x14ac:dyDescent="0.55000000000000004">
      <c r="B572" s="2" t="s">
        <v>35</v>
      </c>
      <c r="C572" s="2" t="s">
        <v>22</v>
      </c>
      <c r="D572" s="2">
        <v>0.72948299999999999</v>
      </c>
      <c r="E572" s="2">
        <v>0.87384700000000004</v>
      </c>
      <c r="F572" s="2">
        <v>0.71945899999999996</v>
      </c>
      <c r="G572" s="2">
        <v>0.836808</v>
      </c>
      <c r="H572" s="2">
        <v>0.81647000000000003</v>
      </c>
      <c r="I572" s="2">
        <v>0.85772099999999996</v>
      </c>
      <c r="J572" s="2">
        <v>0.85766600000000004</v>
      </c>
      <c r="K572" s="2">
        <v>0.72948299999999999</v>
      </c>
      <c r="L572" s="2">
        <f>AVERAGE(D572:K572)</f>
        <v>0.80261712500000004</v>
      </c>
      <c r="M572" s="2">
        <f xml:space="preserve"> _xlfn.STDEV.S(D572:K572) / SQRT(COUNT(D572:K572))</f>
        <v>2.3189399934820516E-2</v>
      </c>
      <c r="N572" s="2">
        <f>M572*$N$2</f>
        <v>2.59526286182768E-2</v>
      </c>
    </row>
    <row r="573" spans="2:14" x14ac:dyDescent="0.55000000000000004">
      <c r="C573" s="2" t="s">
        <v>23</v>
      </c>
      <c r="D573" s="2">
        <v>2.5799999999999998E-4</v>
      </c>
      <c r="E573" s="2">
        <v>1.4250000000000001E-3</v>
      </c>
      <c r="F573" s="2">
        <v>9.7300000000000002E-4</v>
      </c>
      <c r="G573" s="2">
        <v>1.078E-3</v>
      </c>
      <c r="H573" s="2">
        <v>8.3299999999999997E-4</v>
      </c>
      <c r="I573" s="2">
        <v>7.6800000000000002E-4</v>
      </c>
      <c r="J573" s="2">
        <v>9.59E-4</v>
      </c>
      <c r="K573" s="2">
        <v>2.5799999999999998E-4</v>
      </c>
      <c r="L573" s="2">
        <f>(1/COUNT(D573:K573))*SQRT(SUMSQ(D573:K573))</f>
        <v>3.1809884470082567E-4</v>
      </c>
    </row>
    <row r="574" spans="2:14" x14ac:dyDescent="0.55000000000000004">
      <c r="C574" s="2" t="s">
        <v>24</v>
      </c>
      <c r="D574" s="2">
        <v>0.69747199999999998</v>
      </c>
      <c r="E574" s="2">
        <v>0.47793000000000002</v>
      </c>
      <c r="F574" s="2">
        <v>0.69436200000000003</v>
      </c>
      <c r="G574" s="2">
        <v>0.54726300000000005</v>
      </c>
      <c r="H574" s="2">
        <v>0.57828999999999997</v>
      </c>
      <c r="I574" s="2">
        <v>0.51832699999999998</v>
      </c>
      <c r="J574" s="2">
        <v>0.50257600000000002</v>
      </c>
      <c r="K574" s="2">
        <v>0.69747199999999998</v>
      </c>
      <c r="L574" s="2">
        <f>AVERAGE(D574:K574)</f>
        <v>0.58921150000000011</v>
      </c>
      <c r="M574" s="2">
        <f xml:space="preserve"> _xlfn.STDEV.S(D574:K574) / SQRT(COUNT(D574:K574))</f>
        <v>3.3082728993280554E-2</v>
      </c>
      <c r="N574" s="2">
        <f>M574*$N$2</f>
        <v>3.702483814393509E-2</v>
      </c>
    </row>
    <row r="575" spans="2:14" x14ac:dyDescent="0.55000000000000004">
      <c r="C575" s="2" t="s">
        <v>25</v>
      </c>
      <c r="D575" s="2">
        <v>3.2499999999999999E-4</v>
      </c>
      <c r="E575" s="2">
        <v>2.7469999999999999E-3</v>
      </c>
      <c r="F575" s="2">
        <v>1.0059999999999999E-3</v>
      </c>
      <c r="G575" s="2">
        <v>1.815E-3</v>
      </c>
      <c r="H575" s="2">
        <v>1.1900000000000001E-3</v>
      </c>
      <c r="I575" s="2">
        <v>1.343E-3</v>
      </c>
      <c r="J575" s="2">
        <v>1.6490000000000001E-3</v>
      </c>
      <c r="K575" s="2">
        <v>3.2499999999999999E-4</v>
      </c>
      <c r="L575" s="2">
        <f>(1/COUNT(D575:K575))*SQRT(SUMSQ(D575:K575))</f>
        <v>5.3036647117818447E-4</v>
      </c>
    </row>
    <row r="576" spans="2:14" x14ac:dyDescent="0.55000000000000004">
      <c r="C576" s="2" t="s">
        <v>26</v>
      </c>
      <c r="D576" s="2">
        <v>0.28919099999999998</v>
      </c>
      <c r="E576" s="2">
        <v>0.56307499999999999</v>
      </c>
      <c r="F576" s="2">
        <v>0.439583</v>
      </c>
      <c r="G576" s="2">
        <v>0.46696500000000002</v>
      </c>
      <c r="H576" s="2">
        <v>0.47457700000000003</v>
      </c>
      <c r="I576" s="2">
        <v>0.35920800000000003</v>
      </c>
      <c r="J576" s="2">
        <v>0.46630199999999999</v>
      </c>
      <c r="K576" s="2">
        <v>0.28919099999999998</v>
      </c>
      <c r="L576" s="2">
        <f>AVERAGE(D576:K576)</f>
        <v>0.41851150000000004</v>
      </c>
      <c r="M576" s="2">
        <f xml:space="preserve"> _xlfn.STDEV.S(D576:K576) / SQRT(COUNT(D576:K576))</f>
        <v>3.4351678072964124E-2</v>
      </c>
      <c r="N576" s="2">
        <f>M576*$N$2</f>
        <v>3.8444994089888711E-2</v>
      </c>
    </row>
    <row r="577" spans="2:14" x14ac:dyDescent="0.55000000000000004">
      <c r="C577" s="2" t="s">
        <v>27</v>
      </c>
      <c r="D577" s="2">
        <v>2.5599999999999999E-4</v>
      </c>
      <c r="E577" s="2">
        <v>2.8400000000000001E-3</v>
      </c>
      <c r="F577" s="2">
        <v>6.0499999999999996E-4</v>
      </c>
      <c r="G577" s="2">
        <v>2.2290000000000001E-3</v>
      </c>
      <c r="H577" s="2">
        <v>9.8700000000000003E-4</v>
      </c>
      <c r="I577" s="2">
        <v>1.1130000000000001E-3</v>
      </c>
      <c r="J577" s="2">
        <v>1.573E-3</v>
      </c>
      <c r="K577" s="2">
        <v>2.5599999999999999E-4</v>
      </c>
      <c r="L577" s="2">
        <f>(1/COUNT(D577:K577))*SQRT(SUMSQ(D577:K577))</f>
        <v>5.335377944672711E-4</v>
      </c>
    </row>
    <row r="578" spans="2:14" x14ac:dyDescent="0.55000000000000004">
      <c r="C578" s="2" t="s">
        <v>28</v>
      </c>
      <c r="D578" s="2">
        <v>3.173387</v>
      </c>
      <c r="E578" s="2">
        <v>2.838778</v>
      </c>
      <c r="F578" s="2">
        <v>2.489007</v>
      </c>
      <c r="G578" s="2">
        <v>3.8041269999999998</v>
      </c>
      <c r="H578" s="2">
        <v>1.9487950000000001</v>
      </c>
      <c r="I578" s="2">
        <v>4.1908700000000003</v>
      </c>
      <c r="J578" s="2">
        <v>3.622331</v>
      </c>
      <c r="K578" s="2">
        <v>3.173387</v>
      </c>
      <c r="L578" s="2">
        <f>AVERAGE(D578:K578)</f>
        <v>3.15508525</v>
      </c>
      <c r="M578" s="2">
        <f xml:space="preserve"> _xlfn.STDEV.S(D578:K578) / SQRT(COUNT(D578:K578))</f>
        <v>0.257458055507019</v>
      </c>
      <c r="N578" s="2">
        <f>M578*$N$2</f>
        <v>0.28813653299084707</v>
      </c>
    </row>
    <row r="579" spans="2:14" x14ac:dyDescent="0.55000000000000004">
      <c r="C579" s="2" t="s">
        <v>29</v>
      </c>
      <c r="D579" s="2">
        <v>3.5860000000000002E-3</v>
      </c>
      <c r="E579" s="2">
        <v>2.0055E-2</v>
      </c>
      <c r="F579" s="2">
        <v>6.1460000000000004E-3</v>
      </c>
      <c r="G579" s="2">
        <v>2.7494999999999999E-2</v>
      </c>
      <c r="H579" s="2">
        <v>8.8409999999999999E-3</v>
      </c>
      <c r="I579" s="2">
        <v>2.3316E-2</v>
      </c>
      <c r="J579" s="2">
        <v>2.1031000000000001E-2</v>
      </c>
      <c r="K579" s="2">
        <v>3.5860000000000002E-3</v>
      </c>
      <c r="L579" s="2">
        <f>(1/COUNT(D579:K579))*SQRT(SUMSQ(D579:K579))</f>
        <v>5.9762188296614439E-3</v>
      </c>
    </row>
    <row r="580" spans="2:14" x14ac:dyDescent="0.55000000000000004">
      <c r="C580" s="2" t="s">
        <v>30</v>
      </c>
      <c r="D580" s="2">
        <v>14.792037000000001</v>
      </c>
      <c r="E580" s="2">
        <v>16.450794999999999</v>
      </c>
      <c r="F580" s="2">
        <v>14.255193999999999</v>
      </c>
      <c r="G580" s="2">
        <v>16.490365000000001</v>
      </c>
      <c r="H580" s="2">
        <v>12.220689999999999</v>
      </c>
      <c r="I580" s="2">
        <v>17.472085</v>
      </c>
      <c r="J580" s="2">
        <v>18.863893999999998</v>
      </c>
      <c r="K580" s="2">
        <v>14.792037000000001</v>
      </c>
      <c r="L580" s="2">
        <f>AVERAGE(D580:K580)</f>
        <v>15.667137125</v>
      </c>
      <c r="M580" s="2">
        <f xml:space="preserve"> _xlfn.STDEV.S(D580:K580) / SQRT(COUNT(D580:K580))</f>
        <v>0.73402141828130274</v>
      </c>
      <c r="N580" s="2">
        <f>M580*$N$2</f>
        <v>0.82148677068227494</v>
      </c>
    </row>
    <row r="581" spans="2:14" x14ac:dyDescent="0.55000000000000004">
      <c r="C581" s="2" t="s">
        <v>31</v>
      </c>
      <c r="D581" s="2">
        <v>1.7079E-2</v>
      </c>
      <c r="E581" s="2">
        <v>2.3576E-2</v>
      </c>
      <c r="F581" s="2">
        <v>2.5597999999999999E-2</v>
      </c>
      <c r="G581" s="2">
        <v>9.4348000000000001E-2</v>
      </c>
      <c r="H581" s="2">
        <v>4.4809000000000002E-2</v>
      </c>
      <c r="I581" s="2">
        <v>4.8300999999999997E-2</v>
      </c>
      <c r="J581" s="2">
        <v>4.7634000000000003E-2</v>
      </c>
      <c r="K581" s="2">
        <v>1.7079E-2</v>
      </c>
      <c r="L581" s="2">
        <f>(1/COUNT(D581:K581))*SQRT(SUMSQ(D581:K581))</f>
        <v>1.6443960709406357E-2</v>
      </c>
    </row>
    <row r="582" spans="2:14" x14ac:dyDescent="0.55000000000000004">
      <c r="B582" s="2" t="s">
        <v>45</v>
      </c>
      <c r="C582" s="2" t="s">
        <v>22</v>
      </c>
      <c r="D582" s="2">
        <v>0.80986199999999997</v>
      </c>
      <c r="E582" s="2">
        <v>0.85697100000000004</v>
      </c>
      <c r="F582" s="2">
        <v>0.68777100000000002</v>
      </c>
      <c r="G582" s="2">
        <v>0.832121</v>
      </c>
      <c r="H582" s="2">
        <v>0.82363200000000003</v>
      </c>
      <c r="I582" s="2">
        <v>0.85680900000000004</v>
      </c>
      <c r="J582" s="2">
        <v>0.86476399999999998</v>
      </c>
      <c r="K582" s="2">
        <v>0.73487800000000003</v>
      </c>
      <c r="L582" s="2">
        <f>AVERAGE(D582:K582)</f>
        <v>0.80835100000000004</v>
      </c>
      <c r="M582" s="2">
        <f xml:space="preserve"> _xlfn.STDEV.S(D582:K582) / SQRT(COUNT(D582:K582))</f>
        <v>2.2612074778438931E-2</v>
      </c>
      <c r="N582" s="2">
        <f>M582*$N$2</f>
        <v>2.5306509899479697E-2</v>
      </c>
    </row>
    <row r="583" spans="2:14" x14ac:dyDescent="0.55000000000000004">
      <c r="C583" s="2" t="s">
        <v>23</v>
      </c>
      <c r="D583" s="2">
        <v>2.9710000000000001E-3</v>
      </c>
      <c r="E583" s="2">
        <v>4.3759999999999997E-3</v>
      </c>
      <c r="F583" s="2">
        <v>9.0050000000000009E-3</v>
      </c>
      <c r="G583" s="2">
        <v>5.1029999999999999E-3</v>
      </c>
      <c r="H583" s="2">
        <v>2.6970000000000002E-3</v>
      </c>
      <c r="I583" s="2">
        <v>1.06E-3</v>
      </c>
      <c r="J583" s="2">
        <v>1.5640000000000001E-3</v>
      </c>
      <c r="K583" s="2">
        <v>1.2539999999999999E-3</v>
      </c>
      <c r="L583" s="2">
        <f>(1/COUNT(D583:K583))*SQRT(SUMSQ(D583:K583))</f>
        <v>1.5182374237911538E-3</v>
      </c>
    </row>
    <row r="584" spans="2:14" x14ac:dyDescent="0.55000000000000004">
      <c r="C584" s="2" t="s">
        <v>24</v>
      </c>
      <c r="D584" s="2">
        <v>0.58395300000000006</v>
      </c>
      <c r="E584" s="2">
        <v>0.49932700000000002</v>
      </c>
      <c r="F584" s="2">
        <v>0.73064799999999996</v>
      </c>
      <c r="G584" s="2">
        <v>0.54423699999999997</v>
      </c>
      <c r="H584" s="2">
        <v>0.56750800000000001</v>
      </c>
      <c r="I584" s="2">
        <v>0.51506399999999997</v>
      </c>
      <c r="J584" s="2">
        <v>0.48802800000000002</v>
      </c>
      <c r="K584" s="2">
        <v>0.68776700000000002</v>
      </c>
      <c r="L584" s="2">
        <f>AVERAGE(D584:K584)</f>
        <v>0.57706650000000004</v>
      </c>
      <c r="M584" s="2">
        <f xml:space="preserve"> _xlfn.STDEV.S(D584:K584) / SQRT(COUNT(D584:K584))</f>
        <v>3.1303250933979759E-2</v>
      </c>
      <c r="N584" s="2">
        <f>M584*$N$2</f>
        <v>3.5033319030149841E-2</v>
      </c>
    </row>
    <row r="585" spans="2:14" x14ac:dyDescent="0.55000000000000004">
      <c r="C585" s="2" t="s">
        <v>25</v>
      </c>
      <c r="D585" s="2">
        <v>4.6550000000000003E-3</v>
      </c>
      <c r="E585" s="2">
        <v>6.4599999999999996E-3</v>
      </c>
      <c r="F585" s="2">
        <v>9.9000000000000008E-3</v>
      </c>
      <c r="G585" s="2">
        <v>7.5849999999999997E-3</v>
      </c>
      <c r="H585" s="2">
        <v>3.9890000000000004E-3</v>
      </c>
      <c r="I585" s="2">
        <v>1.39E-3</v>
      </c>
      <c r="J585" s="2">
        <v>2.4009999999999999E-3</v>
      </c>
      <c r="K585" s="2">
        <v>1.2340000000000001E-3</v>
      </c>
      <c r="L585" s="2">
        <f>(1/COUNT(D585:K585))*SQRT(SUMSQ(D585:K585))</f>
        <v>1.9528609941570343E-3</v>
      </c>
    </row>
    <row r="586" spans="2:14" x14ac:dyDescent="0.55000000000000004">
      <c r="C586" s="2" t="s">
        <v>26</v>
      </c>
      <c r="D586" s="2">
        <v>0.44510499999999997</v>
      </c>
      <c r="E586" s="2">
        <v>0.54097799999999996</v>
      </c>
      <c r="F586" s="2">
        <v>0.41245700000000002</v>
      </c>
      <c r="G586" s="2">
        <v>0.477412</v>
      </c>
      <c r="H586" s="2">
        <v>0.48308600000000002</v>
      </c>
      <c r="I586" s="2">
        <v>0.36593799999999999</v>
      </c>
      <c r="J586" s="2">
        <v>0.48622399999999999</v>
      </c>
      <c r="K586" s="2">
        <v>0.29558400000000001</v>
      </c>
      <c r="L586" s="2">
        <f>AVERAGE(D586:K586)</f>
        <v>0.43834799999999996</v>
      </c>
      <c r="M586" s="2">
        <f xml:space="preserve"> _xlfn.STDEV.S(D586:K586) / SQRT(COUNT(D586:K586))</f>
        <v>2.7611230162872993E-2</v>
      </c>
      <c r="N586" s="2">
        <f>M586*$N$2</f>
        <v>3.0901360282065943E-2</v>
      </c>
    </row>
    <row r="587" spans="2:14" x14ac:dyDescent="0.55000000000000004">
      <c r="C587" s="2" t="s">
        <v>27</v>
      </c>
      <c r="D587" s="2">
        <v>5.7540000000000004E-3</v>
      </c>
      <c r="E587" s="2">
        <v>6.2950000000000002E-3</v>
      </c>
      <c r="F587" s="2">
        <v>5.6940000000000003E-3</v>
      </c>
      <c r="G587" s="2">
        <v>7.4180000000000001E-3</v>
      </c>
      <c r="H587" s="2">
        <v>3.088E-3</v>
      </c>
      <c r="I587" s="2">
        <v>6.9999999999999999E-4</v>
      </c>
      <c r="J587" s="2">
        <v>1.596E-3</v>
      </c>
      <c r="K587" s="2">
        <v>9.1200000000000005E-4</v>
      </c>
      <c r="L587" s="2">
        <f>(1/COUNT(D587:K587))*SQRT(SUMSQ(D587:K587))</f>
        <v>1.6469128553524015E-3</v>
      </c>
    </row>
    <row r="588" spans="2:14" x14ac:dyDescent="0.55000000000000004">
      <c r="C588" s="2" t="s">
        <v>28</v>
      </c>
      <c r="D588" s="2">
        <v>3.3646750000000001</v>
      </c>
      <c r="E588" s="2">
        <v>3.165162</v>
      </c>
      <c r="F588" s="2">
        <v>2.7309269999999999</v>
      </c>
      <c r="G588" s="2">
        <v>4.1898260000000001</v>
      </c>
      <c r="H588" s="2">
        <v>1.858053</v>
      </c>
      <c r="I588" s="2">
        <v>4.3171340000000002</v>
      </c>
      <c r="J588" s="2">
        <v>3.5169899999999998</v>
      </c>
      <c r="K588" s="2">
        <v>3.081191</v>
      </c>
      <c r="L588" s="2">
        <f>AVERAGE(D588:K588)</f>
        <v>3.27799475</v>
      </c>
      <c r="M588" s="2">
        <f xml:space="preserve"> _xlfn.STDEV.S(D588:K588) / SQRT(COUNT(D588:K588))</f>
        <v>0.27847991228528446</v>
      </c>
      <c r="N588" s="2">
        <f>M588*$N$2</f>
        <v>0.31166333589934808</v>
      </c>
    </row>
    <row r="589" spans="2:14" x14ac:dyDescent="0.55000000000000004">
      <c r="C589" s="2" t="s">
        <v>29</v>
      </c>
      <c r="D589" s="2">
        <v>7.1818000000000007E-2</v>
      </c>
      <c r="E589" s="2">
        <v>0.10695200000000001</v>
      </c>
      <c r="F589" s="2">
        <v>5.2075000000000003E-2</v>
      </c>
      <c r="G589" s="2">
        <v>0.20676800000000001</v>
      </c>
      <c r="H589" s="2">
        <v>2.1316000000000002E-2</v>
      </c>
      <c r="I589" s="2">
        <v>6.1219999999999997E-2</v>
      </c>
      <c r="J589" s="2">
        <v>3.4377999999999999E-2</v>
      </c>
      <c r="K589" s="2">
        <v>1.9154000000000001E-2</v>
      </c>
      <c r="L589" s="2">
        <f>(1/COUNT(D589:K589))*SQRT(SUMSQ(D589:K589))</f>
        <v>3.2551005584745385E-2</v>
      </c>
    </row>
    <row r="590" spans="2:14" x14ac:dyDescent="0.55000000000000004">
      <c r="C590" s="2" t="s">
        <v>30</v>
      </c>
      <c r="D590" s="2">
        <v>15.04725</v>
      </c>
      <c r="E590" s="2">
        <v>16.190611000000001</v>
      </c>
      <c r="F590" s="2">
        <v>15.511599</v>
      </c>
      <c r="G590" s="2">
        <v>17.416975000000001</v>
      </c>
      <c r="H590" s="2">
        <v>11.517583</v>
      </c>
      <c r="I590" s="2">
        <v>16.985676000000002</v>
      </c>
      <c r="J590" s="2">
        <v>19.365727</v>
      </c>
      <c r="K590" s="2">
        <v>14.259448000000001</v>
      </c>
      <c r="L590" s="2">
        <f>AVERAGE(D590:K590)</f>
        <v>15.786858625000002</v>
      </c>
      <c r="M590" s="2">
        <f xml:space="preserve"> _xlfn.STDEV.S(D590:K590) / SQRT(COUNT(D590:K590))</f>
        <v>0.82644077308584851</v>
      </c>
      <c r="N590" s="2">
        <f>M590*$N$2</f>
        <v>0.92491873524904999</v>
      </c>
    </row>
    <row r="591" spans="2:14" x14ac:dyDescent="0.55000000000000004">
      <c r="C591" s="2" t="s">
        <v>31</v>
      </c>
      <c r="D591" s="2">
        <v>0.15701999999999999</v>
      </c>
      <c r="E591" s="2">
        <v>0.145263</v>
      </c>
      <c r="F591" s="2">
        <v>0.166381</v>
      </c>
      <c r="G591" s="2">
        <v>0.49841000000000002</v>
      </c>
      <c r="H591" s="2">
        <v>0.10591399999999999</v>
      </c>
      <c r="I591" s="2">
        <v>0.123498</v>
      </c>
      <c r="J591" s="2">
        <v>7.4742000000000003E-2</v>
      </c>
      <c r="K591" s="2">
        <v>8.362E-2</v>
      </c>
      <c r="L591" s="2">
        <f>(1/COUNT(D591:K591))*SQRT(SUMSQ(D591:K591))</f>
        <v>7.5093690147083933E-2</v>
      </c>
    </row>
    <row r="592" spans="2:14" x14ac:dyDescent="0.55000000000000004">
      <c r="B592" s="2" t="s">
        <v>46</v>
      </c>
      <c r="C592" s="2" t="s">
        <v>22</v>
      </c>
      <c r="L592" s="2" t="e">
        <f>AVERAGE(D592:K592)</f>
        <v>#DIV/0!</v>
      </c>
      <c r="M592" s="2" t="e">
        <f xml:space="preserve"> _xlfn.STDEV.S(D592:K592) / SQRT(COUNT(D592:K592))</f>
        <v>#DIV/0!</v>
      </c>
      <c r="N592" s="2" t="e">
        <f>M592*$N$2</f>
        <v>#DIV/0!</v>
      </c>
    </row>
    <row r="593" spans="2:14" x14ac:dyDescent="0.55000000000000004">
      <c r="C593" s="2" t="s">
        <v>23</v>
      </c>
      <c r="L593" s="2" t="e">
        <f>(1/COUNT(D593:K593))*SQRT(SUMSQ(D593:K593))</f>
        <v>#DIV/0!</v>
      </c>
    </row>
    <row r="594" spans="2:14" x14ac:dyDescent="0.55000000000000004">
      <c r="C594" s="2" t="s">
        <v>24</v>
      </c>
      <c r="L594" s="2" t="e">
        <f>AVERAGE(D594:K594)</f>
        <v>#DIV/0!</v>
      </c>
      <c r="M594" s="2" t="e">
        <f xml:space="preserve"> _xlfn.STDEV.S(D594:K594) / SQRT(COUNT(D594:K594))</f>
        <v>#DIV/0!</v>
      </c>
      <c r="N594" s="2" t="e">
        <f>M594*$N$2</f>
        <v>#DIV/0!</v>
      </c>
    </row>
    <row r="595" spans="2:14" x14ac:dyDescent="0.55000000000000004">
      <c r="C595" s="2" t="s">
        <v>25</v>
      </c>
      <c r="L595" s="2" t="e">
        <f>(1/COUNT(D595:K595))*SQRT(SUMSQ(D595:K595))</f>
        <v>#DIV/0!</v>
      </c>
    </row>
    <row r="596" spans="2:14" x14ac:dyDescent="0.55000000000000004">
      <c r="C596" s="2" t="s">
        <v>26</v>
      </c>
      <c r="L596" s="2" t="e">
        <f>AVERAGE(D596:K596)</f>
        <v>#DIV/0!</v>
      </c>
      <c r="M596" s="2" t="e">
        <f xml:space="preserve"> _xlfn.STDEV.S(D596:K596) / SQRT(COUNT(D596:K596))</f>
        <v>#DIV/0!</v>
      </c>
      <c r="N596" s="2" t="e">
        <f>M596*$N$2</f>
        <v>#DIV/0!</v>
      </c>
    </row>
    <row r="597" spans="2:14" x14ac:dyDescent="0.55000000000000004">
      <c r="C597" s="2" t="s">
        <v>27</v>
      </c>
      <c r="L597" s="2" t="e">
        <f>(1/COUNT(D597:K597))*SQRT(SUMSQ(D597:K597))</f>
        <v>#DIV/0!</v>
      </c>
    </row>
    <row r="598" spans="2:14" x14ac:dyDescent="0.55000000000000004">
      <c r="C598" s="2" t="s">
        <v>28</v>
      </c>
      <c r="L598" s="2" t="e">
        <f>AVERAGE(D598:K598)</f>
        <v>#DIV/0!</v>
      </c>
      <c r="M598" s="2" t="e">
        <f xml:space="preserve"> _xlfn.STDEV.S(D598:K598) / SQRT(COUNT(D598:K598))</f>
        <v>#DIV/0!</v>
      </c>
      <c r="N598" s="2" t="e">
        <f>M598*$N$2</f>
        <v>#DIV/0!</v>
      </c>
    </row>
    <row r="599" spans="2:14" x14ac:dyDescent="0.55000000000000004">
      <c r="C599" s="2" t="s">
        <v>29</v>
      </c>
      <c r="L599" s="2" t="e">
        <f>(1/COUNT(D599:K599))*SQRT(SUMSQ(D599:K599))</f>
        <v>#DIV/0!</v>
      </c>
    </row>
    <row r="600" spans="2:14" x14ac:dyDescent="0.55000000000000004">
      <c r="C600" s="2" t="s">
        <v>30</v>
      </c>
      <c r="L600" s="2" t="e">
        <f>AVERAGE(D600:K600)</f>
        <v>#DIV/0!</v>
      </c>
      <c r="M600" s="2" t="e">
        <f xml:space="preserve"> _xlfn.STDEV.S(D600:K600) / SQRT(COUNT(D600:K600))</f>
        <v>#DIV/0!</v>
      </c>
      <c r="N600" s="2" t="e">
        <f>M600*$N$2</f>
        <v>#DIV/0!</v>
      </c>
    </row>
    <row r="601" spans="2:14" x14ac:dyDescent="0.55000000000000004">
      <c r="C601" s="2" t="s">
        <v>31</v>
      </c>
      <c r="L601" s="2" t="e">
        <f>(1/COUNT(D601:K601))*SQRT(SUMSQ(D601:K601))</f>
        <v>#DIV/0!</v>
      </c>
    </row>
    <row r="602" spans="2:14" x14ac:dyDescent="0.55000000000000004">
      <c r="B602" s="2" t="s">
        <v>36</v>
      </c>
      <c r="C602" s="2" t="s">
        <v>22</v>
      </c>
      <c r="D602" s="2">
        <v>0.79406200000000005</v>
      </c>
      <c r="E602" s="2">
        <v>0.85179000000000005</v>
      </c>
      <c r="F602" s="2">
        <v>0.69905200000000001</v>
      </c>
      <c r="G602" s="2">
        <v>0.86782800000000004</v>
      </c>
      <c r="H602" s="2">
        <v>0.82298800000000005</v>
      </c>
      <c r="I602" s="2">
        <v>0.85470400000000002</v>
      </c>
      <c r="J602" s="2">
        <v>0.85265999999999997</v>
      </c>
      <c r="K602" s="2">
        <v>0.73813799999999996</v>
      </c>
      <c r="L602" s="2">
        <f>AVERAGE(D602:K602)</f>
        <v>0.81015274999999998</v>
      </c>
      <c r="M602" s="2">
        <f xml:space="preserve"> _xlfn.STDEV.S(D602:K602) / SQRT(COUNT(D602:K602))</f>
        <v>2.1878288314274043E-2</v>
      </c>
      <c r="N602" s="2">
        <f>M602*$N$2</f>
        <v>2.4485286079841555E-2</v>
      </c>
    </row>
    <row r="603" spans="2:14" x14ac:dyDescent="0.55000000000000004">
      <c r="C603" s="2" t="s">
        <v>24</v>
      </c>
      <c r="D603" s="2">
        <v>0.61004899999999995</v>
      </c>
      <c r="E603" s="2">
        <v>0.517876</v>
      </c>
      <c r="F603" s="2">
        <v>0.71607100000000001</v>
      </c>
      <c r="G603" s="2">
        <v>0.48984699999999998</v>
      </c>
      <c r="H603" s="2">
        <v>0.56828599999999996</v>
      </c>
      <c r="I603" s="2">
        <v>0.52066100000000004</v>
      </c>
      <c r="J603" s="2">
        <v>0.50920399999999999</v>
      </c>
      <c r="K603" s="2">
        <v>0.68551799999999996</v>
      </c>
      <c r="L603" s="2">
        <f t="shared" ref="L603:L620" si="18">AVERAGE(D603:K603)</f>
        <v>0.57718899999999995</v>
      </c>
      <c r="M603" s="2">
        <f t="shared" ref="M603:M619" si="19" xml:space="preserve"> _xlfn.STDEV.S(D603:K603) / SQRT(COUNT(D603:K603))</f>
        <v>3.02213433082839E-2</v>
      </c>
      <c r="N603" s="2">
        <f t="shared" ref="N603:N619" si="20">M603*$N$2</f>
        <v>3.382249223480855E-2</v>
      </c>
    </row>
    <row r="604" spans="2:14" x14ac:dyDescent="0.55000000000000004">
      <c r="C604" s="2" t="s">
        <v>26</v>
      </c>
      <c r="D604" s="2">
        <v>0.41304800000000003</v>
      </c>
      <c r="E604" s="2">
        <v>0.52124999999999999</v>
      </c>
      <c r="F604" s="2">
        <v>0.42344799999999999</v>
      </c>
      <c r="G604" s="2">
        <v>0.529057</v>
      </c>
      <c r="H604" s="2">
        <v>0.48177199999999998</v>
      </c>
      <c r="I604" s="2">
        <v>0.35879699999999998</v>
      </c>
      <c r="J604" s="2">
        <v>0.46472000000000002</v>
      </c>
      <c r="K604" s="2">
        <v>0.29690899999999998</v>
      </c>
      <c r="L604" s="2">
        <f t="shared" si="18"/>
        <v>0.43612512499999995</v>
      </c>
      <c r="M604" s="2">
        <f t="shared" si="19"/>
        <v>2.8296236934590595E-2</v>
      </c>
      <c r="N604" s="2">
        <f t="shared" si="20"/>
        <v>3.1667991863623048E-2</v>
      </c>
    </row>
    <row r="605" spans="2:14" x14ac:dyDescent="0.55000000000000004">
      <c r="C605" s="2" t="s">
        <v>28</v>
      </c>
      <c r="D605" s="2">
        <v>3.682706</v>
      </c>
      <c r="E605" s="2">
        <v>3.2030750000000001</v>
      </c>
      <c r="F605" s="2">
        <v>2.6542219999999999</v>
      </c>
      <c r="G605" s="2">
        <v>3.2017639999999998</v>
      </c>
      <c r="H605" s="2">
        <v>1.8635489999999999</v>
      </c>
      <c r="I605" s="2">
        <v>4.3149579999999998</v>
      </c>
      <c r="J605" s="2">
        <v>3.7014179999999999</v>
      </c>
      <c r="K605" s="2">
        <v>3.0215290000000001</v>
      </c>
      <c r="L605" s="2">
        <f t="shared" si="18"/>
        <v>3.2054026250000001</v>
      </c>
      <c r="M605" s="2">
        <f t="shared" si="19"/>
        <v>0.26196926939173748</v>
      </c>
      <c r="N605" s="2">
        <f t="shared" si="20"/>
        <v>0.29318529918992026</v>
      </c>
    </row>
    <row r="606" spans="2:14" x14ac:dyDescent="0.55000000000000004">
      <c r="C606" s="2" t="s">
        <v>30</v>
      </c>
      <c r="D606" s="2">
        <v>15.523046000000001</v>
      </c>
      <c r="E606" s="2">
        <v>16.564727000000001</v>
      </c>
      <c r="F606" s="2">
        <v>15.448356</v>
      </c>
      <c r="G606" s="2">
        <v>15.437478</v>
      </c>
      <c r="H606" s="2">
        <v>11.341847</v>
      </c>
      <c r="I606" s="2">
        <v>16.760774999999999</v>
      </c>
      <c r="J606" s="2">
        <v>18.353335000000001</v>
      </c>
      <c r="K606" s="2">
        <v>14.156845000000001</v>
      </c>
      <c r="L606" s="2">
        <f t="shared" si="18"/>
        <v>15.448301125</v>
      </c>
      <c r="M606" s="2">
        <f t="shared" si="19"/>
        <v>0.73125069676082577</v>
      </c>
      <c r="N606" s="2">
        <f t="shared" si="20"/>
        <v>0.81838589240048587</v>
      </c>
    </row>
    <row r="607" spans="2:14" x14ac:dyDescent="0.55000000000000004">
      <c r="B607" s="2" t="s">
        <v>37</v>
      </c>
      <c r="C607" s="2" t="s">
        <v>22</v>
      </c>
      <c r="D607" s="2">
        <v>0.73623499999999997</v>
      </c>
      <c r="E607" s="2">
        <v>0.77485300000000001</v>
      </c>
      <c r="F607" s="2">
        <v>0.58685900000000002</v>
      </c>
      <c r="G607" s="2">
        <v>0.79993499999999995</v>
      </c>
      <c r="H607" s="2">
        <v>0.70572000000000001</v>
      </c>
      <c r="I607" s="2">
        <v>0.78773700000000002</v>
      </c>
      <c r="J607" s="2">
        <v>0.80369000000000002</v>
      </c>
      <c r="K607" s="2">
        <v>0.63728399999999996</v>
      </c>
      <c r="L607" s="2">
        <f t="shared" si="18"/>
        <v>0.72903912500000001</v>
      </c>
      <c r="M607" s="2">
        <f t="shared" si="19"/>
        <v>2.846460302440653E-2</v>
      </c>
      <c r="N607" s="2">
        <f t="shared" si="20"/>
        <v>3.1856420309947057E-2</v>
      </c>
    </row>
    <row r="608" spans="2:14" x14ac:dyDescent="0.55000000000000004">
      <c r="C608" s="2" t="s">
        <v>24</v>
      </c>
      <c r="D608" s="2">
        <v>0.69574599999999998</v>
      </c>
      <c r="E608" s="2">
        <v>0.63162300000000005</v>
      </c>
      <c r="F608" s="2">
        <v>0.83485200000000004</v>
      </c>
      <c r="G608" s="2">
        <v>0.59996300000000002</v>
      </c>
      <c r="H608" s="2">
        <v>0.722966</v>
      </c>
      <c r="I608" s="2">
        <v>0.62780800000000003</v>
      </c>
      <c r="J608" s="2">
        <v>0.59223400000000004</v>
      </c>
      <c r="K608" s="2">
        <v>0.80189699999999997</v>
      </c>
      <c r="L608" s="2">
        <f t="shared" si="18"/>
        <v>0.68838612500000018</v>
      </c>
      <c r="M608" s="2">
        <f t="shared" si="19"/>
        <v>3.2607664678194717E-2</v>
      </c>
      <c r="N608" s="2">
        <f t="shared" si="20"/>
        <v>3.6493165579148036E-2</v>
      </c>
    </row>
    <row r="609" spans="1:14" x14ac:dyDescent="0.55000000000000004">
      <c r="C609" s="2" t="s">
        <v>26</v>
      </c>
      <c r="D609" s="2">
        <v>0.33615600000000001</v>
      </c>
      <c r="E609" s="2">
        <v>0.413746</v>
      </c>
      <c r="F609" s="2">
        <v>0.35355300000000001</v>
      </c>
      <c r="G609" s="2">
        <v>0.42671599999999998</v>
      </c>
      <c r="H609" s="2">
        <v>0.348665</v>
      </c>
      <c r="I609" s="2">
        <v>0.27974300000000002</v>
      </c>
      <c r="J609" s="2">
        <v>0.38082300000000002</v>
      </c>
      <c r="K609" s="2">
        <v>0.217977</v>
      </c>
      <c r="L609" s="2">
        <f t="shared" si="18"/>
        <v>0.34467237499999998</v>
      </c>
      <c r="M609" s="2">
        <f t="shared" si="19"/>
        <v>2.4364811696333106E-2</v>
      </c>
      <c r="N609" s="2">
        <f t="shared" si="20"/>
        <v>2.7268101420756925E-2</v>
      </c>
    </row>
    <row r="610" spans="1:14" x14ac:dyDescent="0.55000000000000004">
      <c r="C610" s="2" t="s">
        <v>28</v>
      </c>
      <c r="D610" s="2">
        <v>4.8941400000000002</v>
      </c>
      <c r="E610" s="2">
        <v>4.9180820000000001</v>
      </c>
      <c r="F610" s="2">
        <v>3.5490020000000002</v>
      </c>
      <c r="G610" s="2">
        <v>4.4915640000000003</v>
      </c>
      <c r="H610" s="2">
        <v>3.3155600000000001</v>
      </c>
      <c r="I610" s="2">
        <v>7.9408139999999996</v>
      </c>
      <c r="J610" s="2">
        <v>4.8721459999999999</v>
      </c>
      <c r="K610" s="2">
        <v>4.1837179999999998</v>
      </c>
      <c r="L610" s="2">
        <f t="shared" si="18"/>
        <v>4.7706282499999997</v>
      </c>
      <c r="M610" s="2">
        <f t="shared" si="19"/>
        <v>0.50230390821898141</v>
      </c>
      <c r="N610" s="2">
        <f t="shared" si="20"/>
        <v>0.56215800409486183</v>
      </c>
    </row>
    <row r="611" spans="1:14" x14ac:dyDescent="0.55000000000000004">
      <c r="C611" s="2" t="s">
        <v>30</v>
      </c>
      <c r="D611" s="2">
        <v>18.760804</v>
      </c>
      <c r="E611" s="2">
        <v>18.960767000000001</v>
      </c>
      <c r="F611" s="2">
        <v>18.217093999999999</v>
      </c>
      <c r="G611" s="2">
        <v>17.739716000000001</v>
      </c>
      <c r="H611" s="2">
        <v>18.175443999999999</v>
      </c>
      <c r="I611" s="2">
        <v>26.037279000000002</v>
      </c>
      <c r="J611" s="2">
        <v>20.550063000000002</v>
      </c>
      <c r="K611" s="2">
        <v>19.215295000000001</v>
      </c>
      <c r="L611" s="2">
        <f t="shared" si="18"/>
        <v>19.707057750000001</v>
      </c>
      <c r="M611" s="2">
        <f t="shared" si="19"/>
        <v>0.95349733863108344</v>
      </c>
      <c r="N611" s="2">
        <f t="shared" si="20"/>
        <v>1.0671152503972436</v>
      </c>
    </row>
    <row r="612" spans="1:14" x14ac:dyDescent="0.55000000000000004">
      <c r="B612" s="2" t="s">
        <v>39</v>
      </c>
      <c r="C612" s="2" t="s">
        <v>22</v>
      </c>
      <c r="D612" s="2">
        <v>0.83673799999999998</v>
      </c>
      <c r="E612" s="2">
        <v>0.90852200000000005</v>
      </c>
      <c r="F612" s="2">
        <v>0.75218700000000005</v>
      </c>
      <c r="G612" s="2">
        <v>0.82259099999999996</v>
      </c>
      <c r="H612" s="2">
        <v>0.83558699999999997</v>
      </c>
      <c r="I612" s="2">
        <v>0.87864200000000003</v>
      </c>
      <c r="J612" s="2">
        <v>0.88136199999999998</v>
      </c>
      <c r="K612" s="2">
        <v>0.72520899999999999</v>
      </c>
      <c r="L612" s="2">
        <f t="shared" si="18"/>
        <v>0.83010475000000006</v>
      </c>
      <c r="M612" s="2">
        <f t="shared" si="19"/>
        <v>2.2494936356997262E-2</v>
      </c>
      <c r="N612" s="2">
        <f t="shared" si="20"/>
        <v>2.5175413365841413E-2</v>
      </c>
    </row>
    <row r="613" spans="1:14" x14ac:dyDescent="0.55000000000000004">
      <c r="C613" s="2" t="s">
        <v>24</v>
      </c>
      <c r="D613" s="2">
        <v>0.54803900000000005</v>
      </c>
      <c r="E613" s="2">
        <v>0.41512300000000002</v>
      </c>
      <c r="F613" s="2">
        <v>0.65996900000000003</v>
      </c>
      <c r="G613" s="2">
        <v>0.56786599999999998</v>
      </c>
      <c r="H613" s="2">
        <v>0.55086400000000002</v>
      </c>
      <c r="I613" s="2">
        <v>0.47980299999999998</v>
      </c>
      <c r="J613" s="2">
        <v>0.46757300000000002</v>
      </c>
      <c r="K613" s="2">
        <v>0.69892900000000002</v>
      </c>
      <c r="L613" s="2">
        <f t="shared" si="18"/>
        <v>0.54852075</v>
      </c>
      <c r="M613" s="2">
        <f t="shared" si="19"/>
        <v>3.3936111928335413E-2</v>
      </c>
      <c r="N613" s="2">
        <f t="shared" si="20"/>
        <v>3.7979909445689547E-2</v>
      </c>
    </row>
    <row r="614" spans="1:14" x14ac:dyDescent="0.55000000000000004">
      <c r="C614" s="2" t="s">
        <v>26</v>
      </c>
      <c r="D614" s="2">
        <v>0.48231099999999999</v>
      </c>
      <c r="E614" s="2">
        <v>0.62871299999999997</v>
      </c>
      <c r="F614" s="2">
        <v>0.458063</v>
      </c>
      <c r="G614" s="2">
        <v>0.45493400000000001</v>
      </c>
      <c r="H614" s="2">
        <v>0.49688500000000002</v>
      </c>
      <c r="I614" s="2">
        <v>0.39691500000000002</v>
      </c>
      <c r="J614" s="2">
        <v>0.50352200000000003</v>
      </c>
      <c r="K614" s="2">
        <v>0.30049999999999999</v>
      </c>
      <c r="L614" s="2">
        <f t="shared" si="18"/>
        <v>0.46523037500000003</v>
      </c>
      <c r="M614" s="2">
        <f t="shared" si="19"/>
        <v>3.3125048185375962E-2</v>
      </c>
      <c r="N614" s="2">
        <f t="shared" si="20"/>
        <v>3.7072200054073544E-2</v>
      </c>
    </row>
    <row r="615" spans="1:14" x14ac:dyDescent="0.55000000000000004">
      <c r="C615" s="2" t="s">
        <v>28</v>
      </c>
      <c r="D615" s="2">
        <v>2.6317699999999999</v>
      </c>
      <c r="E615" s="2">
        <v>2.3845149999999999</v>
      </c>
      <c r="F615" s="2">
        <v>2.282403</v>
      </c>
      <c r="G615" s="2">
        <v>4.0859430000000003</v>
      </c>
      <c r="H615" s="2">
        <v>1.7677080000000001</v>
      </c>
      <c r="I615" s="2">
        <v>3.754985</v>
      </c>
      <c r="J615" s="2">
        <v>3.1953279999999999</v>
      </c>
      <c r="K615" s="2">
        <v>3.3966769999999999</v>
      </c>
      <c r="L615" s="2">
        <f t="shared" si="18"/>
        <v>2.9374161250000004</v>
      </c>
      <c r="M615" s="2">
        <f t="shared" si="19"/>
        <v>0.28225338267949157</v>
      </c>
      <c r="N615" s="2">
        <f t="shared" si="20"/>
        <v>0.31588644973662627</v>
      </c>
    </row>
    <row r="616" spans="1:14" x14ac:dyDescent="0.55000000000000004">
      <c r="C616" s="2" t="s">
        <v>30</v>
      </c>
      <c r="D616" s="2">
        <v>14.531472000000001</v>
      </c>
      <c r="E616" s="2">
        <v>16.422975000000001</v>
      </c>
      <c r="F616" s="2">
        <v>13.712005</v>
      </c>
      <c r="G616" s="2">
        <v>16.824452999999998</v>
      </c>
      <c r="H616" s="2">
        <v>10.989276</v>
      </c>
      <c r="I616" s="2">
        <v>18.530187999999999</v>
      </c>
      <c r="J616" s="2">
        <v>18.478836999999999</v>
      </c>
      <c r="K616" s="2">
        <v>15.475182999999999</v>
      </c>
      <c r="L616" s="2">
        <f t="shared" si="18"/>
        <v>15.620548625</v>
      </c>
      <c r="M616" s="2">
        <f t="shared" si="19"/>
        <v>0.89669563551712483</v>
      </c>
      <c r="N616" s="2">
        <f t="shared" si="20"/>
        <v>1.0035451058507847</v>
      </c>
    </row>
    <row r="617" spans="1:14" x14ac:dyDescent="0.55000000000000004">
      <c r="B617" s="2" t="s">
        <v>61</v>
      </c>
      <c r="C617" s="2" t="s">
        <v>22</v>
      </c>
      <c r="D617" s="2">
        <v>0.72954799999999997</v>
      </c>
      <c r="E617" s="2">
        <v>0.75691900000000001</v>
      </c>
      <c r="F617" s="2">
        <v>0.56120999999999999</v>
      </c>
      <c r="G617" s="2">
        <v>0.77384699999999995</v>
      </c>
      <c r="H617" s="2">
        <v>0.64654</v>
      </c>
      <c r="I617" s="2">
        <v>0.75412000000000001</v>
      </c>
      <c r="J617" s="2">
        <v>0.79116600000000004</v>
      </c>
      <c r="K617" s="2">
        <v>0.58540400000000004</v>
      </c>
      <c r="L617" s="2">
        <f t="shared" si="18"/>
        <v>0.69984425000000017</v>
      </c>
      <c r="M617" s="2">
        <f t="shared" si="19"/>
        <v>3.1639468762894481E-2</v>
      </c>
      <c r="N617" s="2">
        <f t="shared" si="20"/>
        <v>3.5409600282497587E-2</v>
      </c>
    </row>
    <row r="618" spans="1:14" x14ac:dyDescent="0.55000000000000004">
      <c r="C618" s="2" t="s">
        <v>24</v>
      </c>
      <c r="D618" s="2">
        <v>0.718804</v>
      </c>
      <c r="E618" s="2">
        <v>0.65864400000000001</v>
      </c>
      <c r="F618" s="2">
        <v>0.91989799999999999</v>
      </c>
      <c r="G618" s="2">
        <v>0.63515100000000002</v>
      </c>
      <c r="H618" s="2">
        <v>0.82672999999999996</v>
      </c>
      <c r="I618" s="2">
        <v>0.69437099999999996</v>
      </c>
      <c r="J618" s="2">
        <v>0.62329400000000001</v>
      </c>
      <c r="K618" s="2">
        <v>0.89805900000000005</v>
      </c>
      <c r="L618" s="2">
        <f t="shared" si="18"/>
        <v>0.7468688750000001</v>
      </c>
      <c r="M618" s="2">
        <f t="shared" si="19"/>
        <v>4.1887233237602649E-2</v>
      </c>
      <c r="N618" s="2">
        <f t="shared" si="20"/>
        <v>4.6878479439664535E-2</v>
      </c>
    </row>
    <row r="619" spans="1:14" x14ac:dyDescent="0.55000000000000004">
      <c r="C619" s="2" t="s">
        <v>26</v>
      </c>
      <c r="D619" s="2">
        <v>0.35476200000000002</v>
      </c>
      <c r="E619" s="2">
        <v>0.427261</v>
      </c>
      <c r="F619" s="2">
        <v>0.36287199999999997</v>
      </c>
      <c r="G619" s="2">
        <v>0.43807200000000002</v>
      </c>
      <c r="H619" s="2">
        <v>0.305224</v>
      </c>
      <c r="I619" s="2">
        <v>0.27092699999999997</v>
      </c>
      <c r="J619" s="2">
        <v>0.39847399999999999</v>
      </c>
      <c r="K619" s="2">
        <v>0.18220500000000001</v>
      </c>
      <c r="L619" s="2">
        <f t="shared" si="18"/>
        <v>0.34247462499999998</v>
      </c>
      <c r="M619" s="2">
        <f t="shared" si="19"/>
        <v>3.0537908054660747E-2</v>
      </c>
      <c r="N619" s="2">
        <f t="shared" si="20"/>
        <v>3.41767785604336E-2</v>
      </c>
    </row>
    <row r="620" spans="1:14" x14ac:dyDescent="0.55000000000000004">
      <c r="A620" s="2" t="s">
        <v>20</v>
      </c>
      <c r="B620" s="2" t="s">
        <v>21</v>
      </c>
      <c r="C620" s="2" t="s">
        <v>22</v>
      </c>
      <c r="D620" s="2">
        <v>0.85058299999999998</v>
      </c>
      <c r="E620" s="2">
        <v>0.90832400000000002</v>
      </c>
      <c r="F620" s="2">
        <v>0.73051299999999997</v>
      </c>
      <c r="G620" s="2">
        <v>0.84728499999999995</v>
      </c>
      <c r="H620" s="7">
        <v>0.83902100000000002</v>
      </c>
      <c r="I620" s="2">
        <v>0.87804300000000002</v>
      </c>
      <c r="J620" s="2">
        <v>0.87340200000000001</v>
      </c>
      <c r="K620" s="2">
        <v>0.74430099999999999</v>
      </c>
      <c r="L620" s="2">
        <f t="shared" si="18"/>
        <v>0.83393399999999995</v>
      </c>
      <c r="M620" s="2">
        <f xml:space="preserve"> _xlfn.STDEV.S(D620:K620) / SQRT(COUNT(D620:K620))</f>
        <v>2.2459683286311691E-2</v>
      </c>
      <c r="N620" s="2">
        <f>M620*$N$2</f>
        <v>2.5135959569980888E-2</v>
      </c>
    </row>
    <row r="621" spans="1:14" x14ac:dyDescent="0.55000000000000004">
      <c r="A621" s="2">
        <v>1.333</v>
      </c>
      <c r="C621" s="2" t="s">
        <v>23</v>
      </c>
      <c r="D621" s="2">
        <v>3.86E-4</v>
      </c>
      <c r="E621" s="2">
        <v>1.1050000000000001E-3</v>
      </c>
      <c r="F621" s="2">
        <v>1.7359999999999999E-3</v>
      </c>
      <c r="G621" s="2">
        <v>6.8900000000000005E-4</v>
      </c>
      <c r="H621" s="2">
        <v>3.8400000000000001E-4</v>
      </c>
      <c r="I621" s="2">
        <v>1.003E-3</v>
      </c>
      <c r="J621" s="2">
        <v>3.3240000000000001E-3</v>
      </c>
      <c r="K621" s="2">
        <v>4.7800000000000002E-4</v>
      </c>
      <c r="L621" s="2">
        <f>(1/COUNT(D621:K621))*SQRT(SUMSQ(D621:K621))</f>
        <v>5.1975599744014502E-4</v>
      </c>
    </row>
    <row r="622" spans="1:14" x14ac:dyDescent="0.55000000000000004">
      <c r="C622" s="2" t="s">
        <v>24</v>
      </c>
      <c r="D622" s="2">
        <v>0.52697300000000002</v>
      </c>
      <c r="E622" s="2">
        <v>0.41522599999999998</v>
      </c>
      <c r="F622" s="2">
        <v>0.68327099999999996</v>
      </c>
      <c r="G622" s="2">
        <v>0.53010000000000002</v>
      </c>
      <c r="H622" s="2">
        <v>0.54502200000000001</v>
      </c>
      <c r="I622" s="2">
        <v>0.48167300000000002</v>
      </c>
      <c r="J622" s="2">
        <v>0.48058899999999999</v>
      </c>
      <c r="K622" s="2">
        <v>0.67896699999999999</v>
      </c>
      <c r="L622" s="2">
        <f>AVERAGE(D622:K622)</f>
        <v>0.54272762500000005</v>
      </c>
      <c r="M622" s="2">
        <f xml:space="preserve"> _xlfn.STDEV.S(D622:K622) / SQRT(COUNT(D622:K622))</f>
        <v>3.3426913120769564E-2</v>
      </c>
      <c r="N622" s="2">
        <f>M622*$N$2</f>
        <v>3.7410034952051509E-2</v>
      </c>
    </row>
    <row r="623" spans="1:14" x14ac:dyDescent="0.55000000000000004">
      <c r="C623" s="2" t="s">
        <v>25</v>
      </c>
      <c r="D623" s="2">
        <v>5.31E-4</v>
      </c>
      <c r="E623" s="2">
        <v>2.6199999999999999E-3</v>
      </c>
      <c r="F623" s="2">
        <v>1.9449999999999999E-3</v>
      </c>
      <c r="G623" s="2">
        <v>1.0430000000000001E-3</v>
      </c>
      <c r="H623" s="2">
        <v>6.2500000000000001E-4</v>
      </c>
      <c r="I623" s="2">
        <v>1.9629999999999999E-3</v>
      </c>
      <c r="J623" s="2">
        <v>6.4250000000000002E-3</v>
      </c>
      <c r="K623" s="2">
        <v>5.4199999999999995E-4</v>
      </c>
      <c r="L623" s="2">
        <f>(1/COUNT(D623:K623))*SQRT(SUMSQ(D623:K623))</f>
        <v>9.5062165515519368E-4</v>
      </c>
    </row>
    <row r="624" spans="1:14" x14ac:dyDescent="0.55000000000000004">
      <c r="C624" s="2" t="s">
        <v>26</v>
      </c>
      <c r="D624" s="2">
        <v>0.50416499999999997</v>
      </c>
      <c r="E624" s="2">
        <v>0.62826899999999997</v>
      </c>
      <c r="F624" s="2">
        <v>0.44464199999999998</v>
      </c>
      <c r="G624" s="2">
        <v>0.49751400000000001</v>
      </c>
      <c r="H624" s="2">
        <v>0.50217999999999996</v>
      </c>
      <c r="I624" s="2">
        <v>0.39378999999999997</v>
      </c>
      <c r="J624" s="2">
        <v>0.49006699999999997</v>
      </c>
      <c r="K624" s="2">
        <v>0.31752200000000003</v>
      </c>
      <c r="L624" s="2">
        <f>AVERAGE(D624:K624)</f>
        <v>0.47226862499999994</v>
      </c>
      <c r="M624" s="2">
        <f xml:space="preserve"> _xlfn.STDEV.S(D624:K624) / SQRT(COUNT(D624:K624))</f>
        <v>3.2202190515518855E-2</v>
      </c>
      <c r="N624" s="2">
        <f>M624*$N$2</f>
        <v>3.6039375468674667E-2</v>
      </c>
    </row>
    <row r="625" spans="2:14" x14ac:dyDescent="0.55000000000000004">
      <c r="C625" s="2" t="s">
        <v>27</v>
      </c>
      <c r="D625" s="2">
        <v>5.71E-4</v>
      </c>
      <c r="E625" s="2">
        <v>2.362E-3</v>
      </c>
      <c r="F625" s="2">
        <v>1.0629999999999999E-3</v>
      </c>
      <c r="G625" s="2">
        <v>1.2179999999999999E-3</v>
      </c>
      <c r="H625" s="2">
        <v>4.44E-4</v>
      </c>
      <c r="I625" s="2">
        <v>2.049E-3</v>
      </c>
      <c r="J625" s="2">
        <v>6.0029999999999997E-3</v>
      </c>
      <c r="K625" s="2">
        <v>5.1199999999999998E-4</v>
      </c>
      <c r="L625" s="2">
        <f>(1/COUNT(D625:K625))*SQRT(SUMSQ(D625:K625))</f>
        <v>8.76893201878085E-4</v>
      </c>
    </row>
    <row r="626" spans="2:14" x14ac:dyDescent="0.55000000000000004">
      <c r="C626" s="2" t="s">
        <v>28</v>
      </c>
      <c r="D626" s="2">
        <v>2.3064070000000001</v>
      </c>
      <c r="E626" s="2">
        <v>2.332802</v>
      </c>
      <c r="F626" s="2">
        <v>2.468178</v>
      </c>
      <c r="G626" s="2">
        <v>3.5103719999999998</v>
      </c>
      <c r="H626" s="2">
        <v>1.740883</v>
      </c>
      <c r="I626" s="2">
        <v>3.5100669999999998</v>
      </c>
      <c r="J626" s="2">
        <v>3.2769819999999998</v>
      </c>
      <c r="K626" s="2">
        <v>2.7447699999999999</v>
      </c>
      <c r="L626" s="2">
        <f>AVERAGE(D626:K626)</f>
        <v>2.7363076249999998</v>
      </c>
      <c r="M626" s="2">
        <f xml:space="preserve"> _xlfn.STDEV.S(D626:K626) / SQRT(COUNT(D626:K626))</f>
        <v>0.22759121543656005</v>
      </c>
      <c r="N626" s="2">
        <f>M626*$N$2</f>
        <v>0.25471078629068394</v>
      </c>
    </row>
    <row r="627" spans="2:14" x14ac:dyDescent="0.55000000000000004">
      <c r="C627" s="2" t="s">
        <v>29</v>
      </c>
      <c r="D627" s="2">
        <v>7.3619999999999996E-3</v>
      </c>
      <c r="E627" s="2">
        <v>1.3509999999999999E-2</v>
      </c>
      <c r="F627" s="2">
        <v>1.0099E-2</v>
      </c>
      <c r="G627" s="2">
        <v>1.2978999999999999E-2</v>
      </c>
      <c r="H627" s="2">
        <v>3.748E-3</v>
      </c>
      <c r="I627" s="2">
        <v>3.6823000000000002E-2</v>
      </c>
      <c r="J627" s="2">
        <v>6.0905000000000001E-2</v>
      </c>
      <c r="K627" s="2">
        <v>7.43E-3</v>
      </c>
      <c r="L627" s="2">
        <f>(1/COUNT(D627:K627))*SQRT(SUMSQ(D627:K627))</f>
        <v>9.3889630550982577E-3</v>
      </c>
    </row>
    <row r="628" spans="2:14" x14ac:dyDescent="0.55000000000000004">
      <c r="C628" s="2" t="s">
        <v>30</v>
      </c>
      <c r="D628" s="2">
        <v>13.845592</v>
      </c>
      <c r="E628" s="2">
        <v>16.138649000000001</v>
      </c>
      <c r="F628" s="2">
        <v>14.951696</v>
      </c>
      <c r="G628" s="2">
        <v>16.021076999999998</v>
      </c>
      <c r="H628" s="2">
        <v>10.915881000000001</v>
      </c>
      <c r="I628" s="2">
        <v>16.226631000000001</v>
      </c>
      <c r="J628" s="2">
        <v>18.042577999999999</v>
      </c>
      <c r="K628" s="2">
        <v>13.591357</v>
      </c>
      <c r="L628" s="2">
        <f>AVERAGE(D628:K628)</f>
        <v>14.966682624999999</v>
      </c>
      <c r="M628" s="2">
        <f xml:space="preserve"> _xlfn.STDEV.S(D628:K628) / SQRT(COUNT(D628:K628))</f>
        <v>0.76871225942260635</v>
      </c>
      <c r="N628" s="2">
        <f>M628*$N$2</f>
        <v>0.86031134221609884</v>
      </c>
    </row>
    <row r="629" spans="2:14" x14ac:dyDescent="0.55000000000000004">
      <c r="C629" s="2" t="s">
        <v>31</v>
      </c>
      <c r="D629" s="2">
        <v>5.9189999999999998E-3</v>
      </c>
      <c r="E629" s="2">
        <v>4.4159999999999998E-2</v>
      </c>
      <c r="F629" s="2">
        <v>2.4129999999999999E-2</v>
      </c>
      <c r="G629" s="2">
        <v>4.0452000000000002E-2</v>
      </c>
      <c r="H629" s="2">
        <v>3.1130999999999999E-2</v>
      </c>
      <c r="I629" s="2">
        <v>5.6742000000000001E-2</v>
      </c>
      <c r="J629" s="2">
        <v>0.12987499999999999</v>
      </c>
      <c r="K629" s="2">
        <v>2.8819000000000001E-2</v>
      </c>
      <c r="L629" s="2">
        <f>(1/COUNT(D629:K629))*SQRT(SUMSQ(D629:K629))</f>
        <v>2.0190733284417877E-2</v>
      </c>
    </row>
    <row r="630" spans="2:14" x14ac:dyDescent="0.55000000000000004">
      <c r="B630" s="2" t="s">
        <v>32</v>
      </c>
      <c r="C630" s="2" t="s">
        <v>22</v>
      </c>
      <c r="D630" s="2">
        <v>0.83336900000000003</v>
      </c>
      <c r="E630" s="2">
        <v>0.88599899999999998</v>
      </c>
      <c r="F630" s="2">
        <v>0.74769600000000003</v>
      </c>
      <c r="G630" s="2">
        <v>0.84415399999999996</v>
      </c>
      <c r="H630" s="2">
        <v>0.82518499999999995</v>
      </c>
      <c r="I630" s="2">
        <v>0.87302299999999999</v>
      </c>
      <c r="J630" s="2">
        <v>0.89049900000000004</v>
      </c>
      <c r="K630" s="2">
        <v>0.73324199999999995</v>
      </c>
      <c r="L630" s="2">
        <f>AVERAGE(D630:K630)</f>
        <v>0.82914587500000003</v>
      </c>
      <c r="M630" s="2">
        <f xml:space="preserve"> _xlfn.STDEV.S(D630:K630) / SQRT(COUNT(D630:K630))</f>
        <v>2.1133964022429379E-2</v>
      </c>
      <c r="N630" s="2">
        <f>M630*$N$2</f>
        <v>2.365226875416249E-2</v>
      </c>
    </row>
    <row r="631" spans="2:14" x14ac:dyDescent="0.55000000000000004">
      <c r="C631" s="2" t="s">
        <v>23</v>
      </c>
      <c r="D631" s="2">
        <v>1.544E-3</v>
      </c>
      <c r="E631" s="2">
        <v>2.9220000000000001E-3</v>
      </c>
      <c r="F631" s="2">
        <v>2.6020000000000001E-3</v>
      </c>
      <c r="G631" s="2">
        <v>2.6670000000000001E-3</v>
      </c>
      <c r="H631" s="2">
        <v>7.76E-4</v>
      </c>
      <c r="I631" s="2">
        <v>1.4610000000000001E-3</v>
      </c>
      <c r="J631" s="2">
        <v>3.2420000000000001E-3</v>
      </c>
      <c r="K631" s="2">
        <v>1.011E-3</v>
      </c>
      <c r="L631" s="2">
        <f>(1/COUNT(D631:K631))*SQRT(SUMSQ(D631:K631))</f>
        <v>7.8137194048353187E-4</v>
      </c>
    </row>
    <row r="632" spans="2:14" x14ac:dyDescent="0.55000000000000004">
      <c r="C632" s="2" t="s">
        <v>24</v>
      </c>
      <c r="D632" s="2">
        <v>0.55491199999999996</v>
      </c>
      <c r="E632" s="2">
        <v>0.45979799999999998</v>
      </c>
      <c r="F632" s="2">
        <v>0.66438299999999995</v>
      </c>
      <c r="G632" s="2">
        <v>0.53510899999999995</v>
      </c>
      <c r="H632" s="2">
        <v>0.56534799999999996</v>
      </c>
      <c r="I632" s="2">
        <v>0.48998599999999998</v>
      </c>
      <c r="J632" s="2">
        <v>0.44956800000000002</v>
      </c>
      <c r="K632" s="2">
        <v>0.69401500000000005</v>
      </c>
      <c r="L632" s="2">
        <f>AVERAGE(D632:K632)</f>
        <v>0.551639875</v>
      </c>
      <c r="M632" s="2">
        <f xml:space="preserve"> _xlfn.STDEV.S(D632:K632) / SQRT(COUNT(D632:K632))</f>
        <v>3.1653361293773975E-2</v>
      </c>
      <c r="N632" s="2">
        <f>M632*$N$2</f>
        <v>3.5425148235247422E-2</v>
      </c>
    </row>
    <row r="633" spans="2:14" x14ac:dyDescent="0.55000000000000004">
      <c r="C633" s="2" t="s">
        <v>25</v>
      </c>
      <c r="D633" s="2">
        <v>2.1059999999999998E-3</v>
      </c>
      <c r="E633" s="2">
        <v>5.4999999999999997E-3</v>
      </c>
      <c r="F633" s="2">
        <v>3.0109999999999998E-3</v>
      </c>
      <c r="G633" s="2">
        <v>4.1349999999999998E-3</v>
      </c>
      <c r="H633" s="2">
        <v>1.1850000000000001E-3</v>
      </c>
      <c r="I633" s="2">
        <v>2.5730000000000002E-3</v>
      </c>
      <c r="J633" s="2">
        <v>5.7660000000000003E-3</v>
      </c>
      <c r="K633" s="2">
        <v>1.255E-3</v>
      </c>
      <c r="L633" s="2">
        <f>(1/COUNT(D633:K633))*SQRT(SUMSQ(D633:K633))</f>
        <v>1.2728899022008933E-3</v>
      </c>
    </row>
    <row r="634" spans="2:14" x14ac:dyDescent="0.55000000000000004">
      <c r="C634" s="2" t="s">
        <v>26</v>
      </c>
      <c r="D634" s="2">
        <v>0.486877</v>
      </c>
      <c r="E634" s="2">
        <v>0.581399</v>
      </c>
      <c r="F634" s="2">
        <v>0.45591900000000002</v>
      </c>
      <c r="G634" s="2">
        <v>0.49093199999999998</v>
      </c>
      <c r="H634" s="2">
        <v>0.48459999999999998</v>
      </c>
      <c r="I634" s="2">
        <v>0.38783899999999999</v>
      </c>
      <c r="J634" s="2">
        <v>0.520235</v>
      </c>
      <c r="K634" s="2">
        <v>0.29946099999999998</v>
      </c>
      <c r="L634" s="2">
        <f>AVERAGE(D634:K634)</f>
        <v>0.46340775000000001</v>
      </c>
      <c r="M634" s="2">
        <f xml:space="preserve"> _xlfn.STDEV.S(D634:K634) / SQRT(COUNT(D634:K634))</f>
        <v>3.0341516554261101E-2</v>
      </c>
      <c r="N634" s="2">
        <f>M634*$N$2</f>
        <v>3.3956985220028747E-2</v>
      </c>
    </row>
    <row r="635" spans="2:14" x14ac:dyDescent="0.55000000000000004">
      <c r="C635" s="2" t="s">
        <v>27</v>
      </c>
      <c r="D635" s="2">
        <v>2.349E-3</v>
      </c>
      <c r="E635" s="2">
        <v>5.9519999999999998E-3</v>
      </c>
      <c r="F635" s="2">
        <v>1.6949999999999999E-3</v>
      </c>
      <c r="G635" s="2">
        <v>4.9589999999999999E-3</v>
      </c>
      <c r="H635" s="2">
        <v>9.2800000000000001E-4</v>
      </c>
      <c r="I635" s="2">
        <v>2.2290000000000001E-3</v>
      </c>
      <c r="J635" s="2">
        <v>5.5230000000000001E-3</v>
      </c>
      <c r="K635" s="2">
        <v>7.8299999999999995E-4</v>
      </c>
      <c r="L635" s="2">
        <f>(1/COUNT(D635:K635))*SQRT(SUMSQ(D635:K635))</f>
        <v>1.2830326257543103E-3</v>
      </c>
    </row>
    <row r="636" spans="2:14" x14ac:dyDescent="0.55000000000000004">
      <c r="C636" s="2" t="s">
        <v>28</v>
      </c>
      <c r="D636" s="2">
        <v>2.6821120000000001</v>
      </c>
      <c r="E636" s="2">
        <v>2.619075</v>
      </c>
      <c r="F636" s="2">
        <v>2.3763260000000002</v>
      </c>
      <c r="G636" s="2">
        <v>3.6011630000000001</v>
      </c>
      <c r="H636" s="2">
        <v>1.8682030000000001</v>
      </c>
      <c r="I636" s="2">
        <v>3.6468639999999999</v>
      </c>
      <c r="J636" s="2">
        <v>3.053121</v>
      </c>
      <c r="K636" s="2">
        <v>3.0716230000000002</v>
      </c>
      <c r="L636" s="2">
        <f>AVERAGE(D636:K636)</f>
        <v>2.8648108749999999</v>
      </c>
      <c r="M636" s="2">
        <f xml:space="preserve"> _xlfn.STDEV.S(D636:K636) / SQRT(COUNT(D636:K636))</f>
        <v>0.21371138871580317</v>
      </c>
      <c r="N636" s="2">
        <f>M636*$N$2</f>
        <v>0.23917705151607491</v>
      </c>
    </row>
    <row r="637" spans="2:14" x14ac:dyDescent="0.55000000000000004">
      <c r="C637" s="2" t="s">
        <v>29</v>
      </c>
      <c r="D637" s="2">
        <v>5.2614000000000001E-2</v>
      </c>
      <c r="E637" s="2">
        <v>4.1260999999999999E-2</v>
      </c>
      <c r="F637" s="2">
        <v>1.5951E-2</v>
      </c>
      <c r="G637" s="2">
        <v>7.2706999999999994E-2</v>
      </c>
      <c r="H637" s="2">
        <v>7.4609999999999998E-3</v>
      </c>
      <c r="I637" s="2">
        <v>5.3269999999999998E-2</v>
      </c>
      <c r="J637" s="2">
        <v>5.9297000000000002E-2</v>
      </c>
      <c r="K637" s="2">
        <v>6.2189999999999997E-3</v>
      </c>
      <c r="L637" s="2">
        <f>(1/COUNT(D637:K637))*SQRT(SUMSQ(D637:K637))</f>
        <v>1.6036878864627929E-2</v>
      </c>
    </row>
    <row r="638" spans="2:14" x14ac:dyDescent="0.55000000000000004">
      <c r="C638" s="2" t="s">
        <v>30</v>
      </c>
      <c r="D638" s="2">
        <v>15.779728</v>
      </c>
      <c r="E638" s="2">
        <v>16.235759000000002</v>
      </c>
      <c r="F638" s="2">
        <v>14.857384</v>
      </c>
      <c r="G638" s="2">
        <v>16.681483</v>
      </c>
      <c r="H638" s="2">
        <v>11.715565</v>
      </c>
      <c r="I638" s="2">
        <v>16.510190000000001</v>
      </c>
      <c r="J638" s="2">
        <v>18.461338999999999</v>
      </c>
      <c r="K638" s="2">
        <v>14.688418</v>
      </c>
      <c r="L638" s="2">
        <f>AVERAGE(D638:K638)</f>
        <v>15.616233250000001</v>
      </c>
      <c r="M638" s="2">
        <f xml:space="preserve"> _xlfn.STDEV.S(D638:K638) / SQRT(COUNT(D638:K638))</f>
        <v>0.69553411178203151</v>
      </c>
      <c r="N638" s="2">
        <f>M638*$N$2</f>
        <v>0.77841335028757386</v>
      </c>
    </row>
    <row r="639" spans="2:14" x14ac:dyDescent="0.55000000000000004">
      <c r="C639" s="2" t="s">
        <v>31</v>
      </c>
      <c r="D639" s="2">
        <v>7.6462000000000002E-2</v>
      </c>
      <c r="E639" s="2">
        <v>4.5030000000000001E-2</v>
      </c>
      <c r="F639" s="2">
        <v>3.1231999999999999E-2</v>
      </c>
      <c r="G639" s="2">
        <v>0.166322</v>
      </c>
      <c r="H639" s="2">
        <v>4.2530999999999999E-2</v>
      </c>
      <c r="I639" s="2">
        <v>8.7197999999999998E-2</v>
      </c>
      <c r="J639" s="2">
        <v>0.118357</v>
      </c>
      <c r="K639" s="2">
        <v>2.3764E-2</v>
      </c>
      <c r="L639" s="2">
        <f>(1/COUNT(D639:K639))*SQRT(SUMSQ(D639:K639))</f>
        <v>3.0745443809306935E-2</v>
      </c>
    </row>
    <row r="640" spans="2:14" x14ac:dyDescent="0.55000000000000004">
      <c r="B640" s="2" t="s">
        <v>33</v>
      </c>
      <c r="C640" s="2" t="s">
        <v>22</v>
      </c>
      <c r="D640" s="2">
        <v>0.85038400000000003</v>
      </c>
      <c r="E640" s="2">
        <v>0.904864</v>
      </c>
      <c r="F640" s="2">
        <v>0.74802100000000005</v>
      </c>
      <c r="G640" s="2">
        <v>0.85298600000000002</v>
      </c>
      <c r="H640" s="2">
        <v>0.83794299999999999</v>
      </c>
      <c r="I640" s="2">
        <v>0.87377300000000002</v>
      </c>
      <c r="J640" s="2">
        <v>0.86906899999999998</v>
      </c>
      <c r="K640" s="2">
        <v>0.74594499999999997</v>
      </c>
      <c r="L640" s="2">
        <f>AVERAGE(D640:K640)</f>
        <v>0.83537312499999994</v>
      </c>
      <c r="M640" s="2">
        <f xml:space="preserve"> _xlfn.STDEV.S(D640:K640) / SQRT(COUNT(D640:K640))</f>
        <v>2.0532583588945975E-2</v>
      </c>
      <c r="N640" s="2">
        <f>M640*$N$2</f>
        <v>2.2979228352411625E-2</v>
      </c>
    </row>
    <row r="641" spans="2:14" x14ac:dyDescent="0.55000000000000004">
      <c r="C641" s="2" t="s">
        <v>23</v>
      </c>
      <c r="D641" s="2">
        <v>2.41E-4</v>
      </c>
      <c r="E641" s="2">
        <v>4.1199999999999999E-4</v>
      </c>
      <c r="F641" s="2">
        <v>6.0700000000000001E-4</v>
      </c>
      <c r="G641" s="2">
        <v>4.3300000000000001E-4</v>
      </c>
      <c r="H641" s="2">
        <v>2.6200000000000003E-4</v>
      </c>
      <c r="I641" s="2">
        <v>1.66E-4</v>
      </c>
      <c r="J641" s="2">
        <v>7.0200000000000004E-4</v>
      </c>
      <c r="K641" s="2">
        <v>2.0599999999999999E-4</v>
      </c>
      <c r="L641" s="2">
        <f>(1/COUNT(D641:K641))*SQRT(SUMSQ(D641:K641))</f>
        <v>1.4870288119266554E-4</v>
      </c>
    </row>
    <row r="642" spans="2:14" x14ac:dyDescent="0.55000000000000004">
      <c r="C642" s="2" t="s">
        <v>24</v>
      </c>
      <c r="D642" s="2">
        <v>0.52711399999999997</v>
      </c>
      <c r="E642" s="2">
        <v>0.42246</v>
      </c>
      <c r="F642" s="2">
        <v>0.66375300000000004</v>
      </c>
      <c r="G642" s="2">
        <v>0.52046899999999996</v>
      </c>
      <c r="H642" s="2">
        <v>0.54670700000000005</v>
      </c>
      <c r="I642" s="2">
        <v>0.489147</v>
      </c>
      <c r="J642" s="2">
        <v>0.488425</v>
      </c>
      <c r="K642" s="2">
        <v>0.67663499999999999</v>
      </c>
      <c r="L642" s="2">
        <f>AVERAGE(D642:K642)</f>
        <v>0.54183874999999992</v>
      </c>
      <c r="M642" s="2">
        <f xml:space="preserve"> _xlfn.STDEV.S(D642:K642) / SQRT(COUNT(D642:K642))</f>
        <v>3.0940909368129408E-2</v>
      </c>
      <c r="N642" s="2">
        <f>M642*$N$2</f>
        <v>3.462780115914367E-2</v>
      </c>
    </row>
    <row r="643" spans="2:14" x14ac:dyDescent="0.55000000000000004">
      <c r="C643" s="2" t="s">
        <v>25</v>
      </c>
      <c r="D643" s="2">
        <v>3.8499999999999998E-4</v>
      </c>
      <c r="E643" s="2">
        <v>9.3999999999999997E-4</v>
      </c>
      <c r="F643" s="2">
        <v>7.6199999999999998E-4</v>
      </c>
      <c r="G643" s="2">
        <v>6.6299999999999996E-4</v>
      </c>
      <c r="H643" s="2">
        <v>4.08E-4</v>
      </c>
      <c r="I643" s="2">
        <v>2.9399999999999999E-4</v>
      </c>
      <c r="J643" s="2">
        <v>1.335E-3</v>
      </c>
      <c r="K643" s="2">
        <v>2.5500000000000002E-4</v>
      </c>
      <c r="L643" s="2">
        <f>(1/COUNT(D643:K643))*SQRT(SUMSQ(D643:K643))</f>
        <v>2.547114789325365E-4</v>
      </c>
    </row>
    <row r="644" spans="2:14" x14ac:dyDescent="0.55000000000000004">
      <c r="C644" s="2" t="s">
        <v>26</v>
      </c>
      <c r="D644" s="2">
        <v>0.50401099999999999</v>
      </c>
      <c r="E644" s="2">
        <v>0.62049799999999999</v>
      </c>
      <c r="F644" s="2">
        <v>0.45727600000000002</v>
      </c>
      <c r="G644" s="2">
        <v>0.49654100000000001</v>
      </c>
      <c r="H644" s="2">
        <v>0.50108900000000001</v>
      </c>
      <c r="I644" s="2">
        <v>0.38656099999999999</v>
      </c>
      <c r="J644" s="2">
        <v>0.48161300000000001</v>
      </c>
      <c r="K644" s="2">
        <v>0.32103399999999999</v>
      </c>
      <c r="L644" s="2">
        <f>AVERAGE(D644:K644)</f>
        <v>0.47107787499999998</v>
      </c>
      <c r="M644" s="2">
        <f xml:space="preserve"> _xlfn.STDEV.S(D644:K644) / SQRT(COUNT(D644:K644))</f>
        <v>3.1315716624882063E-2</v>
      </c>
      <c r="N644" s="2">
        <f>M644*$N$2</f>
        <v>3.5047270121914484E-2</v>
      </c>
    </row>
    <row r="645" spans="2:14" x14ac:dyDescent="0.55000000000000004">
      <c r="C645" s="2" t="s">
        <v>27</v>
      </c>
      <c r="D645" s="2">
        <v>4.3300000000000001E-4</v>
      </c>
      <c r="E645" s="2">
        <v>9.2699999999999998E-4</v>
      </c>
      <c r="F645" s="2">
        <v>4.3800000000000002E-4</v>
      </c>
      <c r="G645" s="2">
        <v>7.3800000000000005E-4</v>
      </c>
      <c r="H645" s="2">
        <v>3.01E-4</v>
      </c>
      <c r="I645" s="2">
        <v>2.5500000000000002E-4</v>
      </c>
      <c r="J645" s="2">
        <v>1.2899999999999999E-3</v>
      </c>
      <c r="K645" s="2">
        <v>2.05E-4</v>
      </c>
      <c r="L645" s="2">
        <f>(1/COUNT(D645:K645))*SQRT(SUMSQ(D645:K645))</f>
        <v>2.38650404619393E-4</v>
      </c>
    </row>
    <row r="646" spans="2:14" x14ac:dyDescent="0.55000000000000004">
      <c r="C646" s="2" t="s">
        <v>28</v>
      </c>
      <c r="D646" s="2">
        <v>2.3102809999999998</v>
      </c>
      <c r="E646" s="2">
        <v>2.3753820000000001</v>
      </c>
      <c r="F646" s="2">
        <v>2.3137020000000001</v>
      </c>
      <c r="G646" s="2">
        <v>3.5525609999999999</v>
      </c>
      <c r="H646" s="2">
        <v>1.7367030000000001</v>
      </c>
      <c r="I646" s="2">
        <v>3.614967</v>
      </c>
      <c r="J646" s="2">
        <v>3.3551129999999998</v>
      </c>
      <c r="K646" s="2">
        <v>2.7193679999999998</v>
      </c>
      <c r="L646" s="2">
        <f>AVERAGE(D646:K646)</f>
        <v>2.7472596249999999</v>
      </c>
      <c r="M646" s="2">
        <f xml:space="preserve"> _xlfn.STDEV.S(D646:K646) / SQRT(COUNT(D646:K646))</f>
        <v>0.24312438963051822</v>
      </c>
      <c r="N646" s="2">
        <f>M646*$N$2</f>
        <v>0.27209487998227944</v>
      </c>
    </row>
    <row r="647" spans="2:14" x14ac:dyDescent="0.55000000000000004">
      <c r="C647" s="2" t="s">
        <v>29</v>
      </c>
      <c r="D647" s="2">
        <v>4.8430000000000001E-3</v>
      </c>
      <c r="E647" s="2">
        <v>5.4019999999999997E-3</v>
      </c>
      <c r="F647" s="2">
        <v>3.4039999999999999E-3</v>
      </c>
      <c r="G647" s="2">
        <v>1.1153E-2</v>
      </c>
      <c r="H647" s="2">
        <v>2.1310000000000001E-3</v>
      </c>
      <c r="I647" s="2">
        <v>5.8599999999999998E-3</v>
      </c>
      <c r="J647" s="2">
        <v>1.1261E-2</v>
      </c>
      <c r="K647" s="2">
        <v>2.1359999999999999E-3</v>
      </c>
      <c r="L647" s="2">
        <f>(1/COUNT(D647:K647))*SQRT(SUMSQ(D647:K647))</f>
        <v>2.3679707029437675E-3</v>
      </c>
    </row>
    <row r="648" spans="2:14" x14ac:dyDescent="0.55000000000000004">
      <c r="C648" s="2" t="s">
        <v>30</v>
      </c>
      <c r="D648" s="2">
        <v>13.848119000000001</v>
      </c>
      <c r="E648" s="2">
        <v>16.097345000000001</v>
      </c>
      <c r="F648" s="2">
        <v>14.205298000000001</v>
      </c>
      <c r="G648" s="2">
        <v>16.218499999999999</v>
      </c>
      <c r="H648" s="2">
        <v>10.845521</v>
      </c>
      <c r="I648" s="2">
        <v>16.533543000000002</v>
      </c>
      <c r="J648" s="2">
        <v>18.146663</v>
      </c>
      <c r="K648" s="2">
        <v>13.496054000000001</v>
      </c>
      <c r="L648" s="2">
        <f>AVERAGE(D648:K648)</f>
        <v>14.923880375</v>
      </c>
      <c r="M648" s="2">
        <f xml:space="preserve"> _xlfn.STDEV.S(D648:K648) / SQRT(COUNT(D648:K648))</f>
        <v>0.80595692157437748</v>
      </c>
      <c r="N648" s="2">
        <f>M648*$N$2</f>
        <v>0.90199404584598852</v>
      </c>
    </row>
    <row r="649" spans="2:14" x14ac:dyDescent="0.55000000000000004">
      <c r="C649" s="2" t="s">
        <v>31</v>
      </c>
      <c r="D649" s="2">
        <v>7.6839999999999999E-3</v>
      </c>
      <c r="E649" s="2">
        <v>4.0010000000000002E-3</v>
      </c>
      <c r="F649" s="2">
        <v>1.0522999999999999E-2</v>
      </c>
      <c r="G649" s="2">
        <v>5.1955000000000001E-2</v>
      </c>
      <c r="H649" s="2">
        <v>1.4064999999999999E-2</v>
      </c>
      <c r="I649" s="2">
        <v>8.1410000000000007E-3</v>
      </c>
      <c r="J649" s="2">
        <v>2.1659999999999999E-2</v>
      </c>
      <c r="K649" s="2">
        <v>1.4795000000000001E-2</v>
      </c>
      <c r="L649" s="2">
        <f>(1/COUNT(D649:K649))*SQRT(SUMSQ(D649:K649))</f>
        <v>7.7431977627947747E-3</v>
      </c>
    </row>
    <row r="650" spans="2:14" x14ac:dyDescent="0.55000000000000004">
      <c r="B650" s="2" t="s">
        <v>34</v>
      </c>
      <c r="C650" s="2" t="s">
        <v>22</v>
      </c>
      <c r="D650" s="2">
        <v>0.82753200000000005</v>
      </c>
      <c r="E650" s="2">
        <v>0.89510800000000001</v>
      </c>
      <c r="F650" s="2">
        <v>0.75995299999999999</v>
      </c>
      <c r="G650" s="2">
        <v>0.83993799999999996</v>
      </c>
      <c r="H650" s="2">
        <v>0.81705399999999995</v>
      </c>
      <c r="I650" s="2">
        <v>0.87692400000000004</v>
      </c>
      <c r="J650" s="2">
        <v>0.88905900000000004</v>
      </c>
      <c r="K650" s="2">
        <v>0.74228499999999997</v>
      </c>
      <c r="L650" s="2">
        <f>AVERAGE(D650:K650)</f>
        <v>0.83098162500000006</v>
      </c>
      <c r="M650" s="2">
        <f xml:space="preserve"> _xlfn.STDEV.S(D650:K650) / SQRT(COUNT(D650:K650))</f>
        <v>2.0175182526114947E-2</v>
      </c>
      <c r="N650" s="2">
        <f>M650*$N$2</f>
        <v>2.2579239690458226E-2</v>
      </c>
    </row>
    <row r="651" spans="2:14" x14ac:dyDescent="0.55000000000000004">
      <c r="C651" s="2" t="s">
        <v>23</v>
      </c>
      <c r="D651" s="2">
        <v>3.8570000000000002E-3</v>
      </c>
      <c r="E651" s="2">
        <v>8.2819999999999994E-3</v>
      </c>
      <c r="F651" s="2">
        <v>2.9810000000000001E-3</v>
      </c>
      <c r="G651" s="2">
        <v>4.725E-3</v>
      </c>
      <c r="H651" s="2">
        <v>1.441E-3</v>
      </c>
      <c r="I651" s="2">
        <v>1.7819999999999999E-3</v>
      </c>
      <c r="J651" s="2">
        <v>3.3140000000000001E-3</v>
      </c>
      <c r="K651" s="2">
        <v>6.2100000000000002E-4</v>
      </c>
      <c r="L651" s="2">
        <f>(1/COUNT(D651:K651))*SQRT(SUMSQ(D651:K651))</f>
        <v>1.4323287473987946E-3</v>
      </c>
    </row>
    <row r="652" spans="2:14" x14ac:dyDescent="0.55000000000000004">
      <c r="C652" s="2" t="s">
        <v>24</v>
      </c>
      <c r="D652" s="2">
        <v>0.56409600000000004</v>
      </c>
      <c r="E652" s="2">
        <v>0.44095600000000001</v>
      </c>
      <c r="F652" s="2">
        <v>0.650173</v>
      </c>
      <c r="G652" s="2">
        <v>0.54151199999999999</v>
      </c>
      <c r="H652" s="2">
        <v>0.57727300000000004</v>
      </c>
      <c r="I652" s="2">
        <v>0.48172399999999999</v>
      </c>
      <c r="J652" s="2">
        <v>0.45136799999999999</v>
      </c>
      <c r="K652" s="2">
        <v>0.68145699999999998</v>
      </c>
      <c r="L652" s="2">
        <f>AVERAGE(D652:K652)</f>
        <v>0.54856987499999998</v>
      </c>
      <c r="M652" s="2">
        <f xml:space="preserve"> _xlfn.STDEV.S(D652:K652) / SQRT(COUNT(D652:K652))</f>
        <v>3.1223345244634243E-2</v>
      </c>
      <c r="N652" s="2">
        <f>M652*$N$2</f>
        <v>3.4943891848510801E-2</v>
      </c>
    </row>
    <row r="653" spans="2:14" x14ac:dyDescent="0.55000000000000004">
      <c r="C653" s="2" t="s">
        <v>25</v>
      </c>
      <c r="D653" s="2">
        <v>5.4650000000000002E-3</v>
      </c>
      <c r="E653" s="2">
        <v>1.4086E-2</v>
      </c>
      <c r="F653" s="2">
        <v>3.5209999999999998E-3</v>
      </c>
      <c r="G653" s="2">
        <v>7.273E-3</v>
      </c>
      <c r="H653" s="2">
        <v>2.0830000000000002E-3</v>
      </c>
      <c r="I653" s="2">
        <v>3.2929999999999999E-3</v>
      </c>
      <c r="J653" s="2">
        <v>5.9620000000000003E-3</v>
      </c>
      <c r="K653" s="2">
        <v>7.7399999999999995E-4</v>
      </c>
      <c r="L653" s="2">
        <f>(1/COUNT(D653:K653))*SQRT(SUMSQ(D653:K653))</f>
        <v>2.3214450274828824E-3</v>
      </c>
    </row>
    <row r="654" spans="2:14" x14ac:dyDescent="0.55000000000000004">
      <c r="C654" s="2" t="s">
        <v>26</v>
      </c>
      <c r="D654" s="2">
        <v>0.47533500000000001</v>
      </c>
      <c r="E654" s="2">
        <v>0.60278399999999999</v>
      </c>
      <c r="F654" s="2">
        <v>0.46422999999999998</v>
      </c>
      <c r="G654" s="2">
        <v>0.48442600000000002</v>
      </c>
      <c r="H654" s="2">
        <v>0.474271</v>
      </c>
      <c r="I654" s="2">
        <v>0.39142900000000003</v>
      </c>
      <c r="J654" s="2">
        <v>0.51859500000000003</v>
      </c>
      <c r="K654" s="2">
        <v>0.31601400000000002</v>
      </c>
      <c r="L654" s="2">
        <f>AVERAGE(D654:K654)</f>
        <v>0.46588549999999995</v>
      </c>
      <c r="M654" s="2">
        <f xml:space="preserve"> _xlfn.STDEV.S(D654:K654) / SQRT(COUNT(D654:K654))</f>
        <v>2.9889925464109263E-2</v>
      </c>
      <c r="N654" s="2">
        <f>M654*$N$2</f>
        <v>3.3451582929198663E-2</v>
      </c>
    </row>
    <row r="655" spans="2:14" x14ac:dyDescent="0.55000000000000004">
      <c r="C655" s="2" t="s">
        <v>27</v>
      </c>
      <c r="D655" s="2">
        <v>6.1139999999999996E-3</v>
      </c>
      <c r="E655" s="2">
        <v>1.4428E-2</v>
      </c>
      <c r="F655" s="2">
        <v>2.081E-3</v>
      </c>
      <c r="G655" s="2">
        <v>8.5850000000000006E-3</v>
      </c>
      <c r="H655" s="2">
        <v>1.521E-3</v>
      </c>
      <c r="I655" s="2">
        <v>2.97E-3</v>
      </c>
      <c r="J655" s="2">
        <v>5.8209999999999998E-3</v>
      </c>
      <c r="K655" s="2">
        <v>5.2599999999999999E-4</v>
      </c>
      <c r="L655" s="2">
        <f>(1/COUNT(D655:K655))*SQRT(SUMSQ(D655:K655))</f>
        <v>2.400768184352667E-3</v>
      </c>
    </row>
    <row r="656" spans="2:14" x14ac:dyDescent="0.55000000000000004">
      <c r="C656" s="2" t="s">
        <v>28</v>
      </c>
      <c r="D656" s="2">
        <v>2.7843870000000002</v>
      </c>
      <c r="E656" s="2">
        <v>2.586287</v>
      </c>
      <c r="F656" s="2">
        <v>2.25576</v>
      </c>
      <c r="G656" s="2">
        <v>3.713441</v>
      </c>
      <c r="H656" s="2">
        <v>1.946914</v>
      </c>
      <c r="I656" s="2">
        <v>3.4603440000000001</v>
      </c>
      <c r="J656" s="2">
        <v>3.071984</v>
      </c>
      <c r="K656" s="2">
        <v>2.763363</v>
      </c>
      <c r="L656" s="2">
        <f>AVERAGE(D656:K656)</f>
        <v>2.8228099999999996</v>
      </c>
      <c r="M656" s="2">
        <f xml:space="preserve"> _xlfn.STDEV.S(D656:K656) / SQRT(COUNT(D656:K656))</f>
        <v>0.20751307055116261</v>
      </c>
      <c r="N656" s="2">
        <f>M656*$N$2</f>
        <v>0.23224014716162938</v>
      </c>
    </row>
    <row r="657" spans="2:14" x14ac:dyDescent="0.55000000000000004">
      <c r="C657" s="2" t="s">
        <v>29</v>
      </c>
      <c r="D657" s="2">
        <v>9.1197E-2</v>
      </c>
      <c r="E657" s="2">
        <v>0.158003</v>
      </c>
      <c r="F657" s="2">
        <v>1.7000999999999999E-2</v>
      </c>
      <c r="G657" s="2">
        <v>0.10351299999999999</v>
      </c>
      <c r="H657" s="2">
        <v>1.2734000000000001E-2</v>
      </c>
      <c r="I657" s="2">
        <v>5.9739E-2</v>
      </c>
      <c r="J657" s="2">
        <v>5.8812999999999997E-2</v>
      </c>
      <c r="K657" s="2">
        <v>4.8250000000000003E-3</v>
      </c>
      <c r="L657" s="2">
        <f>(1/COUNT(D657:K657))*SQRT(SUMSQ(D657:K657))</f>
        <v>2.8366730198806398E-2</v>
      </c>
    </row>
    <row r="658" spans="2:14" x14ac:dyDescent="0.55000000000000004">
      <c r="C658" s="2" t="s">
        <v>30</v>
      </c>
      <c r="D658" s="2">
        <v>15.809613000000001</v>
      </c>
      <c r="E658" s="2">
        <v>16.78698</v>
      </c>
      <c r="F658" s="2">
        <v>14.137029999999999</v>
      </c>
      <c r="G658" s="2">
        <v>16.656645000000001</v>
      </c>
      <c r="H658" s="2">
        <v>12.152872</v>
      </c>
      <c r="I658" s="2">
        <v>16.037666000000002</v>
      </c>
      <c r="J658" s="2">
        <v>18.412851</v>
      </c>
      <c r="K658" s="2">
        <v>13.605575</v>
      </c>
      <c r="L658" s="2">
        <f>AVERAGE(D658:K658)</f>
        <v>15.449904</v>
      </c>
      <c r="M658" s="2">
        <f xml:space="preserve"> _xlfn.STDEV.S(D658:K658) / SQRT(COUNT(D658:K658))</f>
        <v>0.71331110897064365</v>
      </c>
      <c r="N658" s="2">
        <f>M658*$N$2</f>
        <v>0.79830863896606352</v>
      </c>
    </row>
    <row r="659" spans="2:14" x14ac:dyDescent="0.55000000000000004">
      <c r="C659" s="2" t="s">
        <v>31</v>
      </c>
      <c r="D659" s="2">
        <v>7.5324000000000002E-2</v>
      </c>
      <c r="E659" s="2">
        <v>0.27458300000000002</v>
      </c>
      <c r="F659" s="2">
        <v>5.5128000000000003E-2</v>
      </c>
      <c r="G659" s="2">
        <v>0.162913</v>
      </c>
      <c r="H659" s="2">
        <v>7.4303999999999995E-2</v>
      </c>
      <c r="I659" s="2">
        <v>8.9038999999999993E-2</v>
      </c>
      <c r="J659" s="2">
        <v>0.109998</v>
      </c>
      <c r="K659" s="2">
        <v>2.0677000000000001E-2</v>
      </c>
      <c r="L659" s="2">
        <f>(1/COUNT(D659:K659))*SQRT(SUMSQ(D659:K659))</f>
        <v>4.6203591088788756E-2</v>
      </c>
    </row>
    <row r="660" spans="2:14" x14ac:dyDescent="0.55000000000000004">
      <c r="B660" s="2" t="s">
        <v>35</v>
      </c>
      <c r="C660" s="2" t="s">
        <v>22</v>
      </c>
      <c r="D660" s="2">
        <v>0.72983200000000004</v>
      </c>
      <c r="E660" s="2">
        <v>0.87356900000000004</v>
      </c>
      <c r="F660" s="2">
        <v>0.72177999999999998</v>
      </c>
      <c r="G660" s="2">
        <v>0.83516900000000005</v>
      </c>
      <c r="H660" s="2">
        <v>0.81575299999999995</v>
      </c>
      <c r="I660" s="2">
        <v>0.85720099999999999</v>
      </c>
      <c r="J660" s="2">
        <v>0.85541500000000004</v>
      </c>
      <c r="K660" s="2">
        <v>0.72983200000000004</v>
      </c>
      <c r="L660" s="2">
        <f>AVERAGE(D660:K660)</f>
        <v>0.80231887499999999</v>
      </c>
      <c r="M660" s="2">
        <f xml:space="preserve"> _xlfn.STDEV.S(D660:K660) / SQRT(COUNT(D660:K660))</f>
        <v>2.282019678567767E-2</v>
      </c>
      <c r="N660" s="2">
        <f>M660*$N$2</f>
        <v>2.553943154369382E-2</v>
      </c>
    </row>
    <row r="661" spans="2:14" x14ac:dyDescent="0.55000000000000004">
      <c r="C661" s="2" t="s">
        <v>23</v>
      </c>
      <c r="D661" s="2">
        <v>2.8699999999999998E-4</v>
      </c>
      <c r="E661" s="2">
        <v>9.6599999999999995E-4</v>
      </c>
      <c r="F661" s="2">
        <v>1.0319999999999999E-3</v>
      </c>
      <c r="G661" s="2">
        <v>9.0899999999999998E-4</v>
      </c>
      <c r="H661" s="2">
        <v>8.0500000000000005E-4</v>
      </c>
      <c r="I661" s="2">
        <v>5.4000000000000001E-4</v>
      </c>
      <c r="J661" s="2">
        <v>9.5200000000000005E-4</v>
      </c>
      <c r="K661" s="2">
        <v>2.8699999999999998E-4</v>
      </c>
      <c r="L661" s="2">
        <f>(1/COUNT(D661:K661))*SQRT(SUMSQ(D661:K661))</f>
        <v>2.7486155606050113E-4</v>
      </c>
    </row>
    <row r="662" spans="2:14" x14ac:dyDescent="0.55000000000000004">
      <c r="C662" s="2" t="s">
        <v>24</v>
      </c>
      <c r="D662" s="2">
        <v>0.69711299999999998</v>
      </c>
      <c r="E662" s="2">
        <v>0.47813</v>
      </c>
      <c r="F662" s="2">
        <v>0.69173899999999999</v>
      </c>
      <c r="G662" s="2">
        <v>0.54993300000000001</v>
      </c>
      <c r="H662" s="2">
        <v>0.57946200000000003</v>
      </c>
      <c r="I662" s="2">
        <v>0.51924099999999995</v>
      </c>
      <c r="J662" s="2">
        <v>0.50656500000000004</v>
      </c>
      <c r="K662" s="2">
        <v>0.69711299999999998</v>
      </c>
      <c r="L662" s="2">
        <f>AVERAGE(D662:K662)</f>
        <v>0.58991199999999999</v>
      </c>
      <c r="M662" s="2">
        <f xml:space="preserve"> _xlfn.STDEV.S(D662:K662) / SQRT(COUNT(D662:K662))</f>
        <v>3.2595107500425449E-2</v>
      </c>
      <c r="N662" s="2">
        <f>M662*$N$2</f>
        <v>3.6479112099021105E-2</v>
      </c>
    </row>
    <row r="663" spans="2:14" x14ac:dyDescent="0.55000000000000004">
      <c r="C663" s="2" t="s">
        <v>25</v>
      </c>
      <c r="D663" s="2">
        <v>3.6900000000000002E-4</v>
      </c>
      <c r="E663" s="2">
        <v>1.9E-3</v>
      </c>
      <c r="F663" s="2">
        <v>1.1379999999999999E-3</v>
      </c>
      <c r="G663" s="2">
        <v>1.469E-3</v>
      </c>
      <c r="H663" s="2">
        <v>1.1280000000000001E-3</v>
      </c>
      <c r="I663" s="2">
        <v>9.4200000000000002E-4</v>
      </c>
      <c r="J663" s="2">
        <v>1.756E-3</v>
      </c>
      <c r="K663" s="2">
        <v>3.6900000000000002E-4</v>
      </c>
      <c r="L663" s="2">
        <f>(1/COUNT(D663:K663))*SQRT(SUMSQ(D663:K663))</f>
        <v>4.4332921951412141E-4</v>
      </c>
    </row>
    <row r="664" spans="2:14" x14ac:dyDescent="0.55000000000000004">
      <c r="C664" s="2" t="s">
        <v>26</v>
      </c>
      <c r="D664" s="2">
        <v>0.28961700000000001</v>
      </c>
      <c r="E664" s="2">
        <v>0.56386599999999998</v>
      </c>
      <c r="F664" s="2">
        <v>0.441079</v>
      </c>
      <c r="G664" s="2">
        <v>0.462729</v>
      </c>
      <c r="H664" s="2">
        <v>0.47354499999999999</v>
      </c>
      <c r="I664" s="2">
        <v>0.35850100000000001</v>
      </c>
      <c r="J664" s="2">
        <v>0.46320299999999998</v>
      </c>
      <c r="K664" s="2">
        <v>0.28961700000000001</v>
      </c>
      <c r="L664" s="2">
        <f>AVERAGE(D664:K664)</f>
        <v>0.41776962500000003</v>
      </c>
      <c r="M664" s="2">
        <f xml:space="preserve"> _xlfn.STDEV.S(D664:K664) / SQRT(COUNT(D664:K664))</f>
        <v>3.4185123035642952E-2</v>
      </c>
      <c r="N664" s="2">
        <f>M664*$N$2</f>
        <v>3.8258592499496154E-2</v>
      </c>
    </row>
    <row r="665" spans="2:14" x14ac:dyDescent="0.55000000000000004">
      <c r="C665" s="2" t="s">
        <v>27</v>
      </c>
      <c r="D665" s="2">
        <v>2.4499999999999999E-4</v>
      </c>
      <c r="E665" s="2">
        <v>1.9959999999999999E-3</v>
      </c>
      <c r="F665" s="2">
        <v>7.1000000000000002E-4</v>
      </c>
      <c r="G665" s="2">
        <v>1.804E-3</v>
      </c>
      <c r="H665" s="2">
        <v>9.3599999999999998E-4</v>
      </c>
      <c r="I665" s="2">
        <v>7.7399999999999995E-4</v>
      </c>
      <c r="J665" s="2">
        <v>1.5319999999999999E-3</v>
      </c>
      <c r="K665" s="2">
        <v>2.4499999999999999E-4</v>
      </c>
      <c r="L665" s="2">
        <f>(1/COUNT(D665:K665))*SQRT(SUMSQ(D665:K665))</f>
        <v>4.2728755686305685E-4</v>
      </c>
    </row>
    <row r="666" spans="2:14" x14ac:dyDescent="0.55000000000000004">
      <c r="C666" s="2" t="s">
        <v>28</v>
      </c>
      <c r="D666" s="2">
        <v>3.1671290000000001</v>
      </c>
      <c r="E666" s="2">
        <v>2.8525860000000001</v>
      </c>
      <c r="F666" s="2">
        <v>2.476261</v>
      </c>
      <c r="G666" s="2">
        <v>3.8807700000000001</v>
      </c>
      <c r="H666" s="2">
        <v>1.9628699999999999</v>
      </c>
      <c r="I666" s="2">
        <v>4.2095729999999998</v>
      </c>
      <c r="J666" s="2">
        <v>3.671468</v>
      </c>
      <c r="K666" s="2">
        <v>3.1671290000000001</v>
      </c>
      <c r="L666" s="2">
        <f>AVERAGE(D666:K666)</f>
        <v>3.1734732499999998</v>
      </c>
      <c r="M666" s="2">
        <f xml:space="preserve"> _xlfn.STDEV.S(D666:K666) / SQRT(COUNT(D666:K666))</f>
        <v>0.2631025204930148</v>
      </c>
      <c r="N666" s="2">
        <f>M666*$N$2</f>
        <v>0.29445358750464035</v>
      </c>
    </row>
    <row r="667" spans="2:14" x14ac:dyDescent="0.55000000000000004">
      <c r="C667" s="2" t="s">
        <v>29</v>
      </c>
      <c r="D667" s="2">
        <v>3.0839999999999999E-3</v>
      </c>
      <c r="E667" s="2">
        <v>1.3415E-2</v>
      </c>
      <c r="F667" s="2">
        <v>6.4029999999999998E-3</v>
      </c>
      <c r="G667" s="2">
        <v>2.4192999999999999E-2</v>
      </c>
      <c r="H667" s="2">
        <v>7.7920000000000003E-3</v>
      </c>
      <c r="I667" s="2">
        <v>1.7474E-2</v>
      </c>
      <c r="J667" s="2">
        <v>1.9418999999999999E-2</v>
      </c>
      <c r="K667" s="2">
        <v>3.0839999999999999E-3</v>
      </c>
      <c r="L667" s="2">
        <f>(1/COUNT(D667:K667))*SQRT(SUMSQ(D667:K667))</f>
        <v>4.9504379477981544E-3</v>
      </c>
    </row>
    <row r="668" spans="2:14" x14ac:dyDescent="0.55000000000000004">
      <c r="C668" s="2" t="s">
        <v>30</v>
      </c>
      <c r="D668" s="2">
        <v>14.766323999999999</v>
      </c>
      <c r="E668" s="2">
        <v>16.653500999999999</v>
      </c>
      <c r="F668" s="2">
        <v>14.192193</v>
      </c>
      <c r="G668" s="2">
        <v>16.601372000000001</v>
      </c>
      <c r="H668" s="2">
        <v>12.344854</v>
      </c>
      <c r="I668" s="2">
        <v>17.567805</v>
      </c>
      <c r="J668" s="2">
        <v>19.057162999999999</v>
      </c>
      <c r="K668" s="2">
        <v>14.766323999999999</v>
      </c>
      <c r="L668" s="2">
        <f>AVERAGE(D668:K668)</f>
        <v>15.743691999999999</v>
      </c>
      <c r="M668" s="2">
        <f xml:space="preserve"> _xlfn.STDEV.S(D668:K668) / SQRT(COUNT(D668:K668))</f>
        <v>0.7528468708791789</v>
      </c>
      <c r="N668" s="2">
        <f>M668*$N$2</f>
        <v>0.84255544780272218</v>
      </c>
    </row>
    <row r="669" spans="2:14" x14ac:dyDescent="0.55000000000000004">
      <c r="C669" s="2" t="s">
        <v>31</v>
      </c>
      <c r="D669" s="2">
        <v>1.2733E-2</v>
      </c>
      <c r="E669" s="2">
        <v>1.7861999999999999E-2</v>
      </c>
      <c r="F669" s="2">
        <v>2.777E-2</v>
      </c>
      <c r="G669" s="2">
        <v>6.9398000000000001E-2</v>
      </c>
      <c r="H669" s="2">
        <v>5.0959999999999998E-2</v>
      </c>
      <c r="I669" s="2">
        <v>3.4167000000000003E-2</v>
      </c>
      <c r="J669" s="2">
        <v>4.3432999999999999E-2</v>
      </c>
      <c r="K669" s="2">
        <v>1.2733E-2</v>
      </c>
      <c r="L669" s="2">
        <f>(1/COUNT(D669:K669))*SQRT(SUMSQ(D669:K669))</f>
        <v>1.3625169668668349E-2</v>
      </c>
    </row>
    <row r="670" spans="2:14" x14ac:dyDescent="0.55000000000000004">
      <c r="B670" s="2" t="s">
        <v>45</v>
      </c>
      <c r="C670" s="2" t="s">
        <v>22</v>
      </c>
      <c r="D670" s="2">
        <v>0.81086100000000005</v>
      </c>
      <c r="E670" s="2">
        <v>0.84639500000000001</v>
      </c>
      <c r="F670" s="2">
        <v>0.68595300000000003</v>
      </c>
      <c r="G670" s="2">
        <v>0.83177299999999998</v>
      </c>
      <c r="H670" s="2">
        <v>0.82461300000000004</v>
      </c>
      <c r="I670" s="2">
        <v>0.845333</v>
      </c>
      <c r="J670" s="2">
        <v>0.85601400000000005</v>
      </c>
      <c r="K670" s="2">
        <v>0.73019900000000004</v>
      </c>
      <c r="L670" s="2">
        <f>AVERAGE(D670:K670)</f>
        <v>0.80389262500000003</v>
      </c>
      <c r="M670" s="2">
        <f xml:space="preserve"> _xlfn.STDEV.S(D670:K670) / SQRT(COUNT(D670:K670))</f>
        <v>2.1891007328465051E-2</v>
      </c>
      <c r="N670" s="2">
        <f>M670*$N$2</f>
        <v>2.4499520680677178E-2</v>
      </c>
    </row>
    <row r="671" spans="2:14" x14ac:dyDescent="0.55000000000000004">
      <c r="C671" s="2" t="s">
        <v>23</v>
      </c>
      <c r="D671" s="2">
        <v>3.8340000000000002E-3</v>
      </c>
      <c r="E671" s="2">
        <v>5.4999999999999997E-3</v>
      </c>
      <c r="F671" s="2">
        <v>8.6580000000000008E-3</v>
      </c>
      <c r="G671" s="2">
        <v>7.9330000000000008E-3</v>
      </c>
      <c r="H671" s="2">
        <v>2.4710000000000001E-3</v>
      </c>
      <c r="I671" s="2">
        <v>1.8810000000000001E-3</v>
      </c>
      <c r="J671" s="2">
        <v>3.1580000000000002E-3</v>
      </c>
      <c r="K671" s="2">
        <v>3.8159999999999999E-3</v>
      </c>
      <c r="L671" s="2">
        <f>(1/COUNT(D671:K671))*SQRT(SUMSQ(D671:K671))</f>
        <v>1.8414576045554241E-3</v>
      </c>
    </row>
    <row r="672" spans="2:14" x14ac:dyDescent="0.55000000000000004">
      <c r="C672" s="2" t="s">
        <v>24</v>
      </c>
      <c r="D672" s="2">
        <v>0.58221500000000004</v>
      </c>
      <c r="E672" s="2">
        <v>0.51946800000000004</v>
      </c>
      <c r="F672" s="2">
        <v>0.73231500000000005</v>
      </c>
      <c r="G672" s="2">
        <v>0.54711200000000004</v>
      </c>
      <c r="H672" s="2">
        <v>0.56553699999999996</v>
      </c>
      <c r="I672" s="2">
        <v>0.53558300000000003</v>
      </c>
      <c r="J672" s="2">
        <v>0.50308699999999995</v>
      </c>
      <c r="K672" s="2">
        <v>0.69318199999999996</v>
      </c>
      <c r="L672" s="2">
        <f>AVERAGE(D672:K672)</f>
        <v>0.58481237499999994</v>
      </c>
      <c r="M672" s="2">
        <f xml:space="preserve"> _xlfn.STDEV.S(D672:K672) / SQRT(COUNT(D672:K672))</f>
        <v>2.9481550024632593E-2</v>
      </c>
      <c r="N672" s="2">
        <f>M672*$N$2</f>
        <v>3.2994545828309761E-2</v>
      </c>
    </row>
    <row r="673" spans="2:14" x14ac:dyDescent="0.55000000000000004">
      <c r="C673" s="2" t="s">
        <v>25</v>
      </c>
      <c r="D673" s="2">
        <v>5.5310000000000003E-3</v>
      </c>
      <c r="E673" s="2">
        <v>9.2200000000000008E-3</v>
      </c>
      <c r="F673" s="2">
        <v>1.0536999999999999E-2</v>
      </c>
      <c r="G673" s="2">
        <v>1.1122E-2</v>
      </c>
      <c r="H673" s="2">
        <v>3.5790000000000001E-3</v>
      </c>
      <c r="I673" s="2">
        <v>2.9759999999999999E-3</v>
      </c>
      <c r="J673" s="2">
        <v>6.7939999999999997E-3</v>
      </c>
      <c r="K673" s="2">
        <v>4.5880000000000001E-3</v>
      </c>
      <c r="L673" s="2">
        <f>(1/COUNT(D673:K673))*SQRT(SUMSQ(D673:K673))</f>
        <v>2.6196421839394402E-3</v>
      </c>
    </row>
    <row r="674" spans="2:14" x14ac:dyDescent="0.55000000000000004">
      <c r="C674" s="2" t="s">
        <v>26</v>
      </c>
      <c r="D674" s="2">
        <v>0.44861099999999998</v>
      </c>
      <c r="E674" s="2">
        <v>0.52214000000000005</v>
      </c>
      <c r="F674" s="2">
        <v>0.416574</v>
      </c>
      <c r="G674" s="2">
        <v>0.47301300000000002</v>
      </c>
      <c r="H674" s="2">
        <v>0.48475800000000002</v>
      </c>
      <c r="I674" s="2">
        <v>0.34807100000000002</v>
      </c>
      <c r="J674" s="2">
        <v>0.47058100000000003</v>
      </c>
      <c r="K674" s="2">
        <v>0.291821</v>
      </c>
      <c r="L674" s="2">
        <f>AVERAGE(D674:K674)</f>
        <v>0.43194612500000001</v>
      </c>
      <c r="M674" s="2">
        <f xml:space="preserve"> _xlfn.STDEV.S(D674:K674) / SQRT(COUNT(D674:K674))</f>
        <v>2.7152768391111432E-2</v>
      </c>
      <c r="N674" s="2">
        <f>M674*$N$2</f>
        <v>3.0388268605194266E-2</v>
      </c>
    </row>
    <row r="675" spans="2:14" x14ac:dyDescent="0.55000000000000004">
      <c r="C675" s="2" t="s">
        <v>27</v>
      </c>
      <c r="D675" s="2">
        <v>5.9350000000000002E-3</v>
      </c>
      <c r="E675" s="2">
        <v>9.0939999999999997E-3</v>
      </c>
      <c r="F675" s="2">
        <v>6.3499999999999997E-3</v>
      </c>
      <c r="G675" s="2">
        <v>1.0300999999999999E-2</v>
      </c>
      <c r="H675" s="2">
        <v>2.7980000000000001E-3</v>
      </c>
      <c r="I675" s="2">
        <v>2.0939999999999999E-3</v>
      </c>
      <c r="J675" s="2">
        <v>5.9430000000000004E-3</v>
      </c>
      <c r="K675" s="2">
        <v>3.735E-3</v>
      </c>
      <c r="L675" s="2">
        <f>(1/COUNT(D675:K675))*SQRT(SUMSQ(D675:K675))</f>
        <v>2.2563842619332374E-3</v>
      </c>
    </row>
    <row r="676" spans="2:14" x14ac:dyDescent="0.55000000000000004">
      <c r="C676" s="2" t="s">
        <v>28</v>
      </c>
      <c r="D676" s="2">
        <v>3.378565</v>
      </c>
      <c r="E676" s="2">
        <v>3.3918490000000001</v>
      </c>
      <c r="F676" s="2">
        <v>2.6831550000000002</v>
      </c>
      <c r="G676" s="2">
        <v>4.0785460000000002</v>
      </c>
      <c r="H676" s="2">
        <v>1.8601650000000001</v>
      </c>
      <c r="I676" s="2">
        <v>5.0845880000000001</v>
      </c>
      <c r="J676" s="2">
        <v>3.6646169999999998</v>
      </c>
      <c r="K676" s="2">
        <v>3.131478</v>
      </c>
      <c r="L676" s="2">
        <f>AVERAGE(D676:K676)</f>
        <v>3.4091203750000005</v>
      </c>
      <c r="M676" s="2">
        <f xml:space="preserve"> _xlfn.STDEV.S(D676:K676) / SQRT(COUNT(D676:K676))</f>
        <v>0.33608052432170782</v>
      </c>
      <c r="N676" s="2">
        <f>M676*$N$2</f>
        <v>0.37612758665911272</v>
      </c>
    </row>
    <row r="677" spans="2:14" x14ac:dyDescent="0.55000000000000004">
      <c r="C677" s="2" t="s">
        <v>29</v>
      </c>
      <c r="D677" s="2">
        <v>0.120005</v>
      </c>
      <c r="E677" s="2">
        <v>0.13372700000000001</v>
      </c>
      <c r="F677" s="2">
        <v>6.0281000000000001E-2</v>
      </c>
      <c r="G677" s="2">
        <v>0.27041700000000002</v>
      </c>
      <c r="H677" s="2">
        <v>2.3932999999999999E-2</v>
      </c>
      <c r="I677" s="2">
        <v>7.6817999999999997E-2</v>
      </c>
      <c r="J677" s="2">
        <v>5.815E-2</v>
      </c>
      <c r="K677" s="2">
        <v>4.7999E-2</v>
      </c>
      <c r="L677" s="2">
        <f>(1/COUNT(D677:K677))*SQRT(SUMSQ(D677:K677))</f>
        <v>4.3517665866504726E-2</v>
      </c>
    </row>
    <row r="678" spans="2:14" x14ac:dyDescent="0.55000000000000004">
      <c r="C678" s="2" t="s">
        <v>30</v>
      </c>
      <c r="D678" s="2">
        <v>15.248207000000001</v>
      </c>
      <c r="E678" s="2">
        <v>16.927147000000001</v>
      </c>
      <c r="F678" s="2">
        <v>14.384672999999999</v>
      </c>
      <c r="G678" s="2">
        <v>16.952632999999999</v>
      </c>
      <c r="H678" s="2">
        <v>11.733559</v>
      </c>
      <c r="I678" s="2">
        <v>19.230979000000001</v>
      </c>
      <c r="J678" s="2">
        <v>18.546424999999999</v>
      </c>
      <c r="K678" s="2">
        <v>14.461575</v>
      </c>
      <c r="L678" s="2">
        <f>AVERAGE(D678:K678)</f>
        <v>15.93564975</v>
      </c>
      <c r="M678" s="2">
        <f xml:space="preserve"> _xlfn.STDEV.S(D678:K678) / SQRT(COUNT(D678:K678))</f>
        <v>0.87015221834260803</v>
      </c>
      <c r="N678" s="2">
        <f>M678*$N$2</f>
        <v>0.97383879822202046</v>
      </c>
    </row>
    <row r="679" spans="2:14" x14ac:dyDescent="0.55000000000000004">
      <c r="C679" s="2" t="s">
        <v>31</v>
      </c>
      <c r="D679" s="2">
        <v>0.26766000000000001</v>
      </c>
      <c r="E679" s="2">
        <v>0.19447999999999999</v>
      </c>
      <c r="F679" s="2">
        <v>0.104725</v>
      </c>
      <c r="G679" s="2">
        <v>0.56118299999999999</v>
      </c>
      <c r="H679" s="2">
        <v>0.14022100000000001</v>
      </c>
      <c r="I679" s="2">
        <v>0.13639799999999999</v>
      </c>
      <c r="J679" s="2">
        <v>0.130167</v>
      </c>
      <c r="K679" s="2">
        <v>0.124602</v>
      </c>
      <c r="L679" s="2">
        <f>(1/COUNT(D679:K679))*SQRT(SUMSQ(D679:K679))</f>
        <v>8.8925309306110936E-2</v>
      </c>
    </row>
    <row r="680" spans="2:14" x14ac:dyDescent="0.55000000000000004">
      <c r="B680" s="2" t="s">
        <v>46</v>
      </c>
      <c r="C680" s="2" t="s">
        <v>22</v>
      </c>
      <c r="L680" s="2" t="e">
        <f>AVERAGE(D680:K680)</f>
        <v>#DIV/0!</v>
      </c>
      <c r="M680" s="2" t="e">
        <f xml:space="preserve"> _xlfn.STDEV.S(D680:K680) / SQRT(COUNT(D680:K680))</f>
        <v>#DIV/0!</v>
      </c>
      <c r="N680" s="2" t="e">
        <f>M680*$N$2</f>
        <v>#DIV/0!</v>
      </c>
    </row>
    <row r="681" spans="2:14" x14ac:dyDescent="0.55000000000000004">
      <c r="C681" s="2" t="s">
        <v>23</v>
      </c>
      <c r="L681" s="2" t="e">
        <f>(1/COUNT(D681:K681))*SQRT(SUMSQ(D681:K681))</f>
        <v>#DIV/0!</v>
      </c>
    </row>
    <row r="682" spans="2:14" x14ac:dyDescent="0.55000000000000004">
      <c r="C682" s="2" t="s">
        <v>24</v>
      </c>
      <c r="L682" s="2" t="e">
        <f>AVERAGE(D682:K682)</f>
        <v>#DIV/0!</v>
      </c>
      <c r="M682" s="2" t="e">
        <f xml:space="preserve"> _xlfn.STDEV.S(D682:K682) / SQRT(COUNT(D682:K682))</f>
        <v>#DIV/0!</v>
      </c>
      <c r="N682" s="2" t="e">
        <f>M682*$N$2</f>
        <v>#DIV/0!</v>
      </c>
    </row>
    <row r="683" spans="2:14" x14ac:dyDescent="0.55000000000000004">
      <c r="C683" s="2" t="s">
        <v>25</v>
      </c>
      <c r="L683" s="2" t="e">
        <f>(1/COUNT(D683:K683))*SQRT(SUMSQ(D683:K683))</f>
        <v>#DIV/0!</v>
      </c>
    </row>
    <row r="684" spans="2:14" x14ac:dyDescent="0.55000000000000004">
      <c r="C684" s="2" t="s">
        <v>26</v>
      </c>
      <c r="L684" s="2" t="e">
        <f>AVERAGE(D684:K684)</f>
        <v>#DIV/0!</v>
      </c>
      <c r="M684" s="2" t="e">
        <f xml:space="preserve"> _xlfn.STDEV.S(D684:K684) / SQRT(COUNT(D684:K684))</f>
        <v>#DIV/0!</v>
      </c>
      <c r="N684" s="2" t="e">
        <f>M684*$N$2</f>
        <v>#DIV/0!</v>
      </c>
    </row>
    <row r="685" spans="2:14" x14ac:dyDescent="0.55000000000000004">
      <c r="C685" s="2" t="s">
        <v>27</v>
      </c>
      <c r="L685" s="2" t="e">
        <f>(1/COUNT(D685:K685))*SQRT(SUMSQ(D685:K685))</f>
        <v>#DIV/0!</v>
      </c>
    </row>
    <row r="686" spans="2:14" x14ac:dyDescent="0.55000000000000004">
      <c r="C686" s="2" t="s">
        <v>28</v>
      </c>
      <c r="L686" s="2" t="e">
        <f>AVERAGE(D686:K686)</f>
        <v>#DIV/0!</v>
      </c>
      <c r="M686" s="2" t="e">
        <f xml:space="preserve"> _xlfn.STDEV.S(D686:K686) / SQRT(COUNT(D686:K686))</f>
        <v>#DIV/0!</v>
      </c>
      <c r="N686" s="2" t="e">
        <f>M686*$N$2</f>
        <v>#DIV/0!</v>
      </c>
    </row>
    <row r="687" spans="2:14" x14ac:dyDescent="0.55000000000000004">
      <c r="C687" s="2" t="s">
        <v>29</v>
      </c>
      <c r="L687" s="2" t="e">
        <f>(1/COUNT(D687:K687))*SQRT(SUMSQ(D687:K687))</f>
        <v>#DIV/0!</v>
      </c>
    </row>
    <row r="688" spans="2:14" x14ac:dyDescent="0.55000000000000004">
      <c r="C688" s="2" t="s">
        <v>30</v>
      </c>
      <c r="L688" s="2" t="e">
        <f>AVERAGE(D688:K688)</f>
        <v>#DIV/0!</v>
      </c>
      <c r="M688" s="2" t="e">
        <f xml:space="preserve"> _xlfn.STDEV.S(D688:K688) / SQRT(COUNT(D688:K688))</f>
        <v>#DIV/0!</v>
      </c>
      <c r="N688" s="2" t="e">
        <f>M688*$N$2</f>
        <v>#DIV/0!</v>
      </c>
    </row>
    <row r="689" spans="2:14" x14ac:dyDescent="0.55000000000000004">
      <c r="C689" s="2" t="s">
        <v>31</v>
      </c>
      <c r="L689" s="2" t="e">
        <f>(1/COUNT(D689:K689))*SQRT(SUMSQ(D689:K689))</f>
        <v>#DIV/0!</v>
      </c>
    </row>
    <row r="690" spans="2:14" x14ac:dyDescent="0.55000000000000004">
      <c r="B690" s="2" t="s">
        <v>36</v>
      </c>
      <c r="C690" s="2" t="s">
        <v>22</v>
      </c>
      <c r="D690" s="2">
        <v>0.78877799999999998</v>
      </c>
      <c r="E690" s="2">
        <v>0.84806199999999998</v>
      </c>
      <c r="F690" s="2">
        <v>0.70189999999999997</v>
      </c>
      <c r="G690" s="2">
        <v>0.87134699999999998</v>
      </c>
      <c r="H690" s="2">
        <v>0.82106400000000002</v>
      </c>
      <c r="I690" s="2">
        <v>0.84852499999999997</v>
      </c>
      <c r="J690" s="2">
        <v>0.84686300000000003</v>
      </c>
      <c r="K690" s="2">
        <v>0.74118799999999996</v>
      </c>
      <c r="L690" s="2">
        <f>AVERAGE(D690:K690)</f>
        <v>0.808465875</v>
      </c>
      <c r="M690" s="2">
        <f xml:space="preserve"> _xlfn.STDEV.S(D690:K690) / SQRT(COUNT(D690:K690))</f>
        <v>2.1141481337001153E-2</v>
      </c>
      <c r="N690" s="2">
        <f>M690*$N$2</f>
        <v>2.3660681825386255E-2</v>
      </c>
    </row>
    <row r="691" spans="2:14" x14ac:dyDescent="0.55000000000000004">
      <c r="C691" s="2" t="s">
        <v>24</v>
      </c>
      <c r="D691" s="2">
        <v>0.61698399999999998</v>
      </c>
      <c r="E691" s="2">
        <v>0.52382499999999999</v>
      </c>
      <c r="F691" s="2">
        <v>0.71208499999999997</v>
      </c>
      <c r="G691" s="2">
        <v>0.48286299999999999</v>
      </c>
      <c r="H691" s="2">
        <v>0.57080399999999998</v>
      </c>
      <c r="I691" s="2">
        <v>0.53056999999999999</v>
      </c>
      <c r="J691" s="2">
        <v>0.51851400000000003</v>
      </c>
      <c r="K691" s="2">
        <v>0.68205700000000002</v>
      </c>
      <c r="L691" s="2">
        <f t="shared" ref="L691:L708" si="21">AVERAGE(D691:K691)</f>
        <v>0.57971275</v>
      </c>
      <c r="M691" s="2">
        <f t="shared" ref="M691:M707" si="22" xml:space="preserve"> _xlfn.STDEV.S(D691:K691) / SQRT(COUNT(D691:K691))</f>
        <v>2.9316280683844027E-2</v>
      </c>
      <c r="N691" s="2">
        <f t="shared" ref="N691:N707" si="23">M691*$N$2</f>
        <v>3.2809583136927972E-2</v>
      </c>
    </row>
    <row r="692" spans="2:14" x14ac:dyDescent="0.55000000000000004">
      <c r="C692" s="2" t="s">
        <v>26</v>
      </c>
      <c r="D692" s="2">
        <v>0.40677999999999997</v>
      </c>
      <c r="E692" s="2">
        <v>0.51337299999999997</v>
      </c>
      <c r="F692" s="2">
        <v>0.42708200000000002</v>
      </c>
      <c r="G692" s="2">
        <v>0.53544400000000003</v>
      </c>
      <c r="H692" s="2">
        <v>0.47956300000000002</v>
      </c>
      <c r="I692" s="2">
        <v>0.35206900000000002</v>
      </c>
      <c r="J692" s="2">
        <v>0.45634200000000003</v>
      </c>
      <c r="K692" s="2">
        <v>0.30185000000000001</v>
      </c>
      <c r="L692" s="2">
        <f t="shared" si="21"/>
        <v>0.43406287500000007</v>
      </c>
      <c r="M692" s="2">
        <f t="shared" si="22"/>
        <v>2.8072348162787544E-2</v>
      </c>
      <c r="N692" s="2">
        <f t="shared" si="23"/>
        <v>3.1417424700922049E-2</v>
      </c>
    </row>
    <row r="693" spans="2:14" x14ac:dyDescent="0.55000000000000004">
      <c r="C693" s="2" t="s">
        <v>28</v>
      </c>
      <c r="D693" s="2">
        <v>3.8560300000000001</v>
      </c>
      <c r="E693" s="2">
        <v>3.2601279999999999</v>
      </c>
      <c r="F693" s="2">
        <v>2.53789</v>
      </c>
      <c r="G693" s="2">
        <v>3.1102889999999999</v>
      </c>
      <c r="H693" s="2">
        <v>1.882341</v>
      </c>
      <c r="I693" s="2">
        <v>4.5274789999999996</v>
      </c>
      <c r="J693" s="2">
        <v>3.836497</v>
      </c>
      <c r="K693" s="2">
        <v>2.9239830000000002</v>
      </c>
      <c r="L693" s="2">
        <f t="shared" si="21"/>
        <v>3.2418296250000003</v>
      </c>
      <c r="M693" s="2">
        <f t="shared" si="22"/>
        <v>0.29417470100094839</v>
      </c>
      <c r="N693" s="2">
        <f t="shared" si="23"/>
        <v>0.32922830195818625</v>
      </c>
    </row>
    <row r="694" spans="2:14" x14ac:dyDescent="0.55000000000000004">
      <c r="C694" s="2" t="s">
        <v>30</v>
      </c>
      <c r="D694" s="2">
        <v>15.838342000000001</v>
      </c>
      <c r="E694" s="2">
        <v>16.654285000000002</v>
      </c>
      <c r="F694" s="2">
        <v>13.838409</v>
      </c>
      <c r="G694" s="2">
        <v>15.576479000000001</v>
      </c>
      <c r="H694" s="2">
        <v>11.414327999999999</v>
      </c>
      <c r="I694" s="2">
        <v>17.110164000000001</v>
      </c>
      <c r="J694" s="2">
        <v>18.848199000000001</v>
      </c>
      <c r="K694" s="2">
        <v>13.749109000000001</v>
      </c>
      <c r="L694" s="2">
        <f t="shared" si="21"/>
        <v>15.378664375</v>
      </c>
      <c r="M694" s="2">
        <f t="shared" si="22"/>
        <v>0.82003052887116001</v>
      </c>
      <c r="N694" s="2">
        <f t="shared" si="23"/>
        <v>0.91774465192115573</v>
      </c>
    </row>
    <row r="695" spans="2:14" x14ac:dyDescent="0.55000000000000004">
      <c r="B695" s="2" t="s">
        <v>37</v>
      </c>
      <c r="C695" s="2" t="s">
        <v>22</v>
      </c>
      <c r="D695" s="2">
        <v>0.728329</v>
      </c>
      <c r="E695" s="2">
        <v>0.76177099999999998</v>
      </c>
      <c r="F695" s="2">
        <v>0.57047499999999995</v>
      </c>
      <c r="G695" s="2">
        <v>0.79706200000000005</v>
      </c>
      <c r="H695" s="2">
        <v>0.69639700000000004</v>
      </c>
      <c r="I695" s="2">
        <v>0.77802899999999997</v>
      </c>
      <c r="J695" s="2">
        <v>0.79112700000000002</v>
      </c>
      <c r="K695" s="2">
        <v>0.62646599999999997</v>
      </c>
      <c r="L695" s="2">
        <f t="shared" si="21"/>
        <v>0.71870699999999998</v>
      </c>
      <c r="M695" s="2">
        <f t="shared" si="22"/>
        <v>2.9224872324663E-2</v>
      </c>
      <c r="N695" s="2">
        <f t="shared" si="23"/>
        <v>3.2707282637341996E-2</v>
      </c>
    </row>
    <row r="696" spans="2:14" x14ac:dyDescent="0.55000000000000004">
      <c r="C696" s="2" t="s">
        <v>24</v>
      </c>
      <c r="D696" s="2">
        <v>0.70513199999999998</v>
      </c>
      <c r="E696" s="2">
        <v>0.65083599999999997</v>
      </c>
      <c r="F696" s="2">
        <v>0.85042300000000004</v>
      </c>
      <c r="G696" s="2">
        <v>0.60400200000000004</v>
      </c>
      <c r="H696" s="2">
        <v>0.73388299999999995</v>
      </c>
      <c r="I696" s="2">
        <v>0.64151499999999995</v>
      </c>
      <c r="J696" s="2">
        <v>0.61219100000000004</v>
      </c>
      <c r="K696" s="2">
        <v>0.813415</v>
      </c>
      <c r="L696" s="2">
        <f t="shared" si="21"/>
        <v>0.70142462500000002</v>
      </c>
      <c r="M696" s="2">
        <f t="shared" si="22"/>
        <v>3.2571852008256484E-2</v>
      </c>
      <c r="N696" s="2">
        <f t="shared" si="23"/>
        <v>3.6453085502675668E-2</v>
      </c>
    </row>
    <row r="697" spans="2:14" x14ac:dyDescent="0.55000000000000004">
      <c r="C697" s="2" t="s">
        <v>26</v>
      </c>
      <c r="D697" s="2">
        <v>0.328183</v>
      </c>
      <c r="E697" s="2">
        <v>0.39593099999999998</v>
      </c>
      <c r="F697" s="2">
        <v>0.34385900000000003</v>
      </c>
      <c r="G697" s="2">
        <v>0.42172999999999999</v>
      </c>
      <c r="H697" s="2">
        <v>0.33927299999999999</v>
      </c>
      <c r="I697" s="2">
        <v>0.27169500000000002</v>
      </c>
      <c r="J697" s="2">
        <v>0.36234</v>
      </c>
      <c r="K697" s="2">
        <v>0.21128</v>
      </c>
      <c r="L697" s="2">
        <f t="shared" si="21"/>
        <v>0.33428637499999997</v>
      </c>
      <c r="M697" s="2">
        <f t="shared" si="22"/>
        <v>2.36927710870528E-2</v>
      </c>
      <c r="N697" s="2">
        <f t="shared" si="23"/>
        <v>2.6515981038251337E-2</v>
      </c>
    </row>
    <row r="698" spans="2:14" x14ac:dyDescent="0.55000000000000004">
      <c r="C698" s="2" t="s">
        <v>28</v>
      </c>
      <c r="D698" s="2">
        <v>5.1545180000000004</v>
      </c>
      <c r="E698" s="2">
        <v>5.2632779999999997</v>
      </c>
      <c r="F698" s="2">
        <v>3.7079499999999999</v>
      </c>
      <c r="G698" s="2">
        <v>4.551825</v>
      </c>
      <c r="H698" s="2">
        <v>3.4464549999999998</v>
      </c>
      <c r="I698" s="2">
        <v>8.1853870000000004</v>
      </c>
      <c r="J698" s="2">
        <v>5.1903499999999996</v>
      </c>
      <c r="K698" s="2">
        <v>4.2695550000000004</v>
      </c>
      <c r="L698" s="2">
        <f t="shared" si="21"/>
        <v>4.9711647499999998</v>
      </c>
      <c r="M698" s="2">
        <f t="shared" si="22"/>
        <v>0.51904391509966796</v>
      </c>
      <c r="N698" s="2">
        <f t="shared" si="23"/>
        <v>0.58089273560421417</v>
      </c>
    </row>
    <row r="699" spans="2:14" x14ac:dyDescent="0.55000000000000004">
      <c r="C699" s="2" t="s">
        <v>30</v>
      </c>
      <c r="D699" s="2">
        <v>19.472442999999998</v>
      </c>
      <c r="E699" s="2">
        <v>19.441824</v>
      </c>
      <c r="F699" s="2">
        <v>18.729175999999999</v>
      </c>
      <c r="G699" s="2">
        <v>17.556920000000002</v>
      </c>
      <c r="H699" s="2">
        <v>19.002801999999999</v>
      </c>
      <c r="I699" s="2">
        <v>22.999251999999998</v>
      </c>
      <c r="J699" s="2">
        <v>21.222704</v>
      </c>
      <c r="K699" s="2">
        <v>19.7502</v>
      </c>
      <c r="L699" s="2">
        <f t="shared" si="21"/>
        <v>19.771915125</v>
      </c>
      <c r="M699" s="2">
        <f t="shared" si="22"/>
        <v>0.58713362742368458</v>
      </c>
      <c r="N699" s="2">
        <f t="shared" si="23"/>
        <v>0.65709595869913673</v>
      </c>
    </row>
    <row r="700" spans="2:14" x14ac:dyDescent="0.55000000000000004">
      <c r="B700" s="2" t="s">
        <v>39</v>
      </c>
      <c r="C700" s="2" t="s">
        <v>22</v>
      </c>
      <c r="D700" s="2">
        <v>0.82120099999999996</v>
      </c>
      <c r="E700" s="2">
        <v>0.909659</v>
      </c>
      <c r="F700" s="2">
        <v>0.75517599999999996</v>
      </c>
      <c r="G700" s="2">
        <v>0.82478799999999997</v>
      </c>
      <c r="H700" s="2">
        <v>0.83524500000000002</v>
      </c>
      <c r="I700" s="2">
        <v>0.87926700000000002</v>
      </c>
      <c r="J700" s="2">
        <v>0.88204000000000005</v>
      </c>
      <c r="K700" s="2">
        <v>0.72717600000000004</v>
      </c>
      <c r="L700" s="2">
        <f t="shared" si="21"/>
        <v>0.82931899999999992</v>
      </c>
      <c r="M700" s="2">
        <f t="shared" si="22"/>
        <v>2.2272961027411046E-2</v>
      </c>
      <c r="N700" s="2">
        <f t="shared" si="23"/>
        <v>2.4926987649463977E-2</v>
      </c>
    </row>
    <row r="701" spans="2:14" x14ac:dyDescent="0.55000000000000004">
      <c r="C701" s="2" t="s">
        <v>24</v>
      </c>
      <c r="D701" s="2">
        <v>0.57056200000000001</v>
      </c>
      <c r="E701" s="2">
        <v>0.41222500000000001</v>
      </c>
      <c r="F701" s="2">
        <v>0.65585899999999997</v>
      </c>
      <c r="G701" s="2">
        <v>0.56418800000000002</v>
      </c>
      <c r="H701" s="2">
        <v>0.55123699999999998</v>
      </c>
      <c r="I701" s="2">
        <v>0.47862500000000002</v>
      </c>
      <c r="J701" s="2">
        <v>0.46596199999999999</v>
      </c>
      <c r="K701" s="2">
        <v>0.69631100000000001</v>
      </c>
      <c r="L701" s="2">
        <f t="shared" si="21"/>
        <v>0.54937112499999996</v>
      </c>
      <c r="M701" s="2">
        <f t="shared" si="22"/>
        <v>3.3904862899967948E-2</v>
      </c>
      <c r="N701" s="2">
        <f t="shared" si="23"/>
        <v>3.7944936810339676E-2</v>
      </c>
    </row>
    <row r="702" spans="2:14" x14ac:dyDescent="0.55000000000000004">
      <c r="C702" s="2" t="s">
        <v>26</v>
      </c>
      <c r="D702" s="2">
        <v>0.45908399999999999</v>
      </c>
      <c r="E702" s="2">
        <v>0.63143899999999997</v>
      </c>
      <c r="F702" s="2">
        <v>0.46072099999999999</v>
      </c>
      <c r="G702" s="2">
        <v>0.458482</v>
      </c>
      <c r="H702" s="2">
        <v>0.496114</v>
      </c>
      <c r="I702" s="2">
        <v>0.398063</v>
      </c>
      <c r="J702" s="2">
        <v>0.50524599999999997</v>
      </c>
      <c r="K702" s="2">
        <v>0.30398900000000001</v>
      </c>
      <c r="L702" s="2">
        <f t="shared" si="21"/>
        <v>0.46414224999999998</v>
      </c>
      <c r="M702" s="2">
        <f t="shared" si="22"/>
        <v>3.2946052674762354E-2</v>
      </c>
      <c r="N702" s="2">
        <f t="shared" si="23"/>
        <v>3.6871875594434618E-2</v>
      </c>
    </row>
    <row r="703" spans="2:14" x14ac:dyDescent="0.55000000000000004">
      <c r="C703" s="2" t="s">
        <v>28</v>
      </c>
      <c r="D703" s="2">
        <v>2.9542670000000002</v>
      </c>
      <c r="E703" s="2">
        <v>2.3710779999999998</v>
      </c>
      <c r="F703" s="2">
        <v>2.2748140000000001</v>
      </c>
      <c r="G703" s="2">
        <v>4.0661579999999997</v>
      </c>
      <c r="H703" s="2">
        <v>1.771979</v>
      </c>
      <c r="I703" s="2">
        <v>3.7365349999999999</v>
      </c>
      <c r="J703" s="2">
        <v>3.1838160000000002</v>
      </c>
      <c r="K703" s="2">
        <v>3.105515</v>
      </c>
      <c r="L703" s="2">
        <f t="shared" si="21"/>
        <v>2.9330202499999998</v>
      </c>
      <c r="M703" s="2">
        <f t="shared" si="22"/>
        <v>0.27123305837150941</v>
      </c>
      <c r="N703" s="2">
        <f t="shared" si="23"/>
        <v>0.30355295318984543</v>
      </c>
    </row>
    <row r="704" spans="2:14" x14ac:dyDescent="0.55000000000000004">
      <c r="C704" s="2" t="s">
        <v>30</v>
      </c>
      <c r="D704" s="2">
        <v>14.765053</v>
      </c>
      <c r="E704" s="2">
        <v>16.421319</v>
      </c>
      <c r="F704" s="2">
        <v>13.841993</v>
      </c>
      <c r="G704" s="2">
        <v>16.736751999999999</v>
      </c>
      <c r="H704" s="2">
        <v>11.092542</v>
      </c>
      <c r="I704" s="2">
        <v>18.491496000000001</v>
      </c>
      <c r="J704" s="2">
        <v>18.462737000000001</v>
      </c>
      <c r="K704" s="2">
        <v>15.425769000000001</v>
      </c>
      <c r="L704" s="2">
        <f t="shared" si="21"/>
        <v>15.654707625</v>
      </c>
      <c r="M704" s="2">
        <f t="shared" si="22"/>
        <v>0.87253835397247348</v>
      </c>
      <c r="N704" s="2">
        <f t="shared" si="23"/>
        <v>0.97650926369369273</v>
      </c>
    </row>
    <row r="705" spans="1:14" x14ac:dyDescent="0.55000000000000004">
      <c r="B705" s="2" t="s">
        <v>61</v>
      </c>
      <c r="C705" s="2" t="s">
        <v>22</v>
      </c>
      <c r="D705" s="2">
        <v>0.71596099999999996</v>
      </c>
      <c r="E705" s="2">
        <v>0.735066</v>
      </c>
      <c r="F705" s="2">
        <v>0.54207499999999997</v>
      </c>
      <c r="G705" s="2">
        <v>0.7661</v>
      </c>
      <c r="H705" s="2">
        <v>0.63272099999999998</v>
      </c>
      <c r="I705" s="2">
        <v>0.74701099999999998</v>
      </c>
      <c r="J705" s="2">
        <v>0.77486699999999997</v>
      </c>
      <c r="K705" s="2">
        <v>0.564585</v>
      </c>
      <c r="L705" s="2">
        <f t="shared" si="21"/>
        <v>0.68479824999999994</v>
      </c>
      <c r="M705" s="2">
        <f t="shared" si="22"/>
        <v>3.262994236058913E-2</v>
      </c>
      <c r="N705" s="2">
        <f t="shared" si="23"/>
        <v>3.6518097850758477E-2</v>
      </c>
    </row>
    <row r="706" spans="1:14" x14ac:dyDescent="0.55000000000000004">
      <c r="C706" s="2" t="s">
        <v>24</v>
      </c>
      <c r="D706" s="2">
        <v>0.73853500000000005</v>
      </c>
      <c r="E706" s="2">
        <v>0.69819299999999995</v>
      </c>
      <c r="F706" s="2">
        <v>0.939697</v>
      </c>
      <c r="G706" s="2">
        <v>0.65007400000000004</v>
      </c>
      <c r="H706" s="2">
        <v>0.84344799999999998</v>
      </c>
      <c r="I706" s="2">
        <v>0.70438000000000001</v>
      </c>
      <c r="J706" s="2">
        <v>0.64969200000000005</v>
      </c>
      <c r="K706" s="2">
        <v>0.92139300000000002</v>
      </c>
      <c r="L706" s="2">
        <f t="shared" si="21"/>
        <v>0.76817650000000004</v>
      </c>
      <c r="M706" s="2">
        <f t="shared" si="22"/>
        <v>4.1488693803682246E-2</v>
      </c>
      <c r="N706" s="2">
        <f t="shared" si="23"/>
        <v>4.6432450394180542E-2</v>
      </c>
    </row>
    <row r="707" spans="1:14" x14ac:dyDescent="0.55000000000000004">
      <c r="C707" s="2" t="s">
        <v>26</v>
      </c>
      <c r="D707" s="2">
        <v>0.34404699999999999</v>
      </c>
      <c r="E707" s="2">
        <v>0.39722800000000003</v>
      </c>
      <c r="F707" s="2">
        <v>0.35058099999999998</v>
      </c>
      <c r="G707" s="2">
        <v>0.42576700000000001</v>
      </c>
      <c r="H707" s="2">
        <v>0.29194999999999999</v>
      </c>
      <c r="I707" s="2">
        <v>0.26480199999999998</v>
      </c>
      <c r="J707" s="2">
        <v>0.375944</v>
      </c>
      <c r="K707" s="2">
        <v>0.170408</v>
      </c>
      <c r="L707" s="2">
        <f t="shared" si="21"/>
        <v>0.327590875</v>
      </c>
      <c r="M707" s="2">
        <f t="shared" si="22"/>
        <v>2.9137735192675519E-2</v>
      </c>
      <c r="N707" s="2">
        <f t="shared" si="23"/>
        <v>3.2609762320658972E-2</v>
      </c>
    </row>
    <row r="708" spans="1:14" x14ac:dyDescent="0.55000000000000004">
      <c r="A708" s="2" t="s">
        <v>20</v>
      </c>
      <c r="B708" s="2" t="s">
        <v>21</v>
      </c>
      <c r="C708" s="2" t="s">
        <v>22</v>
      </c>
      <c r="D708" s="2">
        <v>0.84984199999999999</v>
      </c>
      <c r="E708" s="2">
        <v>0.90754100000000004</v>
      </c>
      <c r="F708" s="2">
        <v>0.74573900000000004</v>
      </c>
      <c r="G708" s="2">
        <v>0.87426599999999999</v>
      </c>
      <c r="H708" s="2">
        <v>0.83781600000000001</v>
      </c>
      <c r="I708" s="2">
        <v>0.87741000000000002</v>
      </c>
      <c r="J708" s="2">
        <v>0.87090599999999996</v>
      </c>
      <c r="K708" s="2">
        <v>0.72632200000000002</v>
      </c>
      <c r="L708" s="2">
        <f t="shared" si="21"/>
        <v>0.83623024999999995</v>
      </c>
      <c r="M708" s="2">
        <f xml:space="preserve"> _xlfn.STDEV.S(D708:K708) / SQRT(COUNT(D708:K708))</f>
        <v>2.3101640664332228E-2</v>
      </c>
      <c r="N708" s="2">
        <f>M708*$N$2</f>
        <v>2.5854412029611498E-2</v>
      </c>
    </row>
    <row r="709" spans="1:14" x14ac:dyDescent="0.55000000000000004">
      <c r="A709" s="2">
        <v>1.5</v>
      </c>
      <c r="C709" s="2" t="s">
        <v>23</v>
      </c>
      <c r="D709" s="2">
        <v>4.2299999999999998E-4</v>
      </c>
      <c r="E709" s="2">
        <v>9.2299999999999999E-4</v>
      </c>
      <c r="F709" s="2">
        <v>1.4213E-2</v>
      </c>
      <c r="G709" s="2">
        <v>1.1100000000000001E-3</v>
      </c>
      <c r="H709" s="2">
        <v>1.024E-3</v>
      </c>
      <c r="I709" s="2">
        <v>6.6699999999999995E-4</v>
      </c>
      <c r="J709" s="2">
        <v>1.529E-3</v>
      </c>
      <c r="K709" s="2">
        <v>4.46E-4</v>
      </c>
      <c r="L709" s="2">
        <f>(1/COUNT(D709:K709))*SQRT(SUMSQ(D709:K709))</f>
        <v>1.8040862862194256E-3</v>
      </c>
    </row>
    <row r="710" spans="1:14" x14ac:dyDescent="0.55000000000000004">
      <c r="C710" s="2" t="s">
        <v>24</v>
      </c>
      <c r="D710" s="2">
        <v>0.52806799999999998</v>
      </c>
      <c r="E710" s="2">
        <v>0.41660999999999998</v>
      </c>
      <c r="F710" s="2">
        <v>0.66642000000000001</v>
      </c>
      <c r="G710" s="2">
        <v>0.486371</v>
      </c>
      <c r="H710" s="2">
        <v>0.54673000000000005</v>
      </c>
      <c r="I710" s="2">
        <v>0.48286000000000001</v>
      </c>
      <c r="J710" s="2">
        <v>0.48547099999999999</v>
      </c>
      <c r="K710" s="2">
        <v>0.702399</v>
      </c>
      <c r="L710" s="2">
        <f>AVERAGE(D710:K710)</f>
        <v>0.53936612500000003</v>
      </c>
      <c r="M710" s="2">
        <f xml:space="preserve"> _xlfn.STDEV.S(D710:K710) / SQRT(COUNT(D710:K710))</f>
        <v>3.4558298550336493E-2</v>
      </c>
      <c r="N710" s="2">
        <f>M710*$N$2</f>
        <v>3.8676235283246381E-2</v>
      </c>
    </row>
    <row r="711" spans="1:14" x14ac:dyDescent="0.55000000000000004">
      <c r="C711" s="2" t="s">
        <v>25</v>
      </c>
      <c r="D711" s="2">
        <v>6.5799999999999995E-4</v>
      </c>
      <c r="E711" s="2">
        <v>2.0330000000000001E-3</v>
      </c>
      <c r="F711" s="2">
        <v>1.6337999999999998E-2</v>
      </c>
      <c r="G711" s="2">
        <v>1.915E-3</v>
      </c>
      <c r="H711" s="2">
        <v>1.583E-3</v>
      </c>
      <c r="I711" s="2">
        <v>1.307E-3</v>
      </c>
      <c r="J711" s="2">
        <v>2.637E-3</v>
      </c>
      <c r="K711" s="2">
        <v>5.1900000000000004E-4</v>
      </c>
      <c r="L711" s="2">
        <f>(1/COUNT(D711:K711))*SQRT(SUMSQ(D711:K711))</f>
        <v>2.1161609919261811E-3</v>
      </c>
    </row>
    <row r="712" spans="1:14" x14ac:dyDescent="0.55000000000000004">
      <c r="C712" s="2" t="s">
        <v>26</v>
      </c>
      <c r="D712" s="2">
        <v>0.50284799999999996</v>
      </c>
      <c r="E712" s="2">
        <v>0.62653300000000001</v>
      </c>
      <c r="F712" s="2">
        <v>0.45455499999999999</v>
      </c>
      <c r="G712" s="2">
        <v>0.52828200000000003</v>
      </c>
      <c r="H712" s="2">
        <v>0.50070300000000001</v>
      </c>
      <c r="I712" s="2">
        <v>0.39268199999999998</v>
      </c>
      <c r="J712" s="2">
        <v>0.48553600000000002</v>
      </c>
      <c r="K712" s="2">
        <v>0.29233700000000001</v>
      </c>
      <c r="L712" s="2">
        <f>AVERAGE(D712:K712)</f>
        <v>0.47293449999999998</v>
      </c>
      <c r="M712" s="2">
        <f xml:space="preserve"> _xlfn.STDEV.S(D712:K712) / SQRT(COUNT(D712:K712))</f>
        <v>3.4814374242442762E-2</v>
      </c>
      <c r="N712" s="2">
        <f>M712*$N$2</f>
        <v>3.8962824731618564E-2</v>
      </c>
    </row>
    <row r="713" spans="1:14" x14ac:dyDescent="0.55000000000000004">
      <c r="C713" s="2" t="s">
        <v>27</v>
      </c>
      <c r="D713" s="2">
        <v>7.9600000000000005E-4</v>
      </c>
      <c r="E713" s="2">
        <v>2.1450000000000002E-3</v>
      </c>
      <c r="F713" s="2">
        <v>9.8429999999999993E-3</v>
      </c>
      <c r="G713" s="2">
        <v>2.9520000000000002E-3</v>
      </c>
      <c r="H713" s="2">
        <v>1.2520000000000001E-3</v>
      </c>
      <c r="I713" s="2">
        <v>1.366E-3</v>
      </c>
      <c r="J713" s="2">
        <v>2.3969999999999998E-3</v>
      </c>
      <c r="K713" s="2">
        <v>4.55E-4</v>
      </c>
      <c r="L713" s="2">
        <f>(1/COUNT(D713:K713))*SQRT(SUMSQ(D713:K713))</f>
        <v>1.3705592380484689E-3</v>
      </c>
    </row>
    <row r="714" spans="1:14" x14ac:dyDescent="0.55000000000000004">
      <c r="C714" s="2" t="s">
        <v>28</v>
      </c>
      <c r="D714" s="2">
        <v>2.320074</v>
      </c>
      <c r="E714" s="2">
        <v>2.3425590000000001</v>
      </c>
      <c r="F714" s="2">
        <v>2.3866879999999999</v>
      </c>
      <c r="G714" s="2">
        <v>3.0210279999999998</v>
      </c>
      <c r="H714" s="2">
        <v>1.750766</v>
      </c>
      <c r="I714" s="2">
        <v>3.5267849999999998</v>
      </c>
      <c r="J714" s="2">
        <v>3.311782</v>
      </c>
      <c r="K714" s="2">
        <v>3.1281699999999999</v>
      </c>
      <c r="L714" s="2">
        <f>AVERAGE(D714:K714)</f>
        <v>2.7234815000000001</v>
      </c>
      <c r="M714" s="2">
        <f xml:space="preserve"> _xlfn.STDEV.S(D714:K714) / SQRT(COUNT(D714:K714))</f>
        <v>0.21593424762909391</v>
      </c>
      <c r="N714" s="2">
        <f>M714*$N$2</f>
        <v>0.24166478435994368</v>
      </c>
    </row>
    <row r="715" spans="1:14" x14ac:dyDescent="0.55000000000000004">
      <c r="C715" s="2" t="s">
        <v>29</v>
      </c>
      <c r="D715" s="2">
        <v>7.1390000000000004E-3</v>
      </c>
      <c r="E715" s="2">
        <v>1.3398999999999999E-2</v>
      </c>
      <c r="F715" s="2">
        <v>7.7438000000000007E-2</v>
      </c>
      <c r="G715" s="2">
        <v>1.7054E-2</v>
      </c>
      <c r="H715" s="2">
        <v>1.3126000000000001E-2</v>
      </c>
      <c r="I715" s="2">
        <v>2.1115999999999999E-2</v>
      </c>
      <c r="J715" s="2">
        <v>2.444E-2</v>
      </c>
      <c r="K715" s="2">
        <v>4.5580000000000004E-3</v>
      </c>
      <c r="L715" s="2">
        <f>(1/COUNT(D715:K715))*SQRT(SUMSQ(D715:K715))</f>
        <v>1.1007275703199679E-2</v>
      </c>
    </row>
    <row r="716" spans="1:14" x14ac:dyDescent="0.55000000000000004">
      <c r="C716" s="2" t="s">
        <v>30</v>
      </c>
      <c r="D716" s="2">
        <v>13.863861999999999</v>
      </c>
      <c r="E716" s="2">
        <v>16.136982</v>
      </c>
      <c r="F716" s="2">
        <v>14.912492</v>
      </c>
      <c r="G716" s="2">
        <v>15.547216000000001</v>
      </c>
      <c r="H716" s="2">
        <v>10.944855</v>
      </c>
      <c r="I716" s="2">
        <v>16.231528000000001</v>
      </c>
      <c r="J716" s="2">
        <v>18.103836000000001</v>
      </c>
      <c r="K716" s="2">
        <v>14.865955</v>
      </c>
      <c r="L716" s="2">
        <f>AVERAGE(D716:K716)</f>
        <v>15.075840749999999</v>
      </c>
      <c r="M716" s="2">
        <f xml:space="preserve"> _xlfn.STDEV.S(D716:K716) / SQRT(COUNT(D716:K716))</f>
        <v>0.73748189120544005</v>
      </c>
      <c r="N716" s="2">
        <f>M716*$N$2</f>
        <v>0.82535959054377062</v>
      </c>
    </row>
    <row r="717" spans="1:14" x14ac:dyDescent="0.55000000000000004">
      <c r="C717" s="2" t="s">
        <v>31</v>
      </c>
      <c r="D717" s="2">
        <v>1.4761E-2</v>
      </c>
      <c r="E717" s="2">
        <v>1.3738999999999999E-2</v>
      </c>
      <c r="F717" s="2">
        <v>9.6803E-2</v>
      </c>
      <c r="G717" s="2">
        <v>0.104323</v>
      </c>
      <c r="H717" s="2">
        <v>5.6105000000000002E-2</v>
      </c>
      <c r="I717" s="2">
        <v>1.7146000000000002E-2</v>
      </c>
      <c r="J717" s="2">
        <v>7.4524999999999994E-2</v>
      </c>
      <c r="K717" s="2">
        <v>1.9838000000000001E-2</v>
      </c>
      <c r="L717" s="2">
        <f>(1/COUNT(D717:K717))*SQRT(SUMSQ(D717:K717))</f>
        <v>2.1668682250398846E-2</v>
      </c>
    </row>
    <row r="718" spans="1:14" x14ac:dyDescent="0.55000000000000004">
      <c r="B718" s="2" t="s">
        <v>32</v>
      </c>
      <c r="C718" s="2" t="s">
        <v>22</v>
      </c>
      <c r="D718" s="2">
        <v>0.84095799999999998</v>
      </c>
      <c r="E718" s="2">
        <v>0.88447399999999998</v>
      </c>
      <c r="F718" s="2">
        <v>0.74661900000000003</v>
      </c>
      <c r="G718" s="2">
        <v>0.85037399999999996</v>
      </c>
      <c r="H718" s="2">
        <v>0.82497699999999996</v>
      </c>
      <c r="I718" s="2">
        <v>0.87143700000000002</v>
      </c>
      <c r="J718" s="2">
        <v>0.89016399999999996</v>
      </c>
      <c r="K718" s="2">
        <v>0.73346299999999998</v>
      </c>
      <c r="L718" s="2">
        <f>AVERAGE(D718:K718)</f>
        <v>0.83030825000000008</v>
      </c>
      <c r="M718" s="2">
        <f xml:space="preserve"> _xlfn.STDEV.S(D718:K718) / SQRT(COUNT(D718:K718))</f>
        <v>2.1186071947449338E-2</v>
      </c>
      <c r="N718" s="2">
        <f>M718*$N$2</f>
        <v>2.3710585814108547E-2</v>
      </c>
    </row>
    <row r="719" spans="1:14" x14ac:dyDescent="0.55000000000000004">
      <c r="C719" s="2" t="s">
        <v>23</v>
      </c>
      <c r="D719" s="2">
        <v>1.2409999999999999E-3</v>
      </c>
      <c r="E719" s="2">
        <v>3.065E-3</v>
      </c>
      <c r="F719" s="2">
        <v>3.3029999999999999E-3</v>
      </c>
      <c r="G719" s="2">
        <v>6.3720000000000001E-3</v>
      </c>
      <c r="H719" s="2">
        <v>5.3499999999999999E-4</v>
      </c>
      <c r="I719" s="2">
        <v>1.439E-3</v>
      </c>
      <c r="J719" s="2">
        <v>2.0739999999999999E-3</v>
      </c>
      <c r="K719" s="2">
        <v>8.83E-4</v>
      </c>
      <c r="L719" s="2">
        <f>(1/COUNT(D719:K719))*SQRT(SUMSQ(D719:K719))</f>
        <v>1.0449626937120769E-3</v>
      </c>
    </row>
    <row r="720" spans="1:14" x14ac:dyDescent="0.55000000000000004">
      <c r="C720" s="2" t="s">
        <v>24</v>
      </c>
      <c r="D720" s="2">
        <v>0.54441799999999996</v>
      </c>
      <c r="E720" s="2">
        <v>0.463088</v>
      </c>
      <c r="F720" s="2">
        <v>0.66533500000000001</v>
      </c>
      <c r="G720" s="2">
        <v>0.52473499999999995</v>
      </c>
      <c r="H720" s="2">
        <v>0.56574899999999995</v>
      </c>
      <c r="I720" s="2">
        <v>0.49267699999999998</v>
      </c>
      <c r="J720" s="2">
        <v>0.44950800000000002</v>
      </c>
      <c r="K720" s="2">
        <v>0.69375900000000001</v>
      </c>
      <c r="L720" s="2">
        <f>AVERAGE(D720:K720)</f>
        <v>0.54990862499999993</v>
      </c>
      <c r="M720" s="2">
        <f xml:space="preserve"> _xlfn.STDEV.S(D720:K720) / SQRT(COUNT(D720:K720))</f>
        <v>3.157319149833665E-2</v>
      </c>
      <c r="N720" s="2">
        <f>M720*$N$2</f>
        <v>3.5335425476864871E-2</v>
      </c>
    </row>
    <row r="721" spans="2:14" x14ac:dyDescent="0.55000000000000004">
      <c r="C721" s="2" t="s">
        <v>25</v>
      </c>
      <c r="D721" s="2">
        <v>1.774E-3</v>
      </c>
      <c r="E721" s="2">
        <v>6.0650000000000001E-3</v>
      </c>
      <c r="F721" s="2">
        <v>3.774E-3</v>
      </c>
      <c r="G721" s="2">
        <v>9.6729999999999993E-3</v>
      </c>
      <c r="H721" s="2">
        <v>8.3000000000000001E-4</v>
      </c>
      <c r="I721" s="2">
        <v>2.5530000000000001E-3</v>
      </c>
      <c r="J721" s="2">
        <v>4.0130000000000001E-3</v>
      </c>
      <c r="K721" s="2">
        <v>1.1410000000000001E-3</v>
      </c>
      <c r="L721" s="2">
        <f>(1/COUNT(D721:K721))*SQRT(SUMSQ(D721:K721))</f>
        <v>1.641046088818044E-3</v>
      </c>
    </row>
    <row r="722" spans="2:14" x14ac:dyDescent="0.55000000000000004">
      <c r="C722" s="2" t="s">
        <v>26</v>
      </c>
      <c r="D722" s="2">
        <v>0.49800299999999997</v>
      </c>
      <c r="E722" s="2">
        <v>0.57798300000000002</v>
      </c>
      <c r="F722" s="2">
        <v>0.45546500000000001</v>
      </c>
      <c r="G722" s="2">
        <v>0.50435399999999997</v>
      </c>
      <c r="H722" s="2">
        <v>0.48410500000000001</v>
      </c>
      <c r="I722" s="2">
        <v>0.38558599999999998</v>
      </c>
      <c r="J722" s="2">
        <v>0.52019000000000004</v>
      </c>
      <c r="K722" s="2">
        <v>0.29960199999999998</v>
      </c>
      <c r="L722" s="2">
        <f>AVERAGE(D722:K722)</f>
        <v>0.46566099999999999</v>
      </c>
      <c r="M722" s="2">
        <f xml:space="preserve"> _xlfn.STDEV.S(D722:K722) / SQRT(COUNT(D722:K722))</f>
        <v>3.0637434325860677E-2</v>
      </c>
      <c r="N722" s="2">
        <f>M722*$N$2</f>
        <v>3.4288164295358768E-2</v>
      </c>
    </row>
    <row r="723" spans="2:14" x14ac:dyDescent="0.55000000000000004">
      <c r="C723" s="2" t="s">
        <v>27</v>
      </c>
      <c r="D723" s="2">
        <v>2.0049999999999998E-3</v>
      </c>
      <c r="E723" s="2">
        <v>6.3930000000000002E-3</v>
      </c>
      <c r="F723" s="2">
        <v>2.1350000000000002E-3</v>
      </c>
      <c r="G723" s="2">
        <v>1.1044999999999999E-2</v>
      </c>
      <c r="H723" s="2">
        <v>6.4499999999999996E-4</v>
      </c>
      <c r="I723" s="2">
        <v>2.379E-3</v>
      </c>
      <c r="J723" s="2">
        <v>3.9979999999999998E-3</v>
      </c>
      <c r="K723" s="2">
        <v>7.7499999999999997E-4</v>
      </c>
      <c r="L723" s="2">
        <f>(1/COUNT(D723:K723))*SQRT(SUMSQ(D723:K723))</f>
        <v>1.7415017719988113E-3</v>
      </c>
    </row>
    <row r="724" spans="2:14" x14ac:dyDescent="0.55000000000000004">
      <c r="C724" s="2" t="s">
        <v>28</v>
      </c>
      <c r="D724" s="2">
        <v>2.4813170000000002</v>
      </c>
      <c r="E724" s="2">
        <v>2.6991329999999998</v>
      </c>
      <c r="F724" s="2">
        <v>2.3868079999999998</v>
      </c>
      <c r="G724" s="2">
        <v>3.5188000000000001</v>
      </c>
      <c r="H724" s="2">
        <v>1.8723240000000001</v>
      </c>
      <c r="I724" s="2">
        <v>3.6993469999999999</v>
      </c>
      <c r="J724" s="2">
        <v>3.052117</v>
      </c>
      <c r="K724" s="2">
        <v>3.0699070000000002</v>
      </c>
      <c r="L724" s="2">
        <f>AVERAGE(D724:K724)</f>
        <v>2.8474691250000004</v>
      </c>
      <c r="M724" s="2">
        <f xml:space="preserve"> _xlfn.STDEV.S(D724:K724) / SQRT(COUNT(D724:K724))</f>
        <v>0.21493055731274055</v>
      </c>
      <c r="N724" s="2">
        <f>M724*$N$2</f>
        <v>0.2405414951803489</v>
      </c>
    </row>
    <row r="725" spans="2:14" x14ac:dyDescent="0.55000000000000004">
      <c r="C725" s="2" t="s">
        <v>29</v>
      </c>
      <c r="D725" s="2">
        <v>3.1022999999999998E-2</v>
      </c>
      <c r="E725" s="2">
        <v>4.2696999999999999E-2</v>
      </c>
      <c r="F725" s="2">
        <v>2.0981E-2</v>
      </c>
      <c r="G725" s="2">
        <v>0.177729</v>
      </c>
      <c r="H725" s="2">
        <v>6.4320000000000002E-3</v>
      </c>
      <c r="I725" s="2">
        <v>4.9644000000000001E-2</v>
      </c>
      <c r="J725" s="2">
        <v>3.6845000000000003E-2</v>
      </c>
      <c r="K725" s="2">
        <v>7.3210000000000003E-3</v>
      </c>
      <c r="L725" s="2">
        <f>(1/COUNT(D725:K725))*SQRT(SUMSQ(D725:K725))</f>
        <v>2.4600021775269834E-2</v>
      </c>
    </row>
    <row r="726" spans="2:14" x14ac:dyDescent="0.55000000000000004">
      <c r="C726" s="2" t="s">
        <v>30</v>
      </c>
      <c r="D726" s="2">
        <v>15.605475</v>
      </c>
      <c r="E726" s="2">
        <v>16.590975</v>
      </c>
      <c r="F726" s="2">
        <v>14.902524</v>
      </c>
      <c r="G726" s="2">
        <v>16.448747000000001</v>
      </c>
      <c r="H726" s="2">
        <v>11.787466999999999</v>
      </c>
      <c r="I726" s="2">
        <v>16.561160999999998</v>
      </c>
      <c r="J726" s="2">
        <v>18.481414000000001</v>
      </c>
      <c r="K726" s="2">
        <v>14.676125000000001</v>
      </c>
      <c r="L726" s="2">
        <f>AVERAGE(D726:K726)</f>
        <v>15.631735999999998</v>
      </c>
      <c r="M726" s="2">
        <f xml:space="preserve"> _xlfn.STDEV.S(D726:K726) / SQRT(COUNT(D726:K726))</f>
        <v>0.69173924531237385</v>
      </c>
      <c r="N726" s="2">
        <f>M726*$N$2</f>
        <v>0.77416629083714406</v>
      </c>
    </row>
    <row r="727" spans="2:14" x14ac:dyDescent="0.55000000000000004">
      <c r="C727" s="2" t="s">
        <v>31</v>
      </c>
      <c r="D727" s="2">
        <v>2.6168E-2</v>
      </c>
      <c r="E727" s="2">
        <v>2.7057000000000001E-2</v>
      </c>
      <c r="F727" s="2">
        <v>3.3457000000000001E-2</v>
      </c>
      <c r="G727" s="2">
        <v>0.38552500000000001</v>
      </c>
      <c r="H727" s="2">
        <v>4.4012999999999997E-2</v>
      </c>
      <c r="I727" s="2">
        <v>8.4981000000000001E-2</v>
      </c>
      <c r="J727" s="2">
        <v>7.0507E-2</v>
      </c>
      <c r="K727" s="2">
        <v>2.7217999999999999E-2</v>
      </c>
      <c r="L727" s="2">
        <f>(1/COUNT(D727:K727))*SQRT(SUMSQ(D727:K727))</f>
        <v>5.0934503447135418E-2</v>
      </c>
    </row>
    <row r="728" spans="2:14" x14ac:dyDescent="0.55000000000000004">
      <c r="B728" s="2" t="s">
        <v>33</v>
      </c>
      <c r="C728" s="2" t="s">
        <v>22</v>
      </c>
      <c r="D728" s="2">
        <v>0.85029999999999994</v>
      </c>
      <c r="E728" s="2">
        <v>0.90486999999999995</v>
      </c>
      <c r="F728" s="2">
        <v>0.75319400000000003</v>
      </c>
      <c r="G728" s="2">
        <v>0.85233499999999995</v>
      </c>
      <c r="H728" s="2">
        <v>0.83795600000000003</v>
      </c>
      <c r="I728" s="2">
        <v>0.88109999999999999</v>
      </c>
      <c r="J728" s="2">
        <v>0.86836599999999997</v>
      </c>
      <c r="K728" s="2">
        <v>0.74541900000000005</v>
      </c>
      <c r="L728" s="2">
        <f>AVERAGE(D728:K728)</f>
        <v>0.83669249999999995</v>
      </c>
      <c r="M728" s="2">
        <f xml:space="preserve"> _xlfn.STDEV.S(D728:K728) / SQRT(COUNT(D728:K728))</f>
        <v>2.0423073332805283E-2</v>
      </c>
      <c r="N728" s="2">
        <f>M728*$N$2</f>
        <v>2.2856668949602577E-2</v>
      </c>
    </row>
    <row r="729" spans="2:14" x14ac:dyDescent="0.55000000000000004">
      <c r="C729" s="2" t="s">
        <v>23</v>
      </c>
      <c r="D729" s="2">
        <v>1.8599999999999999E-4</v>
      </c>
      <c r="E729" s="2">
        <v>4.0400000000000001E-4</v>
      </c>
      <c r="F729" s="2">
        <v>4.86E-4</v>
      </c>
      <c r="G729" s="2">
        <v>3.79E-4</v>
      </c>
      <c r="H729" s="2">
        <v>2.0100000000000001E-4</v>
      </c>
      <c r="I729" s="2">
        <v>2.2800000000000001E-4</v>
      </c>
      <c r="J729" s="2">
        <v>4.73E-4</v>
      </c>
      <c r="K729" s="2">
        <v>1.95E-4</v>
      </c>
      <c r="L729" s="2">
        <f>(1/COUNT(D729:K729))*SQRT(SUMSQ(D729:K729))</f>
        <v>1.2066145822092488E-4</v>
      </c>
    </row>
    <row r="730" spans="2:14" x14ac:dyDescent="0.55000000000000004">
      <c r="C730" s="2" t="s">
        <v>24</v>
      </c>
      <c r="D730" s="2">
        <v>0.52729499999999996</v>
      </c>
      <c r="E730" s="2">
        <v>0.422323</v>
      </c>
      <c r="F730" s="2">
        <v>0.658003</v>
      </c>
      <c r="G730" s="2">
        <v>0.522262</v>
      </c>
      <c r="H730" s="2">
        <v>0.54668000000000005</v>
      </c>
      <c r="I730" s="2">
        <v>0.47579399999999999</v>
      </c>
      <c r="J730" s="2">
        <v>0.48927199999999998</v>
      </c>
      <c r="K730" s="2">
        <v>0.67735400000000001</v>
      </c>
      <c r="L730" s="2">
        <f>AVERAGE(D730:K730)</f>
        <v>0.53987287500000003</v>
      </c>
      <c r="M730" s="2">
        <f xml:space="preserve"> _xlfn.STDEV.S(D730:K730) / SQRT(COUNT(D730:K730))</f>
        <v>3.1011228627960241E-2</v>
      </c>
      <c r="N730" s="2">
        <f>M730*$N$2</f>
        <v>3.4706499600682963E-2</v>
      </c>
    </row>
    <row r="731" spans="2:14" x14ac:dyDescent="0.55000000000000004">
      <c r="C731" s="2" t="s">
        <v>25</v>
      </c>
      <c r="D731" s="2">
        <v>2.7399999999999999E-4</v>
      </c>
      <c r="E731" s="2">
        <v>8.9700000000000001E-4</v>
      </c>
      <c r="F731" s="2">
        <v>5.9699999999999998E-4</v>
      </c>
      <c r="G731" s="2">
        <v>6.5600000000000001E-4</v>
      </c>
      <c r="H731" s="2">
        <v>3.1500000000000001E-4</v>
      </c>
      <c r="I731" s="2">
        <v>4.6200000000000001E-4</v>
      </c>
      <c r="J731" s="2">
        <v>8.4400000000000002E-4</v>
      </c>
      <c r="K731" s="2">
        <v>2.34E-4</v>
      </c>
      <c r="L731" s="2">
        <f>(1/COUNT(D731:K731))*SQRT(SUMSQ(D731:K731))</f>
        <v>2.0714544256391449E-4</v>
      </c>
    </row>
    <row r="732" spans="2:14" x14ac:dyDescent="0.55000000000000004">
      <c r="C732" s="2" t="s">
        <v>26</v>
      </c>
      <c r="D732" s="2">
        <v>0.50378699999999998</v>
      </c>
      <c r="E732" s="2">
        <v>0.62048999999999999</v>
      </c>
      <c r="F732" s="2">
        <v>0.45991700000000002</v>
      </c>
      <c r="G732" s="2">
        <v>0.495087</v>
      </c>
      <c r="H732" s="2">
        <v>0.50100599999999995</v>
      </c>
      <c r="I732" s="2">
        <v>0.39865400000000001</v>
      </c>
      <c r="J732" s="2">
        <v>0.48081299999999999</v>
      </c>
      <c r="K732" s="2">
        <v>0.32050000000000001</v>
      </c>
      <c r="L732" s="2">
        <f>AVERAGE(D732:K732)</f>
        <v>0.47253174999999997</v>
      </c>
      <c r="M732" s="2">
        <f xml:space="preserve"> _xlfn.STDEV.S(D732:K732) / SQRT(COUNT(D732:K732))</f>
        <v>3.0760405493652564E-2</v>
      </c>
      <c r="N732" s="2">
        <f>M732*$N$2</f>
        <v>3.4425788600318315E-2</v>
      </c>
    </row>
    <row r="733" spans="2:14" x14ac:dyDescent="0.55000000000000004">
      <c r="C733" s="2" t="s">
        <v>27</v>
      </c>
      <c r="D733" s="2">
        <v>2.8800000000000001E-4</v>
      </c>
      <c r="E733" s="2">
        <v>8.92E-4</v>
      </c>
      <c r="F733" s="2">
        <v>3.3599999999999998E-4</v>
      </c>
      <c r="G733" s="2">
        <v>8.2899999999999998E-4</v>
      </c>
      <c r="H733" s="2">
        <v>2.7700000000000001E-4</v>
      </c>
      <c r="I733" s="2">
        <v>4.57E-4</v>
      </c>
      <c r="J733" s="2">
        <v>8.43E-4</v>
      </c>
      <c r="K733" s="2">
        <v>2.3699999999999999E-4</v>
      </c>
      <c r="L733" s="2">
        <f>(1/COUNT(D733:K733))*SQRT(SUMSQ(D733:K733))</f>
        <v>2.0657705130289764E-4</v>
      </c>
    </row>
    <row r="734" spans="2:14" x14ac:dyDescent="0.55000000000000004">
      <c r="C734" s="2" t="s">
        <v>28</v>
      </c>
      <c r="D734" s="2">
        <v>2.3128320000000002</v>
      </c>
      <c r="E734" s="2">
        <v>2.3772229999999999</v>
      </c>
      <c r="F734" s="2">
        <v>2.2759749999999999</v>
      </c>
      <c r="G734" s="2">
        <v>3.567698</v>
      </c>
      <c r="H734" s="2">
        <v>1.737066</v>
      </c>
      <c r="I734" s="2">
        <v>3.4222730000000001</v>
      </c>
      <c r="J734" s="2">
        <v>3.369014</v>
      </c>
      <c r="K734" s="2">
        <v>2.7238920000000002</v>
      </c>
      <c r="L734" s="2">
        <f>AVERAGE(D734:K734)</f>
        <v>2.7232466249999998</v>
      </c>
      <c r="M734" s="2">
        <f xml:space="preserve"> _xlfn.STDEV.S(D734:K734) / SQRT(COUNT(D734:K734))</f>
        <v>0.23450283892341414</v>
      </c>
      <c r="N734" s="2">
        <f>M734*$N$2</f>
        <v>0.26244599280779352</v>
      </c>
    </row>
    <row r="735" spans="2:14" x14ac:dyDescent="0.55000000000000004">
      <c r="C735" s="2" t="s">
        <v>29</v>
      </c>
      <c r="D735" s="2">
        <v>3.4719999999999998E-3</v>
      </c>
      <c r="E735" s="2">
        <v>5.2170000000000003E-3</v>
      </c>
      <c r="F735" s="2">
        <v>2.9120000000000001E-3</v>
      </c>
      <c r="G735" s="2">
        <v>1.0525E-2</v>
      </c>
      <c r="H735" s="2">
        <v>2.2499999999999998E-3</v>
      </c>
      <c r="I735" s="2">
        <v>6.94E-3</v>
      </c>
      <c r="J735" s="2">
        <v>8.0429999999999998E-3</v>
      </c>
      <c r="K735" s="2">
        <v>2.5479999999999999E-3</v>
      </c>
      <c r="L735" s="2">
        <f>(1/COUNT(D735:K735))*SQRT(SUMSQ(D735:K735))</f>
        <v>2.10258581498473E-3</v>
      </c>
    </row>
    <row r="736" spans="2:14" x14ac:dyDescent="0.55000000000000004">
      <c r="C736" s="2" t="s">
        <v>30</v>
      </c>
      <c r="D736" s="2">
        <v>13.880148</v>
      </c>
      <c r="E736" s="2">
        <v>16.112098</v>
      </c>
      <c r="F736" s="2">
        <v>13.950453</v>
      </c>
      <c r="G736" s="2">
        <v>16.424363</v>
      </c>
      <c r="H736" s="2">
        <v>10.863371000000001</v>
      </c>
      <c r="I736" s="2">
        <v>16.164603</v>
      </c>
      <c r="J736" s="2">
        <v>18.182807</v>
      </c>
      <c r="K736" s="2">
        <v>13.507222000000001</v>
      </c>
      <c r="L736" s="2">
        <f>AVERAGE(D736:K736)</f>
        <v>14.885633125</v>
      </c>
      <c r="M736" s="2">
        <f xml:space="preserve"> _xlfn.STDEV.S(D736:K736) / SQRT(COUNT(D736:K736))</f>
        <v>0.8055964655313641</v>
      </c>
      <c r="N736" s="2">
        <f>M736*$N$2</f>
        <v>0.90159063817507712</v>
      </c>
    </row>
    <row r="737" spans="2:14" x14ac:dyDescent="0.55000000000000004">
      <c r="C737" s="2" t="s">
        <v>31</v>
      </c>
      <c r="D737" s="2">
        <v>8.6890000000000005E-3</v>
      </c>
      <c r="E737" s="2">
        <v>6.1469999999999997E-3</v>
      </c>
      <c r="F737" s="2">
        <v>1.1731999999999999E-2</v>
      </c>
      <c r="G737" s="2">
        <v>3.0879E-2</v>
      </c>
      <c r="H737" s="2">
        <v>1.3835E-2</v>
      </c>
      <c r="I737" s="2">
        <v>1.1211E-2</v>
      </c>
      <c r="J737" s="2">
        <v>2.0865999999999999E-2</v>
      </c>
      <c r="K737" s="2">
        <v>1.0699999999999999E-2</v>
      </c>
      <c r="L737" s="2">
        <f>(1/COUNT(D737:K737))*SQRT(SUMSQ(D737:K737))</f>
        <v>5.6890938659530828E-3</v>
      </c>
    </row>
    <row r="738" spans="2:14" x14ac:dyDescent="0.55000000000000004">
      <c r="B738" s="2" t="s">
        <v>34</v>
      </c>
      <c r="C738" s="2" t="s">
        <v>22</v>
      </c>
      <c r="D738" s="2">
        <v>0.81877900000000003</v>
      </c>
      <c r="E738" s="2">
        <v>0.87942299999999995</v>
      </c>
      <c r="F738" s="2">
        <v>0.75797899999999996</v>
      </c>
      <c r="G738" s="2">
        <v>0.842256</v>
      </c>
      <c r="H738" s="2">
        <v>0.81800399999999995</v>
      </c>
      <c r="I738" s="2">
        <v>0.874089</v>
      </c>
      <c r="J738" s="2">
        <v>0.88763499999999995</v>
      </c>
      <c r="K738" s="2">
        <v>0.74189700000000003</v>
      </c>
      <c r="L738" s="2">
        <f>AVERAGE(D738:K738)</f>
        <v>0.82750774999999988</v>
      </c>
      <c r="M738" s="2">
        <f xml:space="preserve"> _xlfn.STDEV.S(D738:K738) / SQRT(COUNT(D738:K738))</f>
        <v>1.9377713191364596E-2</v>
      </c>
      <c r="N738" s="2">
        <f>M738*$N$2</f>
        <v>2.1686744604884105E-2</v>
      </c>
    </row>
    <row r="739" spans="2:14" x14ac:dyDescent="0.55000000000000004">
      <c r="C739" s="2" t="s">
        <v>23</v>
      </c>
      <c r="D739" s="2">
        <v>8.6910000000000008E-3</v>
      </c>
      <c r="E739" s="2">
        <v>3.506E-3</v>
      </c>
      <c r="F739" s="2">
        <v>4.2440000000000004E-3</v>
      </c>
      <c r="G739" s="2">
        <v>3.4619999999999998E-3</v>
      </c>
      <c r="H739" s="2">
        <v>1.2700000000000001E-3</v>
      </c>
      <c r="I739" s="2">
        <v>1.3339999999999999E-3</v>
      </c>
      <c r="J739" s="2">
        <v>3.3140000000000001E-3</v>
      </c>
      <c r="K739" s="2">
        <v>5.7300000000000005E-4</v>
      </c>
      <c r="L739" s="2">
        <f>(1/COUNT(D739:K739))*SQRT(SUMSQ(D739:K739))</f>
        <v>1.4389985558540357E-3</v>
      </c>
    </row>
    <row r="740" spans="2:14" x14ac:dyDescent="0.55000000000000004">
      <c r="C740" s="2" t="s">
        <v>24</v>
      </c>
      <c r="D740" s="2">
        <v>0.57628100000000004</v>
      </c>
      <c r="E740" s="2">
        <v>0.47185199999999999</v>
      </c>
      <c r="F740" s="2">
        <v>0.65240200000000004</v>
      </c>
      <c r="G740" s="2">
        <v>0.53878099999999995</v>
      </c>
      <c r="H740" s="2">
        <v>0.57524900000000001</v>
      </c>
      <c r="I740" s="2">
        <v>0.48695899999999998</v>
      </c>
      <c r="J740" s="2">
        <v>0.45422899999999999</v>
      </c>
      <c r="K740" s="2">
        <v>0.68185300000000004</v>
      </c>
      <c r="L740" s="2">
        <f>AVERAGE(D740:K740)</f>
        <v>0.55470074999999996</v>
      </c>
      <c r="M740" s="2">
        <f xml:space="preserve"> _xlfn.STDEV.S(D740:K740) / SQRT(COUNT(D740:K740))</f>
        <v>2.9399355482943861E-2</v>
      </c>
      <c r="N740" s="2">
        <f>M740*$N$2</f>
        <v>3.2902557056677335E-2</v>
      </c>
    </row>
    <row r="741" spans="2:14" x14ac:dyDescent="0.55000000000000004">
      <c r="C741" s="2" t="s">
        <v>25</v>
      </c>
      <c r="D741" s="2">
        <v>1.2283000000000001E-2</v>
      </c>
      <c r="E741" s="2">
        <v>6.2870000000000001E-3</v>
      </c>
      <c r="F741" s="2">
        <v>4.9529999999999999E-3</v>
      </c>
      <c r="G741" s="2">
        <v>5.4679999999999998E-3</v>
      </c>
      <c r="H741" s="2">
        <v>1.732E-3</v>
      </c>
      <c r="I741" s="2">
        <v>2.4350000000000001E-3</v>
      </c>
      <c r="J741" s="2">
        <v>6.0740000000000004E-3</v>
      </c>
      <c r="K741" s="2">
        <v>6.96E-4</v>
      </c>
      <c r="L741" s="2">
        <f>(1/COUNT(D741:K741))*SQRT(SUMSQ(D741:K741))</f>
        <v>2.1328407992628052E-3</v>
      </c>
    </row>
    <row r="742" spans="2:14" x14ac:dyDescent="0.55000000000000004">
      <c r="C742" s="2" t="s">
        <v>26</v>
      </c>
      <c r="D742" s="2">
        <v>0.46188699999999999</v>
      </c>
      <c r="E742" s="2">
        <v>0.572963</v>
      </c>
      <c r="F742" s="2">
        <v>0.46304899999999999</v>
      </c>
      <c r="G742" s="2">
        <v>0.47038600000000003</v>
      </c>
      <c r="H742" s="2">
        <v>0.47664499999999999</v>
      </c>
      <c r="I742" s="2">
        <v>0.38659399999999999</v>
      </c>
      <c r="J742" s="2">
        <v>0.51553199999999999</v>
      </c>
      <c r="K742" s="2">
        <v>0.31564799999999998</v>
      </c>
      <c r="L742" s="2">
        <f>AVERAGE(D742:K742)</f>
        <v>0.45783800000000002</v>
      </c>
      <c r="M742" s="2">
        <f xml:space="preserve"> _xlfn.STDEV.S(D742:K742) / SQRT(COUNT(D742:K742))</f>
        <v>2.7526211979285634E-2</v>
      </c>
      <c r="N742" s="2">
        <f>M742*$N$2</f>
        <v>3.0806211405827445E-2</v>
      </c>
    </row>
    <row r="743" spans="2:14" x14ac:dyDescent="0.55000000000000004">
      <c r="C743" s="2" t="s">
        <v>27</v>
      </c>
      <c r="D743" s="2">
        <v>1.3717E-2</v>
      </c>
      <c r="E743" s="2">
        <v>6.9829999999999996E-3</v>
      </c>
      <c r="F743" s="2">
        <v>3.0209999999999998E-3</v>
      </c>
      <c r="G743" s="2">
        <v>6.1659999999999996E-3</v>
      </c>
      <c r="H743" s="2">
        <v>1.407E-3</v>
      </c>
      <c r="I743" s="2">
        <v>2.349E-3</v>
      </c>
      <c r="J743" s="2">
        <v>5.8370000000000002E-3</v>
      </c>
      <c r="K743" s="2">
        <v>5.2499999999999997E-4</v>
      </c>
      <c r="L743" s="2">
        <f>(1/COUNT(D743:K743))*SQRT(SUMSQ(D743:K743))</f>
        <v>2.2566153409198917E-3</v>
      </c>
    </row>
    <row r="744" spans="2:14" x14ac:dyDescent="0.55000000000000004">
      <c r="C744" s="2" t="s">
        <v>28</v>
      </c>
      <c r="D744" s="2">
        <v>3.0119579999999999</v>
      </c>
      <c r="E744" s="2">
        <v>2.840338</v>
      </c>
      <c r="F744" s="2">
        <v>2.2662879999999999</v>
      </c>
      <c r="G744" s="2">
        <v>3.819947</v>
      </c>
      <c r="H744" s="2">
        <v>1.9399679999999999</v>
      </c>
      <c r="I744" s="2">
        <v>3.567091</v>
      </c>
      <c r="J744" s="2">
        <v>3.1014910000000002</v>
      </c>
      <c r="K744" s="2">
        <v>2.7697889999999998</v>
      </c>
      <c r="L744" s="2">
        <f>AVERAGE(D744:K744)</f>
        <v>2.9146087500000002</v>
      </c>
      <c r="M744" s="2">
        <f xml:space="preserve"> _xlfn.STDEV.S(D744:K744) / SQRT(COUNT(D744:K744))</f>
        <v>0.21902811202704911</v>
      </c>
      <c r="N744" s="2">
        <f>M744*$N$2</f>
        <v>0.24512731094282747</v>
      </c>
    </row>
    <row r="745" spans="2:14" x14ac:dyDescent="0.55000000000000004">
      <c r="C745" s="2" t="s">
        <v>29</v>
      </c>
      <c r="D745" s="2">
        <v>0.22816400000000001</v>
      </c>
      <c r="E745" s="2">
        <v>5.2819999999999999E-2</v>
      </c>
      <c r="F745" s="2">
        <v>2.486E-2</v>
      </c>
      <c r="G745" s="2">
        <v>8.8263999999999995E-2</v>
      </c>
      <c r="H745" s="2">
        <v>1.3112E-2</v>
      </c>
      <c r="I745" s="2">
        <v>5.4199999999999998E-2</v>
      </c>
      <c r="J745" s="2">
        <v>6.1941999999999997E-2</v>
      </c>
      <c r="K745" s="2">
        <v>4.823E-3</v>
      </c>
      <c r="L745" s="2">
        <f>(1/COUNT(D745:K745))*SQRT(SUMSQ(D745:K745))</f>
        <v>3.3125460805521263E-2</v>
      </c>
    </row>
    <row r="746" spans="2:14" x14ac:dyDescent="0.55000000000000004">
      <c r="C746" s="2" t="s">
        <v>30</v>
      </c>
      <c r="D746" s="2">
        <v>16.026052</v>
      </c>
      <c r="E746" s="2">
        <v>17.125139000000001</v>
      </c>
      <c r="F746" s="2">
        <v>14.162464999999999</v>
      </c>
      <c r="G746" s="2">
        <v>18.007059000000002</v>
      </c>
      <c r="H746" s="2">
        <v>12.096294</v>
      </c>
      <c r="I746" s="2">
        <v>16.219929</v>
      </c>
      <c r="J746" s="2">
        <v>18.473545000000001</v>
      </c>
      <c r="K746" s="2">
        <v>13.629033</v>
      </c>
      <c r="L746" s="2">
        <f>AVERAGE(D746:K746)</f>
        <v>15.717439499999998</v>
      </c>
      <c r="M746" s="2">
        <f xml:space="preserve"> _xlfn.STDEV.S(D746:K746) / SQRT(COUNT(D746:K746))</f>
        <v>0.7912457670168912</v>
      </c>
      <c r="N746" s="2">
        <f>M746*$N$2</f>
        <v>0.88552992293424282</v>
      </c>
    </row>
    <row r="747" spans="2:14" x14ac:dyDescent="0.55000000000000004">
      <c r="C747" s="2" t="s">
        <v>31</v>
      </c>
      <c r="D747" s="2">
        <v>0.21642900000000001</v>
      </c>
      <c r="E747" s="2">
        <v>4.9405999999999999E-2</v>
      </c>
      <c r="F747" s="2">
        <v>6.4512E-2</v>
      </c>
      <c r="G747" s="2">
        <v>0.26898899999999998</v>
      </c>
      <c r="H747" s="2">
        <v>7.6344999999999996E-2</v>
      </c>
      <c r="I747" s="2">
        <v>0.102871</v>
      </c>
      <c r="J747" s="2">
        <v>0.113695</v>
      </c>
      <c r="K747" s="2">
        <v>2.2409999999999999E-2</v>
      </c>
      <c r="L747" s="2">
        <f>(1/COUNT(D747:K747))*SQRT(SUMSQ(D747:K747))</f>
        <v>4.9313903328099318E-2</v>
      </c>
    </row>
    <row r="748" spans="2:14" x14ac:dyDescent="0.55000000000000004">
      <c r="B748" s="2" t="s">
        <v>35</v>
      </c>
      <c r="C748" s="2" t="s">
        <v>22</v>
      </c>
      <c r="D748" s="2">
        <v>0.72955300000000001</v>
      </c>
      <c r="E748" s="2">
        <v>0.87313099999999999</v>
      </c>
      <c r="F748" s="2">
        <v>0.71799199999999996</v>
      </c>
      <c r="G748" s="2">
        <v>0.83243999999999996</v>
      </c>
      <c r="H748" s="2">
        <v>0.81696800000000003</v>
      </c>
      <c r="I748" s="2">
        <v>0.855935</v>
      </c>
      <c r="J748" s="2">
        <v>0.85624299999999998</v>
      </c>
      <c r="K748" s="2">
        <v>0.72955300000000001</v>
      </c>
      <c r="L748" s="2">
        <f>AVERAGE(D748:K748)</f>
        <v>0.80147687499999998</v>
      </c>
      <c r="M748" s="2">
        <f xml:space="preserve"> _xlfn.STDEV.S(D748:K748) / SQRT(COUNT(D748:K748))</f>
        <v>2.2996052247720927E-2</v>
      </c>
      <c r="N748" s="2">
        <f>M748*$N$2</f>
        <v>2.5736241789311737E-2</v>
      </c>
    </row>
    <row r="749" spans="2:14" x14ac:dyDescent="0.55000000000000004">
      <c r="C749" s="2" t="s">
        <v>23</v>
      </c>
      <c r="D749" s="2">
        <v>2.8699999999999998E-4</v>
      </c>
      <c r="E749" s="2">
        <v>9.3899999999999995E-4</v>
      </c>
      <c r="F749" s="2">
        <v>7.45E-4</v>
      </c>
      <c r="G749" s="2">
        <v>9.2800000000000001E-4</v>
      </c>
      <c r="H749" s="2">
        <v>7.8700000000000005E-4</v>
      </c>
      <c r="I749" s="2">
        <v>6.3400000000000001E-4</v>
      </c>
      <c r="J749" s="2">
        <v>8.52E-4</v>
      </c>
      <c r="K749" s="2">
        <v>2.8699999999999998E-4</v>
      </c>
      <c r="L749" s="2">
        <f>(1/COUNT(D749:K749))*SQRT(SUMSQ(D749:K749))</f>
        <v>2.5647541914382364E-4</v>
      </c>
    </row>
    <row r="750" spans="2:14" x14ac:dyDescent="0.55000000000000004">
      <c r="C750" s="2" t="s">
        <v>24</v>
      </c>
      <c r="D750" s="2">
        <v>0.69751099999999999</v>
      </c>
      <c r="E750" s="2">
        <v>0.47907300000000003</v>
      </c>
      <c r="F750" s="2">
        <v>0.69609100000000002</v>
      </c>
      <c r="G750" s="2">
        <v>0.55441499999999999</v>
      </c>
      <c r="H750" s="2">
        <v>0.57701599999999997</v>
      </c>
      <c r="I750" s="2">
        <v>0.52144199999999996</v>
      </c>
      <c r="J750" s="2">
        <v>0.50568500000000005</v>
      </c>
      <c r="K750" s="2">
        <v>0.69751099999999999</v>
      </c>
      <c r="L750" s="2">
        <f>AVERAGE(D750:K750)</f>
        <v>0.59109300000000009</v>
      </c>
      <c r="M750" s="2">
        <f xml:space="preserve"> _xlfn.STDEV.S(D750:K750) / SQRT(COUNT(D750:K750))</f>
        <v>3.2708634653449531E-2</v>
      </c>
      <c r="N750" s="2">
        <f>M750*$N$2</f>
        <v>3.6606167048644882E-2</v>
      </c>
    </row>
    <row r="751" spans="2:14" x14ac:dyDescent="0.55000000000000004">
      <c r="C751" s="2" t="s">
        <v>25</v>
      </c>
      <c r="D751" s="2">
        <v>3.86E-4</v>
      </c>
      <c r="E751" s="2">
        <v>1.9889999999999999E-3</v>
      </c>
      <c r="F751" s="2">
        <v>6.9200000000000002E-4</v>
      </c>
      <c r="G751" s="2">
        <v>1.5039999999999999E-3</v>
      </c>
      <c r="H751" s="2">
        <v>1.1249999999999999E-3</v>
      </c>
      <c r="I751" s="2">
        <v>1.121E-3</v>
      </c>
      <c r="J751" s="2">
        <v>1.5590000000000001E-3</v>
      </c>
      <c r="K751" s="2">
        <v>3.86E-4</v>
      </c>
      <c r="L751" s="2">
        <f>(1/COUNT(D751:K751))*SQRT(SUMSQ(D751:K751))</f>
        <v>4.3206878792618195E-4</v>
      </c>
    </row>
    <row r="752" spans="2:14" x14ac:dyDescent="0.55000000000000004">
      <c r="C752" s="2" t="s">
        <v>26</v>
      </c>
      <c r="D752" s="2">
        <v>0.28957500000000003</v>
      </c>
      <c r="E752" s="2">
        <v>0.56206299999999998</v>
      </c>
      <c r="F752" s="2">
        <v>0.43831700000000001</v>
      </c>
      <c r="G752" s="2">
        <v>0.457764</v>
      </c>
      <c r="H752" s="2">
        <v>0.47515400000000002</v>
      </c>
      <c r="I752" s="2">
        <v>0.35678700000000002</v>
      </c>
      <c r="J752" s="2">
        <v>0.46413100000000002</v>
      </c>
      <c r="K752" s="2">
        <v>0.28957500000000003</v>
      </c>
      <c r="L752" s="2">
        <f>AVERAGE(D752:K752)</f>
        <v>0.41667075000000003</v>
      </c>
      <c r="M752" s="2">
        <f xml:space="preserve"> _xlfn.STDEV.S(D752:K752) / SQRT(COUNT(D752:K752))</f>
        <v>3.4032969940270462E-2</v>
      </c>
      <c r="N752" s="2">
        <f>M752*$N$2</f>
        <v>3.8088308973901593E-2</v>
      </c>
    </row>
    <row r="753" spans="2:14" x14ac:dyDescent="0.55000000000000004">
      <c r="C753" s="2" t="s">
        <v>27</v>
      </c>
      <c r="D753" s="2">
        <v>2.2499999999999999E-4</v>
      </c>
      <c r="E753" s="2">
        <v>1.993E-3</v>
      </c>
      <c r="F753" s="2">
        <v>4.0099999999999999E-4</v>
      </c>
      <c r="G753" s="2">
        <v>1.745E-3</v>
      </c>
      <c r="H753" s="2">
        <v>9.1E-4</v>
      </c>
      <c r="I753" s="2">
        <v>9.3899999999999995E-4</v>
      </c>
      <c r="J753" s="2">
        <v>1.5809999999999999E-3</v>
      </c>
      <c r="K753" s="2">
        <v>2.2499999999999999E-4</v>
      </c>
      <c r="L753" s="2">
        <f>(1/COUNT(D753:K753))*SQRT(SUMSQ(D753:K753))</f>
        <v>4.2368375219613974E-4</v>
      </c>
    </row>
    <row r="754" spans="2:14" x14ac:dyDescent="0.55000000000000004">
      <c r="C754" s="2" t="s">
        <v>28</v>
      </c>
      <c r="D754" s="2">
        <v>3.1655519999999999</v>
      </c>
      <c r="E754" s="2">
        <v>2.8546040000000001</v>
      </c>
      <c r="F754" s="2">
        <v>2.5049760000000001</v>
      </c>
      <c r="G754" s="2">
        <v>3.9426190000000001</v>
      </c>
      <c r="H754" s="2">
        <v>1.951292</v>
      </c>
      <c r="I754" s="2">
        <v>4.2566119999999996</v>
      </c>
      <c r="J754" s="2">
        <v>3.6491359999999999</v>
      </c>
      <c r="K754" s="2">
        <v>3.1655519999999999</v>
      </c>
      <c r="L754" s="2">
        <f>AVERAGE(D754:K754)</f>
        <v>3.1862928749999995</v>
      </c>
      <c r="M754" s="2">
        <f xml:space="preserve"> _xlfn.STDEV.S(D754:K754) / SQRT(COUNT(D754:K754))</f>
        <v>0.26833260670757175</v>
      </c>
      <c r="N754" s="2">
        <f>M754*$N$2</f>
        <v>0.30030688623377871</v>
      </c>
    </row>
    <row r="755" spans="2:14" x14ac:dyDescent="0.55000000000000004">
      <c r="C755" s="2" t="s">
        <v>29</v>
      </c>
      <c r="D755" s="2">
        <v>1.9170000000000001E-3</v>
      </c>
      <c r="E755" s="2">
        <v>1.2031999999999999E-2</v>
      </c>
      <c r="F755" s="2">
        <v>5.1269999999999996E-3</v>
      </c>
      <c r="G755" s="2">
        <v>2.3001000000000001E-2</v>
      </c>
      <c r="H755" s="2">
        <v>7.7159999999999998E-3</v>
      </c>
      <c r="I755" s="2">
        <v>1.9206999999999998E-2</v>
      </c>
      <c r="J755" s="2">
        <v>1.6556999999999999E-2</v>
      </c>
      <c r="K755" s="2">
        <v>1.9170000000000001E-3</v>
      </c>
      <c r="L755" s="2">
        <f>(1/COUNT(D755:K755))*SQRT(SUMSQ(D755:K755))</f>
        <v>4.6937969138800629E-3</v>
      </c>
    </row>
    <row r="756" spans="2:14" x14ac:dyDescent="0.55000000000000004">
      <c r="C756" s="2" t="s">
        <v>30</v>
      </c>
      <c r="D756" s="2">
        <v>14.759605000000001</v>
      </c>
      <c r="E756" s="2">
        <v>16.566628000000001</v>
      </c>
      <c r="F756" s="2">
        <v>14.386620000000001</v>
      </c>
      <c r="G756" s="2">
        <v>16.731145999999999</v>
      </c>
      <c r="H756" s="2">
        <v>12.304244000000001</v>
      </c>
      <c r="I756" s="2">
        <v>17.660698</v>
      </c>
      <c r="J756" s="2">
        <v>19.077338000000001</v>
      </c>
      <c r="K756" s="2">
        <v>14.759605000000001</v>
      </c>
      <c r="L756" s="2">
        <f>AVERAGE(D756:K756)</f>
        <v>15.780735499999999</v>
      </c>
      <c r="M756" s="2">
        <f xml:space="preserve"> _xlfn.STDEV.S(D756:K756) / SQRT(COUNT(D756:K756))</f>
        <v>0.75637434464703046</v>
      </c>
      <c r="N756" s="2">
        <f>M756*$N$2</f>
        <v>0.84650325227006851</v>
      </c>
    </row>
    <row r="757" spans="2:14" x14ac:dyDescent="0.55000000000000004">
      <c r="C757" s="2" t="s">
        <v>31</v>
      </c>
      <c r="D757" s="2">
        <v>1.3958E-2</v>
      </c>
      <c r="E757" s="2">
        <v>2.1786E-2</v>
      </c>
      <c r="F757" s="2">
        <v>2.0778000000000001E-2</v>
      </c>
      <c r="G757" s="2">
        <v>6.2460000000000002E-2</v>
      </c>
      <c r="H757" s="2">
        <v>3.3763000000000001E-2</v>
      </c>
      <c r="I757" s="2">
        <v>4.1280999999999998E-2</v>
      </c>
      <c r="J757" s="2">
        <v>3.9231000000000002E-2</v>
      </c>
      <c r="K757" s="2">
        <v>1.3958E-2</v>
      </c>
      <c r="L757" s="2">
        <f>(1/COUNT(D757:K757))*SQRT(SUMSQ(D757:K757))</f>
        <v>1.2234933782897028E-2</v>
      </c>
    </row>
    <row r="758" spans="2:14" x14ac:dyDescent="0.55000000000000004">
      <c r="B758" s="2" t="s">
        <v>45</v>
      </c>
      <c r="C758" s="2" t="s">
        <v>22</v>
      </c>
      <c r="D758" s="2">
        <v>0.80945699999999998</v>
      </c>
      <c r="E758" s="2">
        <v>0.845885</v>
      </c>
      <c r="F758" s="2">
        <v>0.69130199999999997</v>
      </c>
      <c r="G758" s="2">
        <v>0.82422899999999999</v>
      </c>
      <c r="H758" s="2">
        <v>0.82491499999999995</v>
      </c>
      <c r="I758" s="2">
        <v>0.84865199999999996</v>
      </c>
      <c r="J758" s="2">
        <v>0.85355899999999996</v>
      </c>
      <c r="K758" s="2">
        <v>0.73086099999999998</v>
      </c>
      <c r="L758" s="2">
        <f>AVERAGE(D758:K758)</f>
        <v>0.80360749999999992</v>
      </c>
      <c r="M758" s="2">
        <f xml:space="preserve"> _xlfn.STDEV.S(D758:K758) / SQRT(COUNT(D758:K758))</f>
        <v>2.1183550474702904E-2</v>
      </c>
      <c r="N758" s="2">
        <f>M758*$N$2</f>
        <v>2.370776388486746E-2</v>
      </c>
    </row>
    <row r="759" spans="2:14" x14ac:dyDescent="0.55000000000000004">
      <c r="C759" s="2" t="s">
        <v>23</v>
      </c>
      <c r="D759" s="2">
        <v>2.627E-3</v>
      </c>
      <c r="E759" s="2">
        <v>3.2759999999999998E-3</v>
      </c>
      <c r="F759" s="2">
        <v>9.8259999999999997E-3</v>
      </c>
      <c r="G759" s="2">
        <v>6.9810000000000002E-3</v>
      </c>
      <c r="H759" s="2">
        <v>3.1670000000000001E-3</v>
      </c>
      <c r="I759" s="2">
        <v>3.026E-3</v>
      </c>
      <c r="J759" s="2">
        <v>4.8209999999999998E-3</v>
      </c>
      <c r="K759" s="2">
        <v>3.3890000000000001E-3</v>
      </c>
      <c r="L759" s="2">
        <f>(1/COUNT(D759:K759))*SQRT(SUMSQ(D759:K759))</f>
        <v>1.8406515023558915E-3</v>
      </c>
    </row>
    <row r="760" spans="2:14" x14ac:dyDescent="0.55000000000000004">
      <c r="C760" s="2" t="s">
        <v>24</v>
      </c>
      <c r="D760" s="2">
        <v>0.58474099999999996</v>
      </c>
      <c r="E760" s="2">
        <v>0.52125699999999997</v>
      </c>
      <c r="F760" s="2">
        <v>0.72567700000000002</v>
      </c>
      <c r="G760" s="2">
        <v>0.55878799999999995</v>
      </c>
      <c r="H760" s="2">
        <v>0.56451899999999999</v>
      </c>
      <c r="I760" s="2">
        <v>0.52915599999999996</v>
      </c>
      <c r="J760" s="2">
        <v>0.50672399999999995</v>
      </c>
      <c r="K760" s="2">
        <v>0.692021</v>
      </c>
      <c r="L760" s="2">
        <f>AVERAGE(D760:K760)</f>
        <v>0.58536037500000004</v>
      </c>
      <c r="M760" s="2">
        <f xml:space="preserve"> _xlfn.STDEV.S(D760:K760) / SQRT(COUNT(D760:K760))</f>
        <v>2.8553813779509381E-2</v>
      </c>
      <c r="N760" s="2">
        <f>M760*$N$2</f>
        <v>3.1956261340868423E-2</v>
      </c>
    </row>
    <row r="761" spans="2:14" x14ac:dyDescent="0.55000000000000004">
      <c r="C761" s="2" t="s">
        <v>25</v>
      </c>
      <c r="D761" s="2">
        <v>4.052E-3</v>
      </c>
      <c r="E761" s="2">
        <v>4.6010000000000001E-3</v>
      </c>
      <c r="F761" s="2">
        <v>1.1044E-2</v>
      </c>
      <c r="G761" s="2">
        <v>1.1235999999999999E-2</v>
      </c>
      <c r="H761" s="2">
        <v>4.4809999999999997E-3</v>
      </c>
      <c r="I761" s="2">
        <v>4.8079999999999998E-3</v>
      </c>
      <c r="J761" s="2">
        <v>9.0410000000000004E-3</v>
      </c>
      <c r="K761" s="2">
        <v>4.2059999999999997E-3</v>
      </c>
      <c r="L761" s="2">
        <f>(1/COUNT(D761:K761))*SQRT(SUMSQ(D761:K761))</f>
        <v>2.5873245079376882E-3</v>
      </c>
    </row>
    <row r="762" spans="2:14" x14ac:dyDescent="0.55000000000000004">
      <c r="C762" s="2" t="s">
        <v>26</v>
      </c>
      <c r="D762" s="2">
        <v>0.44532699999999997</v>
      </c>
      <c r="E762" s="2">
        <v>0.52062900000000001</v>
      </c>
      <c r="F762" s="2">
        <v>0.41628700000000002</v>
      </c>
      <c r="G762" s="2">
        <v>0.461119</v>
      </c>
      <c r="H762" s="2">
        <v>0.48508400000000002</v>
      </c>
      <c r="I762" s="2">
        <v>0.35367900000000002</v>
      </c>
      <c r="J762" s="2">
        <v>0.468551</v>
      </c>
      <c r="K762" s="2">
        <v>0.29412899999999997</v>
      </c>
      <c r="L762" s="2">
        <f>AVERAGE(D762:K762)</f>
        <v>0.43060062500000001</v>
      </c>
      <c r="M762" s="2">
        <f xml:space="preserve"> _xlfn.STDEV.S(D762:K762) / SQRT(COUNT(D762:K762))</f>
        <v>2.6188988769776496E-2</v>
      </c>
      <c r="N762" s="2">
        <f>M762*$N$2</f>
        <v>2.9309645844248614E-2</v>
      </c>
    </row>
    <row r="763" spans="2:14" x14ac:dyDescent="0.55000000000000004">
      <c r="C763" s="2" t="s">
        <v>27</v>
      </c>
      <c r="D763" s="2">
        <v>4.9789999999999999E-3</v>
      </c>
      <c r="E763" s="2">
        <v>4.4060000000000002E-3</v>
      </c>
      <c r="F763" s="2">
        <v>6.1609999999999998E-3</v>
      </c>
      <c r="G763" s="2">
        <v>1.1252E-2</v>
      </c>
      <c r="H763" s="2">
        <v>3.2130000000000001E-3</v>
      </c>
      <c r="I763" s="2">
        <v>3.179E-3</v>
      </c>
      <c r="J763" s="2">
        <v>7.5550000000000001E-3</v>
      </c>
      <c r="K763" s="2">
        <v>4.0099999999999997E-3</v>
      </c>
      <c r="L763" s="2">
        <f>(1/COUNT(D763:K763))*SQRT(SUMSQ(D763:K763))</f>
        <v>2.1735492180130177E-3</v>
      </c>
    </row>
    <row r="764" spans="2:14" x14ac:dyDescent="0.55000000000000004">
      <c r="C764" s="2" t="s">
        <v>28</v>
      </c>
      <c r="D764" s="2">
        <v>3.4267460000000001</v>
      </c>
      <c r="E764" s="2">
        <v>3.455292</v>
      </c>
      <c r="F764" s="2">
        <v>2.6891530000000001</v>
      </c>
      <c r="G764" s="2">
        <v>4.2549159999999997</v>
      </c>
      <c r="H764" s="2">
        <v>1.8618159999999999</v>
      </c>
      <c r="I764" s="2">
        <v>4.6708100000000004</v>
      </c>
      <c r="J764" s="2">
        <v>3.7281589999999998</v>
      </c>
      <c r="K764" s="2">
        <v>3.108136</v>
      </c>
      <c r="L764" s="2">
        <f>AVERAGE(D764:K764)</f>
        <v>3.3993785000000001</v>
      </c>
      <c r="M764" s="2">
        <f xml:space="preserve"> _xlfn.STDEV.S(D764:K764) / SQRT(COUNT(D764:K764))</f>
        <v>0.31092590084984145</v>
      </c>
      <c r="N764" s="2">
        <f>M764*$N$2</f>
        <v>0.34797556018008047</v>
      </c>
    </row>
    <row r="765" spans="2:14" x14ac:dyDescent="0.55000000000000004">
      <c r="C765" s="2" t="s">
        <v>29</v>
      </c>
      <c r="D765" s="2">
        <v>6.6442000000000001E-2</v>
      </c>
      <c r="E765" s="2">
        <v>8.9665999999999996E-2</v>
      </c>
      <c r="F765" s="2">
        <v>6.8185999999999997E-2</v>
      </c>
      <c r="G765" s="2">
        <v>0.21055399999999999</v>
      </c>
      <c r="H765" s="2">
        <v>2.6081E-2</v>
      </c>
      <c r="I765" s="2">
        <v>0.11788899999999999</v>
      </c>
      <c r="J765" s="2">
        <v>0.10384400000000001</v>
      </c>
      <c r="K765" s="2">
        <v>5.8647999999999999E-2</v>
      </c>
      <c r="L765" s="2">
        <f>(1/COUNT(D765:K765))*SQRT(SUMSQ(D765:K765))</f>
        <v>3.7549560490520391E-2</v>
      </c>
    </row>
    <row r="766" spans="2:14" x14ac:dyDescent="0.55000000000000004">
      <c r="C766" s="2" t="s">
        <v>30</v>
      </c>
      <c r="D766" s="2">
        <v>15.666084</v>
      </c>
      <c r="E766" s="2">
        <v>17.316407999999999</v>
      </c>
      <c r="F766" s="2">
        <v>15.302205000000001</v>
      </c>
      <c r="G766" s="2">
        <v>17.202207000000001</v>
      </c>
      <c r="H766" s="2">
        <v>11.588409</v>
      </c>
      <c r="I766" s="2">
        <v>17.938300999999999</v>
      </c>
      <c r="J766" s="2">
        <v>18.878022999999999</v>
      </c>
      <c r="K766" s="2">
        <v>14.477892000000001</v>
      </c>
      <c r="L766" s="2">
        <f>AVERAGE(D766:K766)</f>
        <v>16.046191125</v>
      </c>
      <c r="M766" s="2">
        <f xml:space="preserve"> _xlfn.STDEV.S(D766:K766) / SQRT(COUNT(D766:K766))</f>
        <v>0.81917375141313198</v>
      </c>
      <c r="N766" s="2">
        <f>M766*$N$2</f>
        <v>0.91678578160802948</v>
      </c>
    </row>
    <row r="767" spans="2:14" x14ac:dyDescent="0.55000000000000004">
      <c r="C767" s="2" t="s">
        <v>31</v>
      </c>
      <c r="D767" s="2">
        <v>0.12956500000000001</v>
      </c>
      <c r="E767" s="2">
        <v>0.13628000000000001</v>
      </c>
      <c r="F767" s="2">
        <v>0.12384000000000001</v>
      </c>
      <c r="G767" s="2">
        <v>0.30064200000000002</v>
      </c>
      <c r="H767" s="2">
        <v>0.116464</v>
      </c>
      <c r="I767" s="2">
        <v>9.3823000000000004E-2</v>
      </c>
      <c r="J767" s="2">
        <v>0.24050099999999999</v>
      </c>
      <c r="K767" s="2">
        <v>0.17366899999999999</v>
      </c>
      <c r="L767" s="2">
        <f>(1/COUNT(D767:K767))*SQRT(SUMSQ(D767:K767))</f>
        <v>6.2680932678925577E-2</v>
      </c>
    </row>
    <row r="768" spans="2:14" x14ac:dyDescent="0.55000000000000004">
      <c r="B768" s="2" t="s">
        <v>46</v>
      </c>
      <c r="C768" s="2" t="s">
        <v>22</v>
      </c>
      <c r="L768" s="2" t="e">
        <f>AVERAGE(D768:K768)</f>
        <v>#DIV/0!</v>
      </c>
      <c r="M768" s="2" t="e">
        <f xml:space="preserve"> _xlfn.STDEV.S(D768:K768) / SQRT(COUNT(D768:K768))</f>
        <v>#DIV/0!</v>
      </c>
      <c r="N768" s="2" t="e">
        <f>M768*$N$2</f>
        <v>#DIV/0!</v>
      </c>
    </row>
    <row r="769" spans="2:14" x14ac:dyDescent="0.55000000000000004">
      <c r="C769" s="2" t="s">
        <v>23</v>
      </c>
      <c r="L769" s="2" t="e">
        <f>(1/COUNT(D769:K769))*SQRT(SUMSQ(D769:K769))</f>
        <v>#DIV/0!</v>
      </c>
    </row>
    <row r="770" spans="2:14" x14ac:dyDescent="0.55000000000000004">
      <c r="C770" s="2" t="s">
        <v>24</v>
      </c>
      <c r="L770" s="2" t="e">
        <f>AVERAGE(D770:K770)</f>
        <v>#DIV/0!</v>
      </c>
      <c r="M770" s="2" t="e">
        <f xml:space="preserve"> _xlfn.STDEV.S(D770:K770) / SQRT(COUNT(D770:K770))</f>
        <v>#DIV/0!</v>
      </c>
      <c r="N770" s="2" t="e">
        <f>M770*$N$2</f>
        <v>#DIV/0!</v>
      </c>
    </row>
    <row r="771" spans="2:14" x14ac:dyDescent="0.55000000000000004">
      <c r="C771" s="2" t="s">
        <v>25</v>
      </c>
      <c r="L771" s="2" t="e">
        <f>(1/COUNT(D771:K771))*SQRT(SUMSQ(D771:K771))</f>
        <v>#DIV/0!</v>
      </c>
    </row>
    <row r="772" spans="2:14" x14ac:dyDescent="0.55000000000000004">
      <c r="C772" s="2" t="s">
        <v>26</v>
      </c>
      <c r="L772" s="2" t="e">
        <f>AVERAGE(D772:K772)</f>
        <v>#DIV/0!</v>
      </c>
      <c r="M772" s="2" t="e">
        <f xml:space="preserve"> _xlfn.STDEV.S(D772:K772) / SQRT(COUNT(D772:K772))</f>
        <v>#DIV/0!</v>
      </c>
      <c r="N772" s="2" t="e">
        <f>M772*$N$2</f>
        <v>#DIV/0!</v>
      </c>
    </row>
    <row r="773" spans="2:14" x14ac:dyDescent="0.55000000000000004">
      <c r="C773" s="2" t="s">
        <v>27</v>
      </c>
      <c r="L773" s="2" t="e">
        <f>(1/COUNT(D773:K773))*SQRT(SUMSQ(D773:K773))</f>
        <v>#DIV/0!</v>
      </c>
    </row>
    <row r="774" spans="2:14" x14ac:dyDescent="0.55000000000000004">
      <c r="C774" s="2" t="s">
        <v>28</v>
      </c>
      <c r="L774" s="2" t="e">
        <f>AVERAGE(D774:K774)</f>
        <v>#DIV/0!</v>
      </c>
      <c r="M774" s="2" t="e">
        <f xml:space="preserve"> _xlfn.STDEV.S(D774:K774) / SQRT(COUNT(D774:K774))</f>
        <v>#DIV/0!</v>
      </c>
      <c r="N774" s="2" t="e">
        <f>M774*$N$2</f>
        <v>#DIV/0!</v>
      </c>
    </row>
    <row r="775" spans="2:14" x14ac:dyDescent="0.55000000000000004">
      <c r="C775" s="2" t="s">
        <v>29</v>
      </c>
      <c r="L775" s="2" t="e">
        <f>(1/COUNT(D775:K775))*SQRT(SUMSQ(D775:K775))</f>
        <v>#DIV/0!</v>
      </c>
    </row>
    <row r="776" spans="2:14" x14ac:dyDescent="0.55000000000000004">
      <c r="C776" s="2" t="s">
        <v>30</v>
      </c>
      <c r="L776" s="2" t="e">
        <f>AVERAGE(D776:K776)</f>
        <v>#DIV/0!</v>
      </c>
      <c r="M776" s="2" t="e">
        <f xml:space="preserve"> _xlfn.STDEV.S(D776:K776) / SQRT(COUNT(D776:K776))</f>
        <v>#DIV/0!</v>
      </c>
      <c r="N776" s="2" t="e">
        <f>M776*$N$2</f>
        <v>#DIV/0!</v>
      </c>
    </row>
    <row r="777" spans="2:14" x14ac:dyDescent="0.55000000000000004">
      <c r="C777" s="2" t="s">
        <v>31</v>
      </c>
      <c r="L777" s="2" t="e">
        <f>(1/COUNT(D777:K777))*SQRT(SUMSQ(D777:K777))</f>
        <v>#DIV/0!</v>
      </c>
    </row>
    <row r="778" spans="2:14" x14ac:dyDescent="0.55000000000000004">
      <c r="B778" s="2" t="s">
        <v>36</v>
      </c>
      <c r="C778" s="2" t="s">
        <v>22</v>
      </c>
      <c r="D778" s="2">
        <v>0.78467900000000002</v>
      </c>
      <c r="E778" s="2">
        <v>0.84472499999999995</v>
      </c>
      <c r="F778" s="2">
        <v>0.69978399999999996</v>
      </c>
      <c r="G778" s="2">
        <v>0.86976100000000001</v>
      </c>
      <c r="H778" s="2">
        <v>0.82075900000000002</v>
      </c>
      <c r="I778" s="2">
        <v>0.844163</v>
      </c>
      <c r="J778" s="2">
        <v>0.84390699999999996</v>
      </c>
      <c r="K778" s="2">
        <v>0.74236199999999997</v>
      </c>
      <c r="L778" s="2">
        <f>AVERAGE(D778:K778)</f>
        <v>0.80626750000000003</v>
      </c>
      <c r="M778" s="2">
        <f xml:space="preserve"> _xlfn.STDEV.S(D778:K778) / SQRT(COUNT(D778:K778))</f>
        <v>2.0900239376619591E-2</v>
      </c>
      <c r="N778" s="2">
        <f>M778*$N$2</f>
        <v>2.3390693683281439E-2</v>
      </c>
    </row>
    <row r="779" spans="2:14" x14ac:dyDescent="0.55000000000000004">
      <c r="C779" s="2" t="s">
        <v>24</v>
      </c>
      <c r="D779" s="2">
        <v>0.62231700000000001</v>
      </c>
      <c r="E779" s="2">
        <v>0.52931600000000001</v>
      </c>
      <c r="F779" s="2">
        <v>0.71416599999999997</v>
      </c>
      <c r="G779" s="2">
        <v>0.48633399999999999</v>
      </c>
      <c r="H779" s="2">
        <v>0.57093300000000002</v>
      </c>
      <c r="I779" s="2">
        <v>0.53758799999999995</v>
      </c>
      <c r="J779" s="2">
        <v>0.52383100000000005</v>
      </c>
      <c r="K779" s="2">
        <v>0.680562</v>
      </c>
      <c r="L779" s="2">
        <f t="shared" ref="L779:L796" si="24">AVERAGE(D779:K779)</f>
        <v>0.58313087499999994</v>
      </c>
      <c r="M779" s="2">
        <f t="shared" ref="M779:M795" si="25" xml:space="preserve"> _xlfn.STDEV.S(D779:K779) / SQRT(COUNT(D779:K779))</f>
        <v>2.8723954994318492E-2</v>
      </c>
      <c r="N779" s="2">
        <f t="shared" ref="N779:N795" si="26">M779*$N$2</f>
        <v>3.2146676434532534E-2</v>
      </c>
    </row>
    <row r="780" spans="2:14" x14ac:dyDescent="0.55000000000000004">
      <c r="C780" s="2" t="s">
        <v>26</v>
      </c>
      <c r="D780" s="2">
        <v>0.40278700000000001</v>
      </c>
      <c r="E780" s="2">
        <v>0.50700500000000004</v>
      </c>
      <c r="F780" s="2">
        <v>0.42517300000000002</v>
      </c>
      <c r="G780" s="2">
        <v>0.53203400000000001</v>
      </c>
      <c r="H780" s="2">
        <v>0.47948400000000002</v>
      </c>
      <c r="I780" s="2">
        <v>0.34718300000000002</v>
      </c>
      <c r="J780" s="2">
        <v>0.45275700000000002</v>
      </c>
      <c r="K780" s="2">
        <v>0.304475</v>
      </c>
      <c r="L780" s="2">
        <f t="shared" si="24"/>
        <v>0.43136225000000006</v>
      </c>
      <c r="M780" s="2">
        <f t="shared" si="25"/>
        <v>2.7604165413387029E-2</v>
      </c>
      <c r="N780" s="2">
        <f t="shared" si="26"/>
        <v>3.089345370318914E-2</v>
      </c>
    </row>
    <row r="781" spans="2:14" x14ac:dyDescent="0.55000000000000004">
      <c r="C781" s="2" t="s">
        <v>28</v>
      </c>
      <c r="D781" s="2">
        <v>3.9985900000000001</v>
      </c>
      <c r="E781" s="2">
        <v>3.3309009999999999</v>
      </c>
      <c r="F781" s="2">
        <v>2.6452870000000002</v>
      </c>
      <c r="G781" s="2">
        <v>3.145044</v>
      </c>
      <c r="H781" s="2">
        <v>1.883097</v>
      </c>
      <c r="I781" s="2">
        <v>4.7181470000000001</v>
      </c>
      <c r="J781" s="2">
        <v>3.9001640000000002</v>
      </c>
      <c r="K781" s="2">
        <v>2.8927339999999999</v>
      </c>
      <c r="L781" s="2">
        <f t="shared" si="24"/>
        <v>3.3142455000000002</v>
      </c>
      <c r="M781" s="2">
        <f t="shared" si="25"/>
        <v>0.31295929980458886</v>
      </c>
      <c r="N781" s="2">
        <f t="shared" si="26"/>
        <v>0.35025125718188649</v>
      </c>
    </row>
    <row r="782" spans="2:14" x14ac:dyDescent="0.55000000000000004">
      <c r="C782" s="2" t="s">
        <v>30</v>
      </c>
      <c r="D782" s="2">
        <v>16.250254000000002</v>
      </c>
      <c r="E782" s="2">
        <v>16.789259999999999</v>
      </c>
      <c r="F782" s="2">
        <v>15.303118</v>
      </c>
      <c r="G782" s="2">
        <v>15.603081</v>
      </c>
      <c r="H782" s="2">
        <v>11.606059999999999</v>
      </c>
      <c r="I782" s="2">
        <v>17.532813000000001</v>
      </c>
      <c r="J782" s="2">
        <v>19.130271</v>
      </c>
      <c r="K782" s="2">
        <v>13.785838999999999</v>
      </c>
      <c r="L782" s="2">
        <f t="shared" si="24"/>
        <v>15.750086999999999</v>
      </c>
      <c r="M782" s="2">
        <f t="shared" si="25"/>
        <v>0.81488852710465354</v>
      </c>
      <c r="N782" s="2">
        <f t="shared" si="26"/>
        <v>0.9119899337061198</v>
      </c>
    </row>
    <row r="783" spans="2:14" x14ac:dyDescent="0.55000000000000004">
      <c r="B783" s="2" t="s">
        <v>37</v>
      </c>
      <c r="C783" s="2" t="s">
        <v>22</v>
      </c>
      <c r="D783" s="2">
        <v>0.72912999999999994</v>
      </c>
      <c r="E783" s="2">
        <v>0.74981399999999998</v>
      </c>
      <c r="F783" s="2">
        <v>0.55841799999999997</v>
      </c>
      <c r="G783" s="2">
        <v>0.79599699999999995</v>
      </c>
      <c r="H783" s="2">
        <v>0.69101800000000002</v>
      </c>
      <c r="I783" s="2">
        <v>0.77354299999999998</v>
      </c>
      <c r="J783" s="2">
        <v>0.78002800000000005</v>
      </c>
      <c r="K783" s="2">
        <v>0.61607299999999998</v>
      </c>
      <c r="L783" s="2">
        <f t="shared" si="24"/>
        <v>0.71175262499999992</v>
      </c>
      <c r="M783" s="2">
        <f t="shared" si="25"/>
        <v>3.0006950373406387E-2</v>
      </c>
      <c r="N783" s="2">
        <f t="shared" si="26"/>
        <v>3.3582552424684199E-2</v>
      </c>
    </row>
    <row r="784" spans="2:14" x14ac:dyDescent="0.55000000000000004">
      <c r="C784" s="2" t="s">
        <v>24</v>
      </c>
      <c r="D784" s="2">
        <v>0.70255299999999998</v>
      </c>
      <c r="E784" s="2">
        <v>0.66822999999999999</v>
      </c>
      <c r="F784" s="2">
        <v>0.86173900000000003</v>
      </c>
      <c r="G784" s="2">
        <v>0.60488200000000003</v>
      </c>
      <c r="H784" s="2">
        <v>0.74024199999999996</v>
      </c>
      <c r="I784" s="2">
        <v>0.648142</v>
      </c>
      <c r="J784" s="2">
        <v>0.62928099999999998</v>
      </c>
      <c r="K784" s="2">
        <v>0.82472199999999996</v>
      </c>
      <c r="L784" s="2">
        <f t="shared" si="24"/>
        <v>0.70997387499999998</v>
      </c>
      <c r="M784" s="2">
        <f t="shared" si="25"/>
        <v>3.2812342045028246E-2</v>
      </c>
      <c r="N784" s="2">
        <f t="shared" si="26"/>
        <v>3.672223212260875E-2</v>
      </c>
    </row>
    <row r="785" spans="1:14" x14ac:dyDescent="0.55000000000000004">
      <c r="C785" s="2" t="s">
        <v>26</v>
      </c>
      <c r="D785" s="2">
        <v>0.32559300000000002</v>
      </c>
      <c r="E785" s="2">
        <v>0.37962699999999999</v>
      </c>
      <c r="F785" s="2">
        <v>0.33675300000000002</v>
      </c>
      <c r="G785" s="2">
        <v>0.42061599999999999</v>
      </c>
      <c r="H785" s="2">
        <v>0.33370699999999998</v>
      </c>
      <c r="I785" s="2">
        <v>0.26826299999999997</v>
      </c>
      <c r="J785" s="2">
        <v>0.34643600000000002</v>
      </c>
      <c r="K785" s="2">
        <v>0.20535300000000001</v>
      </c>
      <c r="L785" s="2">
        <f t="shared" si="24"/>
        <v>0.32704350000000004</v>
      </c>
      <c r="M785" s="2">
        <f t="shared" si="25"/>
        <v>2.3261484040914313E-2</v>
      </c>
      <c r="N785" s="2">
        <f t="shared" si="26"/>
        <v>2.603330220362144E-2</v>
      </c>
    </row>
    <row r="786" spans="1:14" x14ac:dyDescent="0.55000000000000004">
      <c r="C786" s="2" t="s">
        <v>28</v>
      </c>
      <c r="D786" s="2">
        <v>5.166315</v>
      </c>
      <c r="E786" s="2">
        <v>5.5794519999999999</v>
      </c>
      <c r="F786" s="2">
        <v>3.8306010000000001</v>
      </c>
      <c r="G786" s="2">
        <v>4.5707149999999999</v>
      </c>
      <c r="H786" s="2">
        <v>3.5152369999999999</v>
      </c>
      <c r="I786" s="2">
        <v>8.5161210000000001</v>
      </c>
      <c r="J786" s="2">
        <v>5.4787610000000004</v>
      </c>
      <c r="K786" s="2">
        <v>4.3379880000000002</v>
      </c>
      <c r="L786" s="2">
        <f t="shared" si="24"/>
        <v>5.1243987500000001</v>
      </c>
      <c r="M786" s="2">
        <f t="shared" si="25"/>
        <v>0.55140250686022529</v>
      </c>
      <c r="N786" s="2">
        <f t="shared" si="26"/>
        <v>0.61710714895396079</v>
      </c>
    </row>
    <row r="787" spans="1:14" x14ac:dyDescent="0.55000000000000004">
      <c r="C787" s="2" t="s">
        <v>30</v>
      </c>
      <c r="D787" s="2">
        <v>18.042770999999998</v>
      </c>
      <c r="E787" s="2">
        <v>19.896526999999999</v>
      </c>
      <c r="F787" s="2">
        <v>19.056687</v>
      </c>
      <c r="G787" s="2">
        <v>17.381774</v>
      </c>
      <c r="H787" s="2">
        <v>19.481342000000001</v>
      </c>
      <c r="I787" s="2">
        <v>23.953486000000002</v>
      </c>
      <c r="J787" s="2">
        <v>21.934979999999999</v>
      </c>
      <c r="K787" s="2">
        <v>20.165693999999998</v>
      </c>
      <c r="L787" s="2">
        <f t="shared" si="24"/>
        <v>19.989157625000001</v>
      </c>
      <c r="M787" s="2">
        <f t="shared" si="25"/>
        <v>0.74709100303450648</v>
      </c>
      <c r="N787" s="2">
        <f t="shared" si="26"/>
        <v>0.83611371576271543</v>
      </c>
    </row>
    <row r="788" spans="1:14" x14ac:dyDescent="0.55000000000000004">
      <c r="B788" s="2" t="s">
        <v>39</v>
      </c>
      <c r="C788" s="2" t="s">
        <v>22</v>
      </c>
      <c r="D788" s="2">
        <v>0.82103499999999996</v>
      </c>
      <c r="E788" s="2">
        <v>0.91030699999999998</v>
      </c>
      <c r="F788" s="2">
        <v>0.73274700000000004</v>
      </c>
      <c r="G788" s="2">
        <v>0.82500300000000004</v>
      </c>
      <c r="H788" s="2">
        <v>0.83520899999999998</v>
      </c>
      <c r="I788" s="2">
        <v>0.87952399999999997</v>
      </c>
      <c r="J788" s="2">
        <v>0.87849299999999997</v>
      </c>
      <c r="K788" s="2">
        <v>0.74053599999999997</v>
      </c>
      <c r="L788" s="2">
        <f t="shared" si="24"/>
        <v>0.82785674999999992</v>
      </c>
      <c r="M788" s="2">
        <f t="shared" si="25"/>
        <v>2.2682234996916791E-2</v>
      </c>
      <c r="N788" s="2">
        <f t="shared" si="26"/>
        <v>2.5385030348437022E-2</v>
      </c>
    </row>
    <row r="789" spans="1:14" x14ac:dyDescent="0.55000000000000004">
      <c r="C789" s="2" t="s">
        <v>24</v>
      </c>
      <c r="D789" s="2">
        <v>0.57110300000000003</v>
      </c>
      <c r="E789" s="2">
        <v>0.41036600000000001</v>
      </c>
      <c r="F789" s="2">
        <v>0.68235999999999997</v>
      </c>
      <c r="G789" s="2">
        <v>0.56377200000000005</v>
      </c>
      <c r="H789" s="2">
        <v>0.55111500000000002</v>
      </c>
      <c r="I789" s="2">
        <v>0.47817300000000001</v>
      </c>
      <c r="J789" s="2">
        <v>0.47221299999999999</v>
      </c>
      <c r="K789" s="2">
        <v>0.68304100000000001</v>
      </c>
      <c r="L789" s="2">
        <f t="shared" si="24"/>
        <v>0.55151787500000005</v>
      </c>
      <c r="M789" s="2">
        <f t="shared" si="25"/>
        <v>3.4471645386585065E-2</v>
      </c>
      <c r="N789" s="2">
        <f t="shared" si="26"/>
        <v>3.8579256604032573E-2</v>
      </c>
    </row>
    <row r="790" spans="1:14" x14ac:dyDescent="0.55000000000000004">
      <c r="C790" s="2" t="s">
        <v>26</v>
      </c>
      <c r="D790" s="2">
        <v>0.45833299999999999</v>
      </c>
      <c r="E790" s="2">
        <v>0.63301499999999999</v>
      </c>
      <c r="F790" s="2">
        <v>0.44377699999999998</v>
      </c>
      <c r="G790" s="2">
        <v>0.45847700000000002</v>
      </c>
      <c r="H790" s="2">
        <v>0.49587199999999998</v>
      </c>
      <c r="I790" s="2">
        <v>0.39845000000000003</v>
      </c>
      <c r="J790" s="2">
        <v>0.498726</v>
      </c>
      <c r="K790" s="2">
        <v>0.31659900000000002</v>
      </c>
      <c r="L790" s="2">
        <f t="shared" si="24"/>
        <v>0.462906125</v>
      </c>
      <c r="M790" s="2">
        <f t="shared" si="25"/>
        <v>3.1980368596797884E-2</v>
      </c>
      <c r="N790" s="2">
        <f t="shared" si="26"/>
        <v>3.5791121443467459E-2</v>
      </c>
    </row>
    <row r="791" spans="1:14" x14ac:dyDescent="0.55000000000000004">
      <c r="C791" s="2" t="s">
        <v>28</v>
      </c>
      <c r="D791" s="2">
        <v>2.962682</v>
      </c>
      <c r="E791" s="2">
        <v>2.3650980000000001</v>
      </c>
      <c r="F791" s="2">
        <v>2.458364</v>
      </c>
      <c r="G791" s="2">
        <v>4.0748449999999998</v>
      </c>
      <c r="H791" s="2">
        <v>1.7718430000000001</v>
      </c>
      <c r="I791" s="2">
        <v>3.7272120000000002</v>
      </c>
      <c r="J791" s="2">
        <v>3.2506379999999999</v>
      </c>
      <c r="K791" s="2">
        <v>2.9159480000000002</v>
      </c>
      <c r="L791" s="2">
        <f t="shared" si="24"/>
        <v>2.9408287500000001</v>
      </c>
      <c r="M791" s="2">
        <f t="shared" si="25"/>
        <v>0.26498772458015801</v>
      </c>
      <c r="N791" s="2">
        <f t="shared" si="26"/>
        <v>0.29656343086759085</v>
      </c>
    </row>
    <row r="792" spans="1:14" x14ac:dyDescent="0.55000000000000004">
      <c r="C792" s="2" t="s">
        <v>30</v>
      </c>
      <c r="D792" s="2">
        <v>14.700932</v>
      </c>
      <c r="E792" s="2">
        <v>16.428494000000001</v>
      </c>
      <c r="F792" s="2">
        <v>15.113896</v>
      </c>
      <c r="G792" s="2">
        <v>16.658429000000002</v>
      </c>
      <c r="H792" s="2">
        <v>11.099192</v>
      </c>
      <c r="I792" s="2">
        <v>18.463128000000001</v>
      </c>
      <c r="J792" s="2">
        <v>18.554573999999999</v>
      </c>
      <c r="K792" s="2">
        <v>14.248884</v>
      </c>
      <c r="L792" s="2">
        <f t="shared" si="24"/>
        <v>15.658441125000001</v>
      </c>
      <c r="M792" s="2">
        <f t="shared" si="25"/>
        <v>0.86430988435620315</v>
      </c>
      <c r="N792" s="2">
        <f t="shared" si="26"/>
        <v>0.96730029681019969</v>
      </c>
    </row>
    <row r="793" spans="1:14" x14ac:dyDescent="0.55000000000000004">
      <c r="B793" s="2" t="s">
        <v>61</v>
      </c>
      <c r="C793" s="2" t="s">
        <v>22</v>
      </c>
      <c r="D793" s="2">
        <v>0.70661700000000005</v>
      </c>
      <c r="E793" s="2">
        <v>0.71759399999999995</v>
      </c>
      <c r="F793" s="2">
        <v>0.52900000000000003</v>
      </c>
      <c r="G793" s="2">
        <v>0.77285099999999995</v>
      </c>
      <c r="H793" s="2">
        <v>0.62567099999999998</v>
      </c>
      <c r="I793" s="2">
        <v>0.74252700000000005</v>
      </c>
      <c r="J793" s="2">
        <v>0.76162300000000005</v>
      </c>
      <c r="K793" s="2">
        <v>0.54946200000000001</v>
      </c>
      <c r="L793" s="2">
        <f t="shared" si="24"/>
        <v>0.67566812500000006</v>
      </c>
      <c r="M793" s="2">
        <f t="shared" si="25"/>
        <v>3.3794999138945632E-2</v>
      </c>
      <c r="N793" s="2">
        <f t="shared" si="26"/>
        <v>3.7821981779315443E-2</v>
      </c>
    </row>
    <row r="794" spans="1:14" x14ac:dyDescent="0.55000000000000004">
      <c r="C794" s="2" t="s">
        <v>24</v>
      </c>
      <c r="D794" s="2">
        <v>0.753749</v>
      </c>
      <c r="E794" s="2">
        <v>0.72796499999999997</v>
      </c>
      <c r="F794" s="2">
        <v>0.95297500000000002</v>
      </c>
      <c r="G794" s="2">
        <v>0.63259500000000002</v>
      </c>
      <c r="H794" s="2">
        <v>0.85218300000000002</v>
      </c>
      <c r="I794" s="2">
        <v>0.70991599999999999</v>
      </c>
      <c r="J794" s="2">
        <v>0.66969699999999999</v>
      </c>
      <c r="K794" s="2">
        <v>0.93806199999999995</v>
      </c>
      <c r="L794" s="2">
        <f t="shared" si="24"/>
        <v>0.77964275000000005</v>
      </c>
      <c r="M794" s="2">
        <f t="shared" si="25"/>
        <v>4.2744427383974971E-2</v>
      </c>
      <c r="N794" s="2">
        <f t="shared" si="26"/>
        <v>4.7837816093355044E-2</v>
      </c>
    </row>
    <row r="795" spans="1:14" x14ac:dyDescent="0.55000000000000004">
      <c r="C795" s="2" t="s">
        <v>26</v>
      </c>
      <c r="D795" s="2">
        <v>0.337121</v>
      </c>
      <c r="E795" s="2">
        <v>0.373749</v>
      </c>
      <c r="F795" s="2">
        <v>0.34222000000000002</v>
      </c>
      <c r="G795" s="2">
        <v>0.42593799999999998</v>
      </c>
      <c r="H795" s="2">
        <v>0.28523900000000002</v>
      </c>
      <c r="I795" s="2">
        <v>0.25960699999999998</v>
      </c>
      <c r="J795" s="2">
        <v>0.35664400000000002</v>
      </c>
      <c r="K795" s="2">
        <v>0.162435</v>
      </c>
      <c r="L795" s="2">
        <f t="shared" si="24"/>
        <v>0.31786912500000003</v>
      </c>
      <c r="M795" s="2">
        <f t="shared" si="25"/>
        <v>2.8625506979563748E-2</v>
      </c>
      <c r="N795" s="2">
        <f t="shared" si="26"/>
        <v>3.2036497440150705E-2</v>
      </c>
    </row>
    <row r="796" spans="1:14" ht="13.5" customHeight="1" x14ac:dyDescent="0.55000000000000004">
      <c r="A796" s="2" t="s">
        <v>20</v>
      </c>
      <c r="B796" s="2" t="s">
        <v>21</v>
      </c>
      <c r="C796" s="2" t="s">
        <v>22</v>
      </c>
      <c r="D796" s="2">
        <v>0.85026199999999996</v>
      </c>
      <c r="E796" s="2">
        <v>0.90757600000000005</v>
      </c>
      <c r="F796" s="2">
        <v>0.74144200000000005</v>
      </c>
      <c r="G796" s="2">
        <v>0.85035499999999997</v>
      </c>
      <c r="H796" s="2">
        <v>0.83859099999999998</v>
      </c>
      <c r="I796" s="2">
        <v>0.87797899999999995</v>
      </c>
      <c r="J796" s="2">
        <v>0.87510299999999996</v>
      </c>
      <c r="K796" s="2">
        <v>0.72283399999999998</v>
      </c>
      <c r="L796" s="2">
        <f t="shared" si="24"/>
        <v>0.83301775</v>
      </c>
      <c r="M796" s="2">
        <f xml:space="preserve"> _xlfn.STDEV.S(D796:K796) / SQRT(COUNT(D796:K796))</f>
        <v>2.3340338003849222E-2</v>
      </c>
      <c r="N796" s="2">
        <f>M796*$N$2</f>
        <v>2.6121552336047512E-2</v>
      </c>
    </row>
    <row r="797" spans="1:14" x14ac:dyDescent="0.55000000000000004">
      <c r="A797" s="2">
        <v>1.667</v>
      </c>
      <c r="C797" s="2" t="s">
        <v>23</v>
      </c>
      <c r="D797" s="2">
        <v>4.0299999999999998E-4</v>
      </c>
      <c r="E797" s="2">
        <v>2.343E-3</v>
      </c>
      <c r="F797" s="2">
        <v>3.846E-3</v>
      </c>
      <c r="G797" s="2">
        <v>2.245E-3</v>
      </c>
      <c r="H797" s="2">
        <v>6.4400000000000004E-4</v>
      </c>
      <c r="I797" s="2">
        <v>1.366E-3</v>
      </c>
      <c r="J797" s="2">
        <v>1.8E-3</v>
      </c>
      <c r="K797" s="2">
        <v>3.0299999999999999E-4</v>
      </c>
      <c r="L797" s="2">
        <f>(1/COUNT(D797:K797))*SQRT(SUMSQ(D797:K797))</f>
        <v>6.9705070654867E-4</v>
      </c>
    </row>
    <row r="798" spans="1:14" x14ac:dyDescent="0.55000000000000004">
      <c r="C798" s="2" t="s">
        <v>24</v>
      </c>
      <c r="D798" s="2">
        <v>0.527474</v>
      </c>
      <c r="E798" s="2">
        <v>0.41632799999999998</v>
      </c>
      <c r="F798" s="2">
        <v>0.67193800000000004</v>
      </c>
      <c r="G798" s="2">
        <v>0.52451899999999996</v>
      </c>
      <c r="H798" s="2">
        <v>0.54540599999999995</v>
      </c>
      <c r="I798" s="2">
        <v>0.481736</v>
      </c>
      <c r="J798" s="2">
        <v>0.47582200000000002</v>
      </c>
      <c r="K798" s="2">
        <v>0.70651299999999995</v>
      </c>
      <c r="L798" s="2">
        <f>AVERAGE(D798:K798)</f>
        <v>0.54371700000000001</v>
      </c>
      <c r="M798" s="2">
        <f xml:space="preserve"> _xlfn.STDEV.S(D798:K798) / SQRT(COUNT(D798:K798))</f>
        <v>3.4912581169155257E-2</v>
      </c>
      <c r="N798" s="2">
        <f>M798*$N$2</f>
        <v>3.9072733910117168E-2</v>
      </c>
    </row>
    <row r="799" spans="1:14" x14ac:dyDescent="0.55000000000000004">
      <c r="C799" s="2" t="s">
        <v>25</v>
      </c>
      <c r="D799" s="2">
        <v>6.3000000000000003E-4</v>
      </c>
      <c r="E799" s="2">
        <v>5.4279999999999997E-3</v>
      </c>
      <c r="F799" s="2">
        <v>4.6010000000000001E-3</v>
      </c>
      <c r="G799" s="2">
        <v>3.3310000000000002E-3</v>
      </c>
      <c r="H799" s="2">
        <v>1.016E-3</v>
      </c>
      <c r="I799" s="2">
        <v>2.676E-3</v>
      </c>
      <c r="J799" s="2">
        <v>3.4510000000000001E-3</v>
      </c>
      <c r="K799" s="2">
        <v>3.5E-4</v>
      </c>
      <c r="L799" s="2">
        <f>(1/COUNT(D799:K799))*SQRT(SUMSQ(D799:K799))</f>
        <v>1.1343361150360153E-3</v>
      </c>
    </row>
    <row r="800" spans="1:14" x14ac:dyDescent="0.55000000000000004">
      <c r="C800" s="2" t="s">
        <v>26</v>
      </c>
      <c r="D800" s="2">
        <v>0.50350799999999996</v>
      </c>
      <c r="E800" s="2">
        <v>0.62646800000000002</v>
      </c>
      <c r="F800" s="2">
        <v>0.45157900000000001</v>
      </c>
      <c r="G800" s="2">
        <v>0.49307200000000001</v>
      </c>
      <c r="H800" s="2">
        <v>0.50254799999999999</v>
      </c>
      <c r="I800" s="2">
        <v>0.393785</v>
      </c>
      <c r="J800" s="2">
        <v>0.49537799999999999</v>
      </c>
      <c r="K800" s="2">
        <v>0.28918199999999999</v>
      </c>
      <c r="L800" s="2">
        <f>AVERAGE(D800:K800)</f>
        <v>0.46943999999999997</v>
      </c>
      <c r="M800" s="2">
        <f xml:space="preserve"> _xlfn.STDEV.S(D800:K800) / SQRT(COUNT(D800:K800))</f>
        <v>3.4507104146931054E-2</v>
      </c>
      <c r="N800" s="2">
        <f>M800*$N$2</f>
        <v>3.8618940599354168E-2</v>
      </c>
    </row>
    <row r="801" spans="2:14" x14ac:dyDescent="0.55000000000000004">
      <c r="C801" s="2" t="s">
        <v>27</v>
      </c>
      <c r="D801" s="2">
        <v>6.8499999999999995E-4</v>
      </c>
      <c r="E801" s="2">
        <v>5.3080000000000002E-3</v>
      </c>
      <c r="F801" s="2">
        <v>2.418E-3</v>
      </c>
      <c r="G801" s="2">
        <v>3.2160000000000001E-3</v>
      </c>
      <c r="H801" s="2">
        <v>8.5800000000000004E-4</v>
      </c>
      <c r="I801" s="2">
        <v>2.8E-3</v>
      </c>
      <c r="J801" s="2">
        <v>3.408E-3</v>
      </c>
      <c r="K801" s="2">
        <v>3.4000000000000002E-4</v>
      </c>
      <c r="L801" s="2">
        <f>(1/COUNT(D801:K801))*SQRT(SUMSQ(D801:K801))</f>
        <v>1.0088645923140528E-3</v>
      </c>
    </row>
    <row r="802" spans="2:14" x14ac:dyDescent="0.55000000000000004">
      <c r="C802" s="2" t="s">
        <v>28</v>
      </c>
      <c r="D802" s="2">
        <v>2.311801</v>
      </c>
      <c r="E802" s="2">
        <v>2.3430080000000002</v>
      </c>
      <c r="F802" s="2">
        <v>2.4084099999999999</v>
      </c>
      <c r="G802" s="2">
        <v>3.588711</v>
      </c>
      <c r="H802" s="2">
        <v>1.7277750000000001</v>
      </c>
      <c r="I802" s="2">
        <v>3.5001989999999998</v>
      </c>
      <c r="J802" s="2">
        <v>3.2519360000000002</v>
      </c>
      <c r="K802" s="2">
        <v>3.1573150000000001</v>
      </c>
      <c r="L802" s="2">
        <f>AVERAGE(D802:K802)</f>
        <v>2.7861443750000001</v>
      </c>
      <c r="M802" s="2">
        <f xml:space="preserve"> _xlfn.STDEV.S(D802:K802) / SQRT(COUNT(D802:K802))</f>
        <v>0.23878102424007766</v>
      </c>
      <c r="N802" s="2">
        <f>M802*$N$2</f>
        <v>0.26723396295775903</v>
      </c>
    </row>
    <row r="803" spans="2:14" x14ac:dyDescent="0.55000000000000004">
      <c r="C803" s="2" t="s">
        <v>29</v>
      </c>
      <c r="D803" s="2">
        <v>5.9049999999999997E-3</v>
      </c>
      <c r="E803" s="2">
        <v>3.0370999999999999E-2</v>
      </c>
      <c r="F803" s="2">
        <v>2.2152999999999999E-2</v>
      </c>
      <c r="G803" s="2">
        <v>5.6522000000000003E-2</v>
      </c>
      <c r="H803" s="2">
        <v>6.718E-3</v>
      </c>
      <c r="I803" s="2">
        <v>5.0797000000000002E-2</v>
      </c>
      <c r="J803" s="2">
        <v>2.9021000000000002E-2</v>
      </c>
      <c r="K803" s="2">
        <v>2.898E-3</v>
      </c>
      <c r="L803" s="2">
        <f>(1/COUNT(D803:K803))*SQRT(SUMSQ(D803:K803))</f>
        <v>1.1263077216756751E-2</v>
      </c>
    </row>
    <row r="804" spans="2:14" x14ac:dyDescent="0.55000000000000004">
      <c r="C804" s="2" t="s">
        <v>30</v>
      </c>
      <c r="D804" s="2">
        <v>13.867067</v>
      </c>
      <c r="E804" s="2">
        <v>16.106068</v>
      </c>
      <c r="F804" s="2">
        <v>14.879598</v>
      </c>
      <c r="G804" s="2">
        <v>16.565156999999999</v>
      </c>
      <c r="H804" s="2">
        <v>10.787132</v>
      </c>
      <c r="I804" s="2">
        <v>16.202915000000001</v>
      </c>
      <c r="J804" s="2">
        <v>18.13</v>
      </c>
      <c r="K804" s="2">
        <v>14.984344999999999</v>
      </c>
      <c r="L804" s="2">
        <f>AVERAGE(D804:K804)</f>
        <v>15.190285250000001</v>
      </c>
      <c r="M804" s="2">
        <f xml:space="preserve"> _xlfn.STDEV.S(D804:K804) / SQRT(COUNT(D804:K804))</f>
        <v>0.77544774197716571</v>
      </c>
      <c r="N804" s="2">
        <f>M804*$N$2</f>
        <v>0.86784941900095269</v>
      </c>
    </row>
    <row r="805" spans="2:14" x14ac:dyDescent="0.55000000000000004">
      <c r="C805" s="2" t="s">
        <v>31</v>
      </c>
      <c r="D805" s="2">
        <v>3.248E-3</v>
      </c>
      <c r="E805" s="2">
        <v>2.3560000000000001E-2</v>
      </c>
      <c r="F805" s="2">
        <v>5.7175999999999998E-2</v>
      </c>
      <c r="G805" s="2">
        <v>0.21457100000000001</v>
      </c>
      <c r="H805" s="2">
        <v>4.6457999999999999E-2</v>
      </c>
      <c r="I805" s="2">
        <v>7.8076999999999994E-2</v>
      </c>
      <c r="J805" s="2">
        <v>3.9176000000000002E-2</v>
      </c>
      <c r="K805" s="2">
        <v>1.1372E-2</v>
      </c>
      <c r="L805" s="2">
        <f>(1/COUNT(D805:K805))*SQRT(SUMSQ(D805:K805))</f>
        <v>3.0565983230443447E-2</v>
      </c>
    </row>
    <row r="806" spans="2:14" x14ac:dyDescent="0.55000000000000004">
      <c r="B806" s="2" t="s">
        <v>32</v>
      </c>
      <c r="C806" s="2" t="s">
        <v>22</v>
      </c>
      <c r="D806" s="2">
        <v>0.83295600000000003</v>
      </c>
      <c r="E806" s="2">
        <v>0.882745</v>
      </c>
      <c r="F806" s="2">
        <v>0.751718</v>
      </c>
      <c r="G806" s="2">
        <v>0.85361200000000004</v>
      </c>
      <c r="H806" s="2">
        <v>0.82367800000000002</v>
      </c>
      <c r="I806" s="2">
        <v>0.86928499999999997</v>
      </c>
      <c r="J806" s="2">
        <v>0.887216</v>
      </c>
      <c r="K806" s="2">
        <v>0.73471200000000003</v>
      </c>
      <c r="L806" s="2">
        <f>AVERAGE(D806:K806)</f>
        <v>0.82949024999999987</v>
      </c>
      <c r="M806" s="2">
        <f xml:space="preserve"> _xlfn.STDEV.S(D806:K806) / SQRT(COUNT(D806:K806))</f>
        <v>2.0446377943948546E-2</v>
      </c>
      <c r="N806" s="2">
        <f>M806*$N$2</f>
        <v>2.2882750517896473E-2</v>
      </c>
    </row>
    <row r="807" spans="2:14" x14ac:dyDescent="0.55000000000000004">
      <c r="C807" s="2" t="s">
        <v>23</v>
      </c>
      <c r="D807" s="2">
        <v>2.5690000000000001E-3</v>
      </c>
      <c r="E807" s="2">
        <v>3.3180000000000002E-3</v>
      </c>
      <c r="F807" s="2">
        <v>3.6579999999999998E-3</v>
      </c>
      <c r="G807" s="2">
        <v>3.4770000000000001E-3</v>
      </c>
      <c r="H807" s="2">
        <v>6.1600000000000001E-4</v>
      </c>
      <c r="I807" s="2">
        <v>1.751E-3</v>
      </c>
      <c r="J807" s="2">
        <v>3.1960000000000001E-3</v>
      </c>
      <c r="K807" s="2">
        <v>1.145E-3</v>
      </c>
      <c r="L807" s="2">
        <f>(1/COUNT(D807:K807))*SQRT(SUMSQ(D807:K807))</f>
        <v>9.5238414649761994E-4</v>
      </c>
    </row>
    <row r="808" spans="2:14" x14ac:dyDescent="0.55000000000000004">
      <c r="C808" s="2" t="s">
        <v>24</v>
      </c>
      <c r="D808" s="2">
        <v>0.55535299999999999</v>
      </c>
      <c r="E808" s="2">
        <v>0.466393</v>
      </c>
      <c r="F808" s="2">
        <v>0.65975899999999998</v>
      </c>
      <c r="G808" s="2">
        <v>0.51997099999999996</v>
      </c>
      <c r="H808" s="2">
        <v>0.56766399999999995</v>
      </c>
      <c r="I808" s="2">
        <v>0.49563299999999999</v>
      </c>
      <c r="J808" s="2">
        <v>0.45498300000000003</v>
      </c>
      <c r="K808" s="2">
        <v>0.69114699999999996</v>
      </c>
      <c r="L808" s="2">
        <f>AVERAGE(D808:K808)</f>
        <v>0.55136287499999992</v>
      </c>
      <c r="M808" s="2">
        <f xml:space="preserve"> _xlfn.STDEV.S(D808:K808) / SQRT(COUNT(D808:K808))</f>
        <v>3.0522590590786446E-2</v>
      </c>
      <c r="N808" s="2">
        <f>M808*$N$2</f>
        <v>3.4159635880915327E-2</v>
      </c>
    </row>
    <row r="809" spans="2:14" x14ac:dyDescent="0.55000000000000004">
      <c r="C809" s="2" t="s">
        <v>25</v>
      </c>
      <c r="D809" s="2">
        <v>3.529E-3</v>
      </c>
      <c r="E809" s="2">
        <v>6.4710000000000002E-3</v>
      </c>
      <c r="F809" s="2">
        <v>4.2100000000000002E-3</v>
      </c>
      <c r="G809" s="2">
        <v>5.4689999999999999E-3</v>
      </c>
      <c r="H809" s="2">
        <v>9.3700000000000001E-4</v>
      </c>
      <c r="I809" s="2">
        <v>3.1939999999999998E-3</v>
      </c>
      <c r="J809" s="2">
        <v>5.9090000000000002E-3</v>
      </c>
      <c r="K809" s="2">
        <v>1.531E-3</v>
      </c>
      <c r="L809" s="2">
        <f>(1/COUNT(D809:K809))*SQRT(SUMSQ(D809:K809))</f>
        <v>1.5324693614392427E-3</v>
      </c>
    </row>
    <row r="810" spans="2:14" x14ac:dyDescent="0.55000000000000004">
      <c r="C810" s="2" t="s">
        <v>26</v>
      </c>
      <c r="D810" s="2">
        <v>0.48668</v>
      </c>
      <c r="E810" s="2">
        <v>0.57420400000000005</v>
      </c>
      <c r="F810" s="2">
        <v>0.45948</v>
      </c>
      <c r="G810" s="2">
        <v>0.50987199999999999</v>
      </c>
      <c r="H810" s="2">
        <v>0.483068</v>
      </c>
      <c r="I810" s="2">
        <v>0.37959599999999999</v>
      </c>
      <c r="J810" s="2">
        <v>0.51532599999999995</v>
      </c>
      <c r="K810" s="2">
        <v>0.299402</v>
      </c>
      <c r="L810" s="2">
        <f>AVERAGE(D810:K810)</f>
        <v>0.46345350000000002</v>
      </c>
      <c r="M810" s="2">
        <f xml:space="preserve"> _xlfn.STDEV.S(D810:K810) / SQRT(COUNT(D810:K810))</f>
        <v>3.0471318253517354E-2</v>
      </c>
      <c r="N810" s="2">
        <f>M810*$N$2</f>
        <v>3.4102253976628201E-2</v>
      </c>
    </row>
    <row r="811" spans="2:14" x14ac:dyDescent="0.55000000000000004">
      <c r="C811" s="2" t="s">
        <v>27</v>
      </c>
      <c r="D811" s="2">
        <v>3.7209999999999999E-3</v>
      </c>
      <c r="E811" s="2">
        <v>6.8599999999999998E-3</v>
      </c>
      <c r="F811" s="2">
        <v>2.49E-3</v>
      </c>
      <c r="G811" s="2">
        <v>6.5069999999999998E-3</v>
      </c>
      <c r="H811" s="2">
        <v>7.4600000000000003E-4</v>
      </c>
      <c r="I811" s="2">
        <v>2.9520000000000002E-3</v>
      </c>
      <c r="J811" s="2">
        <v>5.921E-3</v>
      </c>
      <c r="K811" s="2">
        <v>7.4299999999999995E-4</v>
      </c>
      <c r="L811" s="2">
        <f>(1/COUNT(D811:K811))*SQRT(SUMSQ(D811:K811))</f>
        <v>1.5528587548453981E-3</v>
      </c>
    </row>
    <row r="812" spans="2:14" x14ac:dyDescent="0.55000000000000004">
      <c r="C812" s="2" t="s">
        <v>28</v>
      </c>
      <c r="D812" s="2">
        <v>2.7214909999999999</v>
      </c>
      <c r="E812" s="2">
        <v>2.7241870000000001</v>
      </c>
      <c r="F812" s="2">
        <v>2.306238</v>
      </c>
      <c r="G812" s="2">
        <v>3.4231799999999999</v>
      </c>
      <c r="H812" s="2">
        <v>1.8803650000000001</v>
      </c>
      <c r="I812" s="2">
        <v>3.682976</v>
      </c>
      <c r="J812" s="2">
        <v>3.108339</v>
      </c>
      <c r="K812" s="2">
        <v>3.0882299999999998</v>
      </c>
      <c r="L812" s="2">
        <f>AVERAGE(D812:K812)</f>
        <v>2.8668757499999997</v>
      </c>
      <c r="M812" s="2">
        <f xml:space="preserve"> _xlfn.STDEV.S(D812:K812) / SQRT(COUNT(D812:K812))</f>
        <v>0.20752844870435058</v>
      </c>
      <c r="N812" s="2">
        <f>M812*$N$2</f>
        <v>0.23225735776214704</v>
      </c>
    </row>
    <row r="813" spans="2:14" x14ac:dyDescent="0.55000000000000004">
      <c r="C813" s="2" t="s">
        <v>29</v>
      </c>
      <c r="D813" s="2">
        <v>8.7858000000000006E-2</v>
      </c>
      <c r="E813" s="2">
        <v>4.7731000000000003E-2</v>
      </c>
      <c r="F813" s="2">
        <v>2.316E-2</v>
      </c>
      <c r="G813" s="2">
        <v>8.5567000000000004E-2</v>
      </c>
      <c r="H813" s="2">
        <v>6.9800000000000001E-3</v>
      </c>
      <c r="I813" s="2">
        <v>6.3103000000000006E-2</v>
      </c>
      <c r="J813" s="2">
        <v>5.7423000000000002E-2</v>
      </c>
      <c r="K813" s="2">
        <v>8.9309999999999997E-3</v>
      </c>
      <c r="L813" s="2">
        <f>(1/COUNT(D813:K813))*SQRT(SUMSQ(D813:K813))</f>
        <v>1.9868020123822733E-2</v>
      </c>
    </row>
    <row r="814" spans="2:14" x14ac:dyDescent="0.55000000000000004">
      <c r="C814" s="2" t="s">
        <v>30</v>
      </c>
      <c r="D814" s="2">
        <v>15.862416</v>
      </c>
      <c r="E814" s="2">
        <v>16.610196999999999</v>
      </c>
      <c r="F814" s="2">
        <v>14.160037000000001</v>
      </c>
      <c r="G814" s="2">
        <v>16.315480000000001</v>
      </c>
      <c r="H814" s="2">
        <v>11.815735</v>
      </c>
      <c r="I814" s="2">
        <v>16.534987000000001</v>
      </c>
      <c r="J814" s="2">
        <v>18.622758000000001</v>
      </c>
      <c r="K814" s="2">
        <v>14.725296</v>
      </c>
      <c r="L814" s="2">
        <f>AVERAGE(D814:K814)</f>
        <v>15.58086325</v>
      </c>
      <c r="M814" s="2">
        <f xml:space="preserve"> _xlfn.STDEV.S(D814:K814) / SQRT(COUNT(D814:K814))</f>
        <v>0.71674949275735356</v>
      </c>
      <c r="N814" s="2">
        <f>M814*$N$2</f>
        <v>0.80215673756776962</v>
      </c>
    </row>
    <row r="815" spans="2:14" x14ac:dyDescent="0.55000000000000004">
      <c r="C815" s="2" t="s">
        <v>31</v>
      </c>
      <c r="D815" s="2">
        <v>0.107847</v>
      </c>
      <c r="E815" s="2">
        <v>4.2051999999999999E-2</v>
      </c>
      <c r="F815" s="2">
        <v>5.5735E-2</v>
      </c>
      <c r="G815" s="2">
        <v>0.192936</v>
      </c>
      <c r="H815" s="2">
        <v>4.9886E-2</v>
      </c>
      <c r="I815" s="2">
        <v>9.4448000000000004E-2</v>
      </c>
      <c r="J815" s="2">
        <v>0.127717</v>
      </c>
      <c r="K815" s="2">
        <v>2.9842E-2</v>
      </c>
      <c r="L815" s="2">
        <f>(1/COUNT(D815:K815))*SQRT(SUMSQ(D815:K815))</f>
        <v>3.5868956631004402E-2</v>
      </c>
    </row>
    <row r="816" spans="2:14" x14ac:dyDescent="0.55000000000000004">
      <c r="B816" s="2" t="s">
        <v>33</v>
      </c>
      <c r="C816" s="2" t="s">
        <v>22</v>
      </c>
      <c r="D816" s="2">
        <v>0.85004800000000003</v>
      </c>
      <c r="E816" s="2">
        <v>0.90480300000000002</v>
      </c>
      <c r="F816" s="2">
        <v>0.75303600000000004</v>
      </c>
      <c r="G816" s="2">
        <v>0.85161500000000001</v>
      </c>
      <c r="H816" s="2">
        <v>0.83800799999999998</v>
      </c>
      <c r="I816" s="2">
        <v>0.88032999999999995</v>
      </c>
      <c r="J816" s="2">
        <v>0.86701600000000001</v>
      </c>
      <c r="K816" s="2">
        <v>0.74542299999999995</v>
      </c>
      <c r="L816" s="2">
        <f>AVERAGE(D816:K816)</f>
        <v>0.83628487499999993</v>
      </c>
      <c r="M816" s="2">
        <f xml:space="preserve"> _xlfn.STDEV.S(D816:K816) / SQRT(COUNT(D816:K816))</f>
        <v>2.0350837799915811E-2</v>
      </c>
      <c r="N816" s="2">
        <f>M816*$N$2</f>
        <v>2.2775825893577278E-2</v>
      </c>
    </row>
    <row r="817" spans="2:14" x14ac:dyDescent="0.55000000000000004">
      <c r="C817" s="2" t="s">
        <v>23</v>
      </c>
      <c r="D817" s="2">
        <v>2.03E-4</v>
      </c>
      <c r="E817" s="2">
        <v>3.0800000000000001E-4</v>
      </c>
      <c r="F817" s="2">
        <v>7.4700000000000005E-4</v>
      </c>
      <c r="G817" s="2">
        <v>4.0499999999999998E-4</v>
      </c>
      <c r="H817" s="2">
        <v>2.2499999999999999E-4</v>
      </c>
      <c r="I817" s="2">
        <v>1.7899999999999999E-4</v>
      </c>
      <c r="J817" s="2">
        <v>7.2000000000000005E-4</v>
      </c>
      <c r="K817" s="2">
        <v>3.0899999999999998E-4</v>
      </c>
      <c r="L817" s="2">
        <f>(1/COUNT(D817:K817))*SQRT(SUMSQ(D817:K817))</f>
        <v>1.558572062819041E-4</v>
      </c>
    </row>
    <row r="818" spans="2:14" x14ac:dyDescent="0.55000000000000004">
      <c r="C818" s="2" t="s">
        <v>24</v>
      </c>
      <c r="D818" s="2">
        <v>0.52775000000000005</v>
      </c>
      <c r="E818" s="2">
        <v>0.42238700000000001</v>
      </c>
      <c r="F818" s="2">
        <v>0.65818200000000004</v>
      </c>
      <c r="G818" s="2">
        <v>0.52330500000000002</v>
      </c>
      <c r="H818" s="2">
        <v>0.54657299999999998</v>
      </c>
      <c r="I818" s="2">
        <v>0.47729500000000002</v>
      </c>
      <c r="J818" s="2">
        <v>0.49201499999999998</v>
      </c>
      <c r="K818" s="2">
        <v>0.67742199999999997</v>
      </c>
      <c r="L818" s="2">
        <f>AVERAGE(D818:K818)</f>
        <v>0.54061612499999989</v>
      </c>
      <c r="M818" s="2">
        <f xml:space="preserve"> _xlfn.STDEV.S(D818:K818) / SQRT(COUNT(D818:K818))</f>
        <v>3.087649337073093E-2</v>
      </c>
      <c r="N818" s="2">
        <f>M818*$N$2</f>
        <v>3.455570940764266E-2</v>
      </c>
    </row>
    <row r="819" spans="2:14" x14ac:dyDescent="0.55000000000000004">
      <c r="C819" s="2" t="s">
        <v>25</v>
      </c>
      <c r="D819" s="2">
        <v>3.0600000000000001E-4</v>
      </c>
      <c r="E819" s="2">
        <v>6.9700000000000003E-4</v>
      </c>
      <c r="F819" s="2">
        <v>8.9099999999999997E-4</v>
      </c>
      <c r="G819" s="2">
        <v>6.6100000000000002E-4</v>
      </c>
      <c r="H819" s="2">
        <v>3.4699999999999998E-4</v>
      </c>
      <c r="I819" s="2">
        <v>3.59E-4</v>
      </c>
      <c r="J819" s="2">
        <v>1.3079999999999999E-3</v>
      </c>
      <c r="K819" s="2">
        <v>4.0099999999999999E-4</v>
      </c>
      <c r="L819" s="2">
        <f>(1/COUNT(D819:K819))*SQRT(SUMSQ(D819:K819))</f>
        <v>2.4784073767240123E-4</v>
      </c>
    </row>
    <row r="820" spans="2:14" x14ac:dyDescent="0.55000000000000004">
      <c r="C820" s="2" t="s">
        <v>26</v>
      </c>
      <c r="D820" s="2">
        <v>0.50322500000000003</v>
      </c>
      <c r="E820" s="2">
        <v>0.62029900000000004</v>
      </c>
      <c r="F820" s="2">
        <v>0.45987800000000001</v>
      </c>
      <c r="G820" s="2">
        <v>0.49390200000000001</v>
      </c>
      <c r="H820" s="2">
        <v>0.50101600000000002</v>
      </c>
      <c r="I820" s="2">
        <v>0.39727499999999999</v>
      </c>
      <c r="J820" s="2">
        <v>0.47804000000000002</v>
      </c>
      <c r="K820" s="2">
        <v>0.319938</v>
      </c>
      <c r="L820" s="2">
        <f>AVERAGE(D820:K820)</f>
        <v>0.47169662500000004</v>
      </c>
      <c r="M820" s="2">
        <f xml:space="preserve"> _xlfn.STDEV.S(D820:K820) / SQRT(COUNT(D820:K820))</f>
        <v>3.0815866028219958E-2</v>
      </c>
      <c r="N820" s="2">
        <f>M820*$N$2</f>
        <v>3.4487857763843215E-2</v>
      </c>
    </row>
    <row r="821" spans="2:14" x14ac:dyDescent="0.55000000000000004">
      <c r="C821" s="2" t="s">
        <v>27</v>
      </c>
      <c r="D821" s="2">
        <v>3.4499999999999998E-4</v>
      </c>
      <c r="E821" s="2">
        <v>6.7299999999999999E-4</v>
      </c>
      <c r="F821" s="2">
        <v>5.1199999999999998E-4</v>
      </c>
      <c r="G821" s="2">
        <v>8.0599999999999997E-4</v>
      </c>
      <c r="H821" s="2">
        <v>3.0400000000000002E-4</v>
      </c>
      <c r="I821" s="2">
        <v>3.5199999999999999E-4</v>
      </c>
      <c r="J821" s="2">
        <v>1.271E-3</v>
      </c>
      <c r="K821" s="2">
        <v>3.0800000000000001E-4</v>
      </c>
      <c r="L821" s="2">
        <f>(1/COUNT(D821:K821))*SQRT(SUMSQ(D821:K821))</f>
        <v>2.3083946667543659E-4</v>
      </c>
    </row>
    <row r="822" spans="2:14" x14ac:dyDescent="0.55000000000000004">
      <c r="C822" s="2" t="s">
        <v>28</v>
      </c>
      <c r="D822" s="2">
        <v>2.3174169999999998</v>
      </c>
      <c r="E822" s="2">
        <v>2.379756</v>
      </c>
      <c r="F822" s="2">
        <v>2.2781669999999998</v>
      </c>
      <c r="G822" s="2">
        <v>3.5714549999999998</v>
      </c>
      <c r="H822" s="2">
        <v>1.7370920000000001</v>
      </c>
      <c r="I822" s="2">
        <v>3.443546</v>
      </c>
      <c r="J822" s="2">
        <v>3.3881130000000002</v>
      </c>
      <c r="K822" s="2">
        <v>2.7257729999999998</v>
      </c>
      <c r="L822" s="2">
        <f>AVERAGE(D822:K822)</f>
        <v>2.7301648749999998</v>
      </c>
      <c r="M822" s="2">
        <f xml:space="preserve"> _xlfn.STDEV.S(D822:K822) / SQRT(COUNT(D822:K822))</f>
        <v>0.23653902312254052</v>
      </c>
      <c r="N822" s="2">
        <f>M822*$N$2</f>
        <v>0.26472480694127098</v>
      </c>
    </row>
    <row r="823" spans="2:14" x14ac:dyDescent="0.55000000000000004">
      <c r="C823" s="2" t="s">
        <v>29</v>
      </c>
      <c r="D823" s="2">
        <v>4.0419999999999996E-3</v>
      </c>
      <c r="E823" s="2">
        <v>4.3689999999999996E-3</v>
      </c>
      <c r="F823" s="2">
        <v>4.6820000000000004E-3</v>
      </c>
      <c r="G823" s="2">
        <v>9.4940000000000007E-3</v>
      </c>
      <c r="H823" s="2">
        <v>2.4810000000000001E-3</v>
      </c>
      <c r="I823" s="2">
        <v>5.666E-3</v>
      </c>
      <c r="J823" s="2">
        <v>1.1273999999999999E-2</v>
      </c>
      <c r="K823" s="2">
        <v>2.934E-3</v>
      </c>
      <c r="L823" s="2">
        <f>(1/COUNT(D823:K823))*SQRT(SUMSQ(D823:K823))</f>
        <v>2.2411403138246386E-3</v>
      </c>
    </row>
    <row r="824" spans="2:14" x14ac:dyDescent="0.55000000000000004">
      <c r="C824" s="2" t="s">
        <v>30</v>
      </c>
      <c r="D824" s="2">
        <v>13.890304</v>
      </c>
      <c r="E824" s="2">
        <v>16.124801999999999</v>
      </c>
      <c r="F824" s="2">
        <v>13.956588</v>
      </c>
      <c r="G824" s="2">
        <v>16.311540999999998</v>
      </c>
      <c r="H824" s="2">
        <v>10.877079</v>
      </c>
      <c r="I824" s="2">
        <v>16.197880000000001</v>
      </c>
      <c r="J824" s="2">
        <v>18.267474</v>
      </c>
      <c r="K824" s="2">
        <v>13.516672</v>
      </c>
      <c r="L824" s="2">
        <f>AVERAGE(D824:K824)</f>
        <v>14.892792499999999</v>
      </c>
      <c r="M824" s="2">
        <f xml:space="preserve"> _xlfn.STDEV.S(D824:K824) / SQRT(COUNT(D824:K824))</f>
        <v>0.80759285099185285</v>
      </c>
      <c r="N824" s="2">
        <f>M824*$N$2</f>
        <v>0.903824911186911</v>
      </c>
    </row>
    <row r="825" spans="2:14" x14ac:dyDescent="0.55000000000000004">
      <c r="C825" s="2" t="s">
        <v>31</v>
      </c>
      <c r="D825" s="2">
        <v>9.4929999999999997E-3</v>
      </c>
      <c r="E825" s="2">
        <v>8.0269999999999994E-3</v>
      </c>
      <c r="F825" s="2">
        <v>1.7316999999999999E-2</v>
      </c>
      <c r="G825" s="2">
        <v>3.4291000000000002E-2</v>
      </c>
      <c r="H825" s="2">
        <v>1.1276E-2</v>
      </c>
      <c r="I825" s="2">
        <v>1.1440000000000001E-2</v>
      </c>
      <c r="J825" s="2">
        <v>2.6116E-2</v>
      </c>
      <c r="K825" s="2">
        <v>1.3535E-2</v>
      </c>
      <c r="L825" s="2">
        <f>(1/COUNT(D825:K825))*SQRT(SUMSQ(D825:K825))</f>
        <v>6.5593020839205913E-3</v>
      </c>
    </row>
    <row r="826" spans="2:14" x14ac:dyDescent="0.55000000000000004">
      <c r="B826" s="2" t="s">
        <v>34</v>
      </c>
      <c r="C826" s="2" t="s">
        <v>22</v>
      </c>
      <c r="D826" s="2">
        <v>0.83405700000000005</v>
      </c>
      <c r="E826" s="2">
        <v>0.899613</v>
      </c>
      <c r="F826" s="2">
        <v>0.74235099999999998</v>
      </c>
      <c r="G826" s="2">
        <v>0.83625300000000002</v>
      </c>
      <c r="H826" s="2">
        <v>0.81563699999999995</v>
      </c>
      <c r="I826" s="2">
        <v>0.87501799999999996</v>
      </c>
      <c r="J826" s="2">
        <v>0.88099400000000005</v>
      </c>
      <c r="K826" s="2">
        <v>0.74204000000000003</v>
      </c>
      <c r="L826" s="2">
        <f>AVERAGE(D826:K826)</f>
        <v>0.82824537500000006</v>
      </c>
      <c r="M826" s="2">
        <f xml:space="preserve"> _xlfn.STDEV.S(D826:K826) / SQRT(COUNT(D826:K826))</f>
        <v>2.1183514600254517E-2</v>
      </c>
      <c r="N826" s="2">
        <f>M826*$N$2</f>
        <v>2.3707723735651075E-2</v>
      </c>
    </row>
    <row r="827" spans="2:14" x14ac:dyDescent="0.55000000000000004">
      <c r="C827" s="2" t="s">
        <v>23</v>
      </c>
      <c r="D827" s="2">
        <v>2.7859999999999998E-3</v>
      </c>
      <c r="E827" s="2">
        <v>1.8600000000000001E-3</v>
      </c>
      <c r="F827" s="2">
        <v>1.0041E-2</v>
      </c>
      <c r="G827" s="2">
        <v>4.9459999999999999E-3</v>
      </c>
      <c r="H827" s="2">
        <v>1.4920000000000001E-3</v>
      </c>
      <c r="I827" s="2">
        <v>1.6180000000000001E-3</v>
      </c>
      <c r="J827" s="2">
        <v>6.1929999999999997E-3</v>
      </c>
      <c r="K827" s="2">
        <v>7.0600000000000003E-4</v>
      </c>
      <c r="L827" s="2">
        <f>(1/COUNT(D827:K827))*SQRT(SUMSQ(D827:K827))</f>
        <v>1.6779901761482395E-3</v>
      </c>
    </row>
    <row r="828" spans="2:14" x14ac:dyDescent="0.55000000000000004">
      <c r="C828" s="2" t="s">
        <v>24</v>
      </c>
      <c r="D828" s="2">
        <v>0.55383000000000004</v>
      </c>
      <c r="E828" s="2">
        <v>0.43291299999999999</v>
      </c>
      <c r="F828" s="2">
        <v>0.67025900000000005</v>
      </c>
      <c r="G828" s="2">
        <v>0.54790399999999995</v>
      </c>
      <c r="H828" s="2">
        <v>0.57923599999999997</v>
      </c>
      <c r="I828" s="2">
        <v>0.485377</v>
      </c>
      <c r="J828" s="2">
        <v>0.46556700000000001</v>
      </c>
      <c r="K828" s="2">
        <v>0.68169500000000005</v>
      </c>
      <c r="L828" s="2">
        <f>AVERAGE(D828:K828)</f>
        <v>0.55209762500000004</v>
      </c>
      <c r="M828" s="2">
        <f xml:space="preserve"> _xlfn.STDEV.S(D828:K828) / SQRT(COUNT(D828:K828))</f>
        <v>3.2087724304930017E-2</v>
      </c>
      <c r="N828" s="2">
        <f>M828*$N$2</f>
        <v>3.5911269564205234E-2</v>
      </c>
    </row>
    <row r="829" spans="2:14" x14ac:dyDescent="0.55000000000000004">
      <c r="C829" s="2" t="s">
        <v>25</v>
      </c>
      <c r="D829" s="2">
        <v>4.078E-3</v>
      </c>
      <c r="E829" s="2">
        <v>3.735E-3</v>
      </c>
      <c r="F829" s="2">
        <v>1.0904E-2</v>
      </c>
      <c r="G829" s="2">
        <v>7.2940000000000001E-3</v>
      </c>
      <c r="H829" s="2">
        <v>2.0990000000000002E-3</v>
      </c>
      <c r="I829" s="2">
        <v>2.8939999999999999E-3</v>
      </c>
      <c r="J829" s="2">
        <v>1.0511E-2</v>
      </c>
      <c r="K829" s="2">
        <v>8.6700000000000004E-4</v>
      </c>
      <c r="L829" s="2">
        <f>(1/COUNT(D829:K829))*SQRT(SUMSQ(D829:K829))</f>
        <v>2.2593341386346554E-3</v>
      </c>
    </row>
    <row r="830" spans="2:14" x14ac:dyDescent="0.55000000000000004">
      <c r="C830" s="2" t="s">
        <v>26</v>
      </c>
      <c r="D830" s="2">
        <v>0.48086899999999999</v>
      </c>
      <c r="E830" s="2">
        <v>0.61065400000000003</v>
      </c>
      <c r="F830" s="2">
        <v>0.45170100000000002</v>
      </c>
      <c r="G830" s="2">
        <v>0.46209800000000001</v>
      </c>
      <c r="H830" s="2">
        <v>0.47230800000000001</v>
      </c>
      <c r="I830" s="2">
        <v>0.38817299999999999</v>
      </c>
      <c r="J830" s="2">
        <v>0.50480499999999995</v>
      </c>
      <c r="K830" s="2">
        <v>0.31573200000000001</v>
      </c>
      <c r="L830" s="2">
        <f>AVERAGE(D830:K830)</f>
        <v>0.46079249999999999</v>
      </c>
      <c r="M830" s="2">
        <f xml:space="preserve"> _xlfn.STDEV.S(D830:K830) / SQRT(COUNT(D830:K830))</f>
        <v>3.027603427335597E-2</v>
      </c>
      <c r="N830" s="2">
        <f>M830*$N$2</f>
        <v>3.3883700127607851E-2</v>
      </c>
    </row>
    <row r="831" spans="2:14" x14ac:dyDescent="0.55000000000000004">
      <c r="C831" s="2" t="s">
        <v>27</v>
      </c>
      <c r="D831" s="2">
        <v>4.5560000000000002E-3</v>
      </c>
      <c r="E831" s="2">
        <v>3.7690000000000002E-3</v>
      </c>
      <c r="F831" s="2">
        <v>6.5560000000000002E-3</v>
      </c>
      <c r="G831" s="2">
        <v>7.0470000000000003E-3</v>
      </c>
      <c r="H831" s="2">
        <v>1.663E-3</v>
      </c>
      <c r="I831" s="2">
        <v>2.679E-3</v>
      </c>
      <c r="J831" s="2">
        <v>1.0064999999999999E-2</v>
      </c>
      <c r="K831" s="2">
        <v>7.3200000000000001E-4</v>
      </c>
      <c r="L831" s="2">
        <f>(1/COUNT(D831:K831))*SQRT(SUMSQ(D831:K831))</f>
        <v>1.93401501496886E-3</v>
      </c>
    </row>
    <row r="832" spans="2:14" x14ac:dyDescent="0.55000000000000004">
      <c r="C832" s="2" t="s">
        <v>28</v>
      </c>
      <c r="D832" s="2">
        <v>2.6281789999999998</v>
      </c>
      <c r="E832" s="2">
        <v>2.5024799999999998</v>
      </c>
      <c r="F832" s="2">
        <v>2.412995</v>
      </c>
      <c r="G832" s="2">
        <v>3.957881</v>
      </c>
      <c r="H832" s="2">
        <v>1.969185</v>
      </c>
      <c r="I832" s="2">
        <v>3.5207259999999998</v>
      </c>
      <c r="J832" s="2">
        <v>3.2269540000000001</v>
      </c>
      <c r="K832" s="2">
        <v>2.771029</v>
      </c>
      <c r="L832" s="2">
        <f>AVERAGE(D832:K832)</f>
        <v>2.8736786249999997</v>
      </c>
      <c r="M832" s="2">
        <f xml:space="preserve"> _xlfn.STDEV.S(D832:K832) / SQRT(COUNT(D832:K832))</f>
        <v>0.22982532717533094</v>
      </c>
      <c r="N832" s="2">
        <f>M832*$N$2</f>
        <v>0.25721111283690867</v>
      </c>
    </row>
    <row r="833" spans="2:14" x14ac:dyDescent="0.55000000000000004">
      <c r="C833" s="2" t="s">
        <v>29</v>
      </c>
      <c r="D833" s="2">
        <v>6.1490000000000003E-2</v>
      </c>
      <c r="E833" s="2">
        <v>2.4035000000000001E-2</v>
      </c>
      <c r="F833" s="2">
        <v>7.3424000000000003E-2</v>
      </c>
      <c r="G833" s="2">
        <v>0.124485</v>
      </c>
      <c r="H833" s="2">
        <v>1.5887999999999999E-2</v>
      </c>
      <c r="I833" s="2">
        <v>6.1294000000000001E-2</v>
      </c>
      <c r="J833" s="2">
        <v>0.12870200000000001</v>
      </c>
      <c r="K833" s="2">
        <v>6.4650000000000003E-3</v>
      </c>
      <c r="L833" s="2">
        <f>(1/COUNT(D833:K833))*SQRT(SUMSQ(D833:K833))</f>
        <v>2.6769176635346392E-2</v>
      </c>
    </row>
    <row r="834" spans="2:14" x14ac:dyDescent="0.55000000000000004">
      <c r="C834" s="2" t="s">
        <v>30</v>
      </c>
      <c r="D834" s="2">
        <v>14.919665</v>
      </c>
      <c r="E834" s="2">
        <v>16.605170999999999</v>
      </c>
      <c r="F834" s="2">
        <v>14.990448000000001</v>
      </c>
      <c r="G834" s="2">
        <v>18.306612999999999</v>
      </c>
      <c r="H834" s="2">
        <v>12.287483999999999</v>
      </c>
      <c r="I834" s="2">
        <v>16.15165</v>
      </c>
      <c r="J834" s="2">
        <v>18.708417000000001</v>
      </c>
      <c r="K834" s="2">
        <v>13.607637</v>
      </c>
      <c r="L834" s="2">
        <f>AVERAGE(D834:K834)</f>
        <v>15.697135625000001</v>
      </c>
      <c r="M834" s="2">
        <f xml:space="preserve"> _xlfn.STDEV.S(D834:K834) / SQRT(COUNT(D834:K834))</f>
        <v>0.77923836360072551</v>
      </c>
      <c r="N834" s="2">
        <f>M834*$N$2</f>
        <v>0.87209172779312361</v>
      </c>
    </row>
    <row r="835" spans="2:14" x14ac:dyDescent="0.55000000000000004">
      <c r="C835" s="2" t="s">
        <v>31</v>
      </c>
      <c r="D835" s="2">
        <v>7.0359000000000005E-2</v>
      </c>
      <c r="E835" s="2">
        <v>3.9371000000000003E-2</v>
      </c>
      <c r="F835" s="2">
        <v>0.165516</v>
      </c>
      <c r="G835" s="2">
        <v>0.332839</v>
      </c>
      <c r="H835" s="2">
        <v>9.4397999999999996E-2</v>
      </c>
      <c r="I835" s="2">
        <v>9.5000000000000001E-2</v>
      </c>
      <c r="J835" s="2">
        <v>0.26362200000000002</v>
      </c>
      <c r="K835" s="2">
        <v>2.6529E-2</v>
      </c>
      <c r="L835" s="2">
        <f>(1/COUNT(D835:K835))*SQRT(SUMSQ(D835:K835))</f>
        <v>6.0313521989786838E-2</v>
      </c>
    </row>
    <row r="836" spans="2:14" x14ac:dyDescent="0.55000000000000004">
      <c r="B836" s="2" t="s">
        <v>35</v>
      </c>
      <c r="C836" s="2" t="s">
        <v>22</v>
      </c>
      <c r="D836" s="2">
        <v>0.72963999999999996</v>
      </c>
      <c r="E836" s="2">
        <v>0.87133899999999997</v>
      </c>
      <c r="F836" s="2">
        <v>0.71804400000000002</v>
      </c>
      <c r="G836" s="3">
        <v>0.83292299999999997</v>
      </c>
      <c r="H836" s="2">
        <v>0.81561399999999995</v>
      </c>
      <c r="I836" s="2">
        <v>0.85563900000000004</v>
      </c>
      <c r="J836" s="2">
        <v>0.85569600000000001</v>
      </c>
      <c r="K836" s="2">
        <v>0.72963999999999996</v>
      </c>
      <c r="L836" s="2">
        <f>AVERAGE(D836:K836)</f>
        <v>0.80106687500000007</v>
      </c>
      <c r="M836" s="2">
        <f xml:space="preserve"> _xlfn.STDEV.S(D836:K836) / SQRT(COUNT(D836:K836))</f>
        <v>2.2843980115462039E-2</v>
      </c>
      <c r="N836" s="2">
        <f>M836*$N$2</f>
        <v>2.5566048874324825E-2</v>
      </c>
    </row>
    <row r="837" spans="2:14" x14ac:dyDescent="0.55000000000000004">
      <c r="C837" s="2" t="s">
        <v>23</v>
      </c>
      <c r="D837" s="2">
        <v>3.6499999999999998E-4</v>
      </c>
      <c r="E837" s="2">
        <v>1.5219999999999999E-3</v>
      </c>
      <c r="F837" s="2">
        <v>7.7499999999999997E-4</v>
      </c>
      <c r="G837" s="2">
        <v>9.3099999999999997E-4</v>
      </c>
      <c r="H837" s="2">
        <v>5.8900000000000001E-4</v>
      </c>
      <c r="I837" s="2">
        <v>6.1600000000000001E-4</v>
      </c>
      <c r="J837" s="2">
        <v>1.2930000000000001E-3</v>
      </c>
      <c r="K837" s="2">
        <v>3.6499999999999998E-4</v>
      </c>
      <c r="L837" s="2">
        <f>(1/COUNT(D837:K837))*SQRT(SUMSQ(D837:K837))</f>
        <v>3.1742484346692208E-4</v>
      </c>
    </row>
    <row r="838" spans="2:14" x14ac:dyDescent="0.55000000000000004">
      <c r="C838" s="2" t="s">
        <v>24</v>
      </c>
      <c r="D838" s="2">
        <v>0.69739600000000002</v>
      </c>
      <c r="E838" s="2">
        <v>0.48244399999999998</v>
      </c>
      <c r="F838" s="2">
        <v>0.69585300000000005</v>
      </c>
      <c r="G838" s="2">
        <v>0.55370799999999998</v>
      </c>
      <c r="H838" s="2">
        <v>0.578932</v>
      </c>
      <c r="I838" s="2">
        <v>0.52206200000000003</v>
      </c>
      <c r="J838" s="2">
        <v>0.50697899999999996</v>
      </c>
      <c r="K838" s="2">
        <v>0.69739600000000002</v>
      </c>
      <c r="L838" s="2">
        <f>AVERAGE(D838:K838)</f>
        <v>0.59184625000000002</v>
      </c>
      <c r="M838" s="2">
        <f xml:space="preserve"> _xlfn.STDEV.S(D838:K838) / SQRT(COUNT(D838:K838))</f>
        <v>3.2393052451076716E-2</v>
      </c>
      <c r="N838" s="2">
        <f>M838*$N$2</f>
        <v>3.6252980346110963E-2</v>
      </c>
    </row>
    <row r="839" spans="2:14" x14ac:dyDescent="0.55000000000000004">
      <c r="C839" s="2" t="s">
        <v>25</v>
      </c>
      <c r="D839" s="2">
        <v>4.84E-4</v>
      </c>
      <c r="E839" s="2">
        <v>2.7889999999999998E-3</v>
      </c>
      <c r="F839" s="2">
        <v>8.3900000000000001E-4</v>
      </c>
      <c r="G839" s="2">
        <v>1.518E-3</v>
      </c>
      <c r="H839" s="2">
        <v>8.5499999999999997E-4</v>
      </c>
      <c r="I839" s="2">
        <v>1.0870000000000001E-3</v>
      </c>
      <c r="J839" s="2">
        <v>2.3670000000000002E-3</v>
      </c>
      <c r="K839" s="2">
        <v>4.84E-4</v>
      </c>
      <c r="L839" s="2">
        <f>(1/COUNT(D839:K839))*SQRT(SUMSQ(D839:K839))</f>
        <v>5.4156256852278851E-4</v>
      </c>
    </row>
    <row r="840" spans="2:14" x14ac:dyDescent="0.55000000000000004">
      <c r="C840" s="2" t="s">
        <v>26</v>
      </c>
      <c r="D840" s="2">
        <v>0.289821</v>
      </c>
      <c r="E840" s="2">
        <v>0.55832800000000005</v>
      </c>
      <c r="F840" s="2">
        <v>0.438473</v>
      </c>
      <c r="G840" s="2">
        <v>0.45789000000000002</v>
      </c>
      <c r="H840" s="2">
        <v>0.47372500000000001</v>
      </c>
      <c r="I840" s="2">
        <v>0.35630000000000001</v>
      </c>
      <c r="J840" s="2">
        <v>0.462945</v>
      </c>
      <c r="K840" s="2">
        <v>0.289821</v>
      </c>
      <c r="L840" s="2">
        <f>AVERAGE(D840:K840)</f>
        <v>0.41591287499999996</v>
      </c>
      <c r="M840" s="2">
        <f xml:space="preserve"> _xlfn.STDEV.S(D840:K840) / SQRT(COUNT(D840:K840))</f>
        <v>3.3663085287171025E-2</v>
      </c>
      <c r="N840" s="2">
        <f>M840*$N$2</f>
        <v>3.7674349187944579E-2</v>
      </c>
    </row>
    <row r="841" spans="2:14" x14ac:dyDescent="0.55000000000000004">
      <c r="C841" s="2" t="s">
        <v>27</v>
      </c>
      <c r="D841" s="2">
        <v>2.2499999999999999E-4</v>
      </c>
      <c r="E841" s="2">
        <v>2.9589999999999998E-3</v>
      </c>
      <c r="F841" s="2">
        <v>5.2999999999999998E-4</v>
      </c>
      <c r="G841" s="2">
        <v>1.8389999999999999E-3</v>
      </c>
      <c r="H841" s="2">
        <v>6.9899999999999997E-4</v>
      </c>
      <c r="I841" s="2">
        <v>9.2299999999999999E-4</v>
      </c>
      <c r="J841" s="2">
        <v>2.2929999999999999E-3</v>
      </c>
      <c r="K841" s="2">
        <v>2.2499999999999999E-4</v>
      </c>
      <c r="L841" s="2">
        <f>(1/COUNT(D841:K841))*SQRT(SUMSQ(D841:K841))</f>
        <v>5.465535626770719E-4</v>
      </c>
    </row>
    <row r="842" spans="2:14" x14ac:dyDescent="0.55000000000000004">
      <c r="C842" s="2" t="s">
        <v>28</v>
      </c>
      <c r="D842" s="2">
        <v>3.1640519999999999</v>
      </c>
      <c r="E842" s="2">
        <v>2.8814790000000001</v>
      </c>
      <c r="F842" s="2">
        <v>2.5090629999999998</v>
      </c>
      <c r="G842" s="2">
        <v>3.9450660000000002</v>
      </c>
      <c r="H842" s="2">
        <v>1.9644790000000001</v>
      </c>
      <c r="I842" s="2">
        <v>4.2741699999999998</v>
      </c>
      <c r="J842" s="2">
        <v>3.6586210000000001</v>
      </c>
      <c r="K842" s="2">
        <v>3.1640519999999999</v>
      </c>
      <c r="L842" s="2">
        <f>AVERAGE(D842:K842)</f>
        <v>3.1951227500000003</v>
      </c>
      <c r="M842" s="2">
        <f xml:space="preserve"> _xlfn.STDEV.S(D842:K842) / SQRT(COUNT(D842:K842))</f>
        <v>0.26816351883210998</v>
      </c>
      <c r="N842" s="2">
        <f>M842*$N$2</f>
        <v>0.30011764999446044</v>
      </c>
    </row>
    <row r="843" spans="2:14" x14ac:dyDescent="0.55000000000000004">
      <c r="C843" s="2" t="s">
        <v>29</v>
      </c>
      <c r="D843" s="2">
        <v>2.3500000000000001E-3</v>
      </c>
      <c r="E843" s="2">
        <v>2.1156999999999999E-2</v>
      </c>
      <c r="F843" s="2">
        <v>4.9119999999999997E-3</v>
      </c>
      <c r="G843" s="2">
        <v>2.3432000000000001E-2</v>
      </c>
      <c r="H843" s="2">
        <v>5.8409999999999998E-3</v>
      </c>
      <c r="I843" s="2">
        <v>2.0771999999999999E-2</v>
      </c>
      <c r="J843" s="2">
        <v>2.3962000000000001E-2</v>
      </c>
      <c r="K843" s="2">
        <v>2.3500000000000001E-3</v>
      </c>
      <c r="L843" s="2">
        <f>(1/COUNT(D843:K843))*SQRT(SUMSQ(D843:K843))</f>
        <v>5.6893825538233932E-3</v>
      </c>
    </row>
    <row r="844" spans="2:14" x14ac:dyDescent="0.55000000000000004">
      <c r="C844" s="2" t="s">
        <v>30</v>
      </c>
      <c r="D844" s="2">
        <v>14.766615</v>
      </c>
      <c r="E844" s="2">
        <v>16.616695</v>
      </c>
      <c r="F844" s="2">
        <v>14.461861000000001</v>
      </c>
      <c r="G844" s="2">
        <v>16.682548000000001</v>
      </c>
      <c r="H844" s="2">
        <v>12.364032</v>
      </c>
      <c r="I844" s="2">
        <v>17.747983000000001</v>
      </c>
      <c r="J844" s="2">
        <v>19.127272000000001</v>
      </c>
      <c r="K844" s="2">
        <v>14.766615</v>
      </c>
      <c r="L844" s="2">
        <f>AVERAGE(D844:K844)</f>
        <v>15.816702625000001</v>
      </c>
      <c r="M844" s="2">
        <f xml:space="preserve"> _xlfn.STDEV.S(D844:K844) / SQRT(COUNT(D844:K844))</f>
        <v>0.75641645512789135</v>
      </c>
      <c r="N844" s="2">
        <f>M844*$N$2</f>
        <v>0.84655038059912369</v>
      </c>
    </row>
    <row r="845" spans="2:14" x14ac:dyDescent="0.55000000000000004">
      <c r="C845" s="2" t="s">
        <v>31</v>
      </c>
      <c r="D845" s="2">
        <v>8.0549999999999997E-3</v>
      </c>
      <c r="E845" s="2">
        <v>2.4575E-2</v>
      </c>
      <c r="F845" s="2">
        <v>1.9456000000000001E-2</v>
      </c>
      <c r="G845" s="2">
        <v>6.9578000000000001E-2</v>
      </c>
      <c r="H845" s="2">
        <v>2.7237000000000001E-2</v>
      </c>
      <c r="I845" s="2">
        <v>5.1986999999999998E-2</v>
      </c>
      <c r="J845" s="2">
        <v>4.6537000000000002E-2</v>
      </c>
      <c r="K845" s="2">
        <v>8.0549999999999997E-3</v>
      </c>
      <c r="L845" s="2">
        <f>(1/COUNT(D845:K845))*SQRT(SUMSQ(D845:K845))</f>
        <v>1.3441729219347115E-2</v>
      </c>
    </row>
    <row r="846" spans="2:14" x14ac:dyDescent="0.55000000000000004">
      <c r="B846" s="2" t="s">
        <v>45</v>
      </c>
      <c r="C846" s="2" t="s">
        <v>22</v>
      </c>
      <c r="D846" s="2">
        <v>0.81071400000000005</v>
      </c>
      <c r="E846" s="2">
        <v>0.84501700000000002</v>
      </c>
      <c r="F846" s="2">
        <v>0.67535100000000003</v>
      </c>
      <c r="G846" s="2">
        <v>0.81912200000000002</v>
      </c>
      <c r="H846" s="2">
        <v>0.82606900000000005</v>
      </c>
      <c r="I846" s="2">
        <v>0.84499400000000002</v>
      </c>
      <c r="J846" s="2">
        <v>0.84796199999999999</v>
      </c>
      <c r="K846" s="2">
        <v>0.72956100000000002</v>
      </c>
      <c r="L846" s="2">
        <f>AVERAGE(D846:K846)</f>
        <v>0.79984875000000011</v>
      </c>
      <c r="M846" s="2">
        <f xml:space="preserve"> _xlfn.STDEV.S(D846:K846) / SQRT(COUNT(D846:K846))</f>
        <v>2.2364760274456968E-2</v>
      </c>
      <c r="N846" s="2">
        <f>M846*$N$2</f>
        <v>2.5029725614772121E-2</v>
      </c>
    </row>
    <row r="847" spans="2:14" x14ac:dyDescent="0.55000000000000004">
      <c r="C847" s="2" t="s">
        <v>23</v>
      </c>
      <c r="D847" s="2">
        <v>3.3419999999999999E-3</v>
      </c>
      <c r="E847" s="2">
        <v>3.5309999999999999E-3</v>
      </c>
      <c r="F847" s="2">
        <v>7.8969999999999995E-3</v>
      </c>
      <c r="G847" s="2">
        <v>6.2690000000000003E-3</v>
      </c>
      <c r="H847" s="2">
        <v>1.5430000000000001E-3</v>
      </c>
      <c r="I847" s="2">
        <v>1.67E-3</v>
      </c>
      <c r="J847" s="2">
        <v>2.575E-3</v>
      </c>
      <c r="K847" s="2">
        <v>6.0860000000000003E-3</v>
      </c>
      <c r="L847" s="2">
        <f>(1/COUNT(D847:K847))*SQRT(SUMSQ(D847:K847))</f>
        <v>1.6495248605659146E-3</v>
      </c>
    </row>
    <row r="848" spans="2:14" x14ac:dyDescent="0.55000000000000004">
      <c r="C848" s="2" t="s">
        <v>24</v>
      </c>
      <c r="D848" s="2">
        <v>0.58243900000000004</v>
      </c>
      <c r="E848" s="2">
        <v>0.52121099999999998</v>
      </c>
      <c r="F848" s="2">
        <v>0.74230600000000002</v>
      </c>
      <c r="G848" s="2">
        <v>0.56655699999999998</v>
      </c>
      <c r="H848" s="2">
        <v>0.56279199999999996</v>
      </c>
      <c r="I848" s="2">
        <v>0.53598699999999999</v>
      </c>
      <c r="J848" s="2">
        <v>0.51958099999999996</v>
      </c>
      <c r="K848" s="2">
        <v>0.69400300000000004</v>
      </c>
      <c r="L848" s="2">
        <f>AVERAGE(D848:K848)</f>
        <v>0.59060950000000001</v>
      </c>
      <c r="M848" s="2">
        <f xml:space="preserve"> _xlfn.STDEV.S(D848:K848) / SQRT(COUNT(D848:K848))</f>
        <v>2.9266617443282374E-2</v>
      </c>
      <c r="N848" s="2">
        <f>M848*$N$2</f>
        <v>3.2754002067909391E-2</v>
      </c>
    </row>
    <row r="849" spans="2:14" x14ac:dyDescent="0.55000000000000004">
      <c r="C849" s="2" t="s">
        <v>25</v>
      </c>
      <c r="D849" s="2">
        <v>5.4140000000000004E-3</v>
      </c>
      <c r="E849" s="2">
        <v>5.7869999999999996E-3</v>
      </c>
      <c r="F849" s="2">
        <v>7.6340000000000002E-3</v>
      </c>
      <c r="G849" s="2">
        <v>8.7060000000000002E-3</v>
      </c>
      <c r="H849" s="2">
        <v>2.2230000000000001E-3</v>
      </c>
      <c r="I849" s="2">
        <v>2.823E-3</v>
      </c>
      <c r="J849" s="2">
        <v>5.4089999999999997E-3</v>
      </c>
      <c r="K849" s="2">
        <v>6.9829999999999996E-3</v>
      </c>
      <c r="L849" s="2">
        <f>(1/COUNT(D849:K849))*SQRT(SUMSQ(D849:K849))</f>
        <v>2.1205975904506256E-3</v>
      </c>
    </row>
    <row r="850" spans="2:14" x14ac:dyDescent="0.55000000000000004">
      <c r="C850" s="2" t="s">
        <v>26</v>
      </c>
      <c r="D850" s="2">
        <v>0.44804699999999997</v>
      </c>
      <c r="E850" s="2">
        <v>0.51991600000000004</v>
      </c>
      <c r="F850" s="2">
        <v>0.41114200000000001</v>
      </c>
      <c r="G850" s="2">
        <v>0.45322899999999999</v>
      </c>
      <c r="H850" s="2">
        <v>0.48688900000000002</v>
      </c>
      <c r="I850" s="2">
        <v>0.348464</v>
      </c>
      <c r="J850" s="2">
        <v>0.45869700000000002</v>
      </c>
      <c r="K850" s="2">
        <v>0.29145300000000002</v>
      </c>
      <c r="L850" s="2">
        <f>AVERAGE(D850:K850)</f>
        <v>0.427229625</v>
      </c>
      <c r="M850" s="2">
        <f xml:space="preserve"> _xlfn.STDEV.S(D850:K850) / SQRT(COUNT(D850:K850))</f>
        <v>2.6439843676554248E-2</v>
      </c>
      <c r="N850" s="2">
        <f>M850*$N$2</f>
        <v>2.9590392403063173E-2</v>
      </c>
    </row>
    <row r="851" spans="2:14" x14ac:dyDescent="0.55000000000000004">
      <c r="C851" s="2" t="s">
        <v>27</v>
      </c>
      <c r="D851" s="2">
        <v>6.241E-3</v>
      </c>
      <c r="E851" s="2">
        <v>6.0990000000000003E-3</v>
      </c>
      <c r="F851" s="2">
        <v>3.0590000000000001E-3</v>
      </c>
      <c r="G851" s="2">
        <v>9.214E-3</v>
      </c>
      <c r="H851" s="2">
        <v>1.7279999999999999E-3</v>
      </c>
      <c r="I851" s="2">
        <v>2.2070000000000002E-3</v>
      </c>
      <c r="J851" s="2">
        <v>5.1070000000000004E-3</v>
      </c>
      <c r="K851" s="2">
        <v>5.0549999999999996E-3</v>
      </c>
      <c r="L851" s="2">
        <f>(1/COUNT(D851:K851))*SQRT(SUMSQ(D851:K851))</f>
        <v>1.8952838919934923E-3</v>
      </c>
    </row>
    <row r="852" spans="2:14" x14ac:dyDescent="0.55000000000000004">
      <c r="C852" s="2" t="s">
        <v>28</v>
      </c>
      <c r="D852" s="2">
        <v>3.44062</v>
      </c>
      <c r="E852" s="2">
        <v>3.5520849999999999</v>
      </c>
      <c r="F852" s="2">
        <v>2.7893620000000001</v>
      </c>
      <c r="G852" s="2">
        <v>4.4372340000000001</v>
      </c>
      <c r="H852" s="2">
        <v>1.85077</v>
      </c>
      <c r="I852" s="2">
        <v>4.7463509999999998</v>
      </c>
      <c r="J852" s="2">
        <v>3.8618000000000001</v>
      </c>
      <c r="K852" s="2">
        <v>3.1641659999999998</v>
      </c>
      <c r="L852" s="2">
        <f>AVERAGE(D852:K852)</f>
        <v>3.4802985</v>
      </c>
      <c r="M852" s="2">
        <f xml:space="preserve"> _xlfn.STDEV.S(D852:K852) / SQRT(COUNT(D852:K852))</f>
        <v>0.32468615891415636</v>
      </c>
      <c r="N852" s="2">
        <f>M852*$N$2</f>
        <v>0.36337547860136654</v>
      </c>
    </row>
    <row r="853" spans="2:14" x14ac:dyDescent="0.55000000000000004">
      <c r="C853" s="2" t="s">
        <v>29</v>
      </c>
      <c r="D853" s="2">
        <v>7.1180999999999994E-2</v>
      </c>
      <c r="E853" s="2">
        <v>6.4667000000000002E-2</v>
      </c>
      <c r="F853" s="2">
        <v>6.0536E-2</v>
      </c>
      <c r="G853" s="2">
        <v>0.23774899999999999</v>
      </c>
      <c r="H853" s="2">
        <v>1.3861999999999999E-2</v>
      </c>
      <c r="I853" s="2">
        <v>4.5619E-2</v>
      </c>
      <c r="J853" s="2">
        <v>4.5723E-2</v>
      </c>
      <c r="K853" s="2">
        <v>7.7035999999999993E-2</v>
      </c>
      <c r="L853" s="2">
        <f>(1/COUNT(D853:K853))*SQRT(SUMSQ(D853:K853))</f>
        <v>3.5296984683760524E-2</v>
      </c>
    </row>
    <row r="854" spans="2:14" x14ac:dyDescent="0.55000000000000004">
      <c r="C854" s="2" t="s">
        <v>30</v>
      </c>
      <c r="D854" s="2">
        <v>15.829617000000001</v>
      </c>
      <c r="E854" s="2">
        <v>17.757667000000001</v>
      </c>
      <c r="F854" s="2">
        <v>14.964987000000001</v>
      </c>
      <c r="G854" s="2">
        <v>17.493600000000001</v>
      </c>
      <c r="H854" s="2">
        <v>11.610720000000001</v>
      </c>
      <c r="I854" s="2">
        <v>17.981180999999999</v>
      </c>
      <c r="J854" s="2">
        <v>19.964789</v>
      </c>
      <c r="K854" s="2">
        <v>14.656321</v>
      </c>
      <c r="L854" s="2">
        <f>AVERAGE(D854:K854)</f>
        <v>16.28236025</v>
      </c>
      <c r="M854" s="2">
        <f xml:space="preserve"> _xlfn.STDEV.S(D854:K854) / SQRT(COUNT(D854:K854))</f>
        <v>0.91122543251450239</v>
      </c>
      <c r="N854" s="2">
        <f>M854*$N$2</f>
        <v>1.0198062607936373</v>
      </c>
    </row>
    <row r="855" spans="2:14" x14ac:dyDescent="0.55000000000000004">
      <c r="C855" s="2" t="s">
        <v>31</v>
      </c>
      <c r="D855" s="2">
        <v>0.12865799999999999</v>
      </c>
      <c r="E855" s="2">
        <v>0.12812999999999999</v>
      </c>
      <c r="F855" s="2">
        <v>0.264878</v>
      </c>
      <c r="G855" s="2">
        <v>0.60847499999999999</v>
      </c>
      <c r="H855" s="2">
        <v>4.9211999999999999E-2</v>
      </c>
      <c r="I855" s="2">
        <v>0.16431499999999999</v>
      </c>
      <c r="J855" s="2">
        <v>7.2005E-2</v>
      </c>
      <c r="K855" s="2">
        <v>0.237343</v>
      </c>
      <c r="L855" s="2">
        <f>(1/COUNT(D855:K855))*SQRT(SUMSQ(D855:K855))</f>
        <v>9.3900713706685957E-2</v>
      </c>
    </row>
    <row r="856" spans="2:14" x14ac:dyDescent="0.55000000000000004">
      <c r="B856" s="2" t="s">
        <v>46</v>
      </c>
      <c r="C856" s="2" t="s">
        <v>22</v>
      </c>
      <c r="L856" s="2" t="e">
        <f>AVERAGE(D856:K856)</f>
        <v>#DIV/0!</v>
      </c>
      <c r="M856" s="2" t="e">
        <f xml:space="preserve"> _xlfn.STDEV.S(D856:K856) / SQRT(COUNT(D856:K856))</f>
        <v>#DIV/0!</v>
      </c>
      <c r="N856" s="2" t="e">
        <f>M856*$N$2</f>
        <v>#DIV/0!</v>
      </c>
    </row>
    <row r="857" spans="2:14" x14ac:dyDescent="0.55000000000000004">
      <c r="C857" s="2" t="s">
        <v>23</v>
      </c>
      <c r="L857" s="2" t="e">
        <f>(1/COUNT(D857:K857))*SQRT(SUMSQ(D857:K857))</f>
        <v>#DIV/0!</v>
      </c>
    </row>
    <row r="858" spans="2:14" x14ac:dyDescent="0.55000000000000004">
      <c r="C858" s="2" t="s">
        <v>24</v>
      </c>
      <c r="L858" s="2" t="e">
        <f>AVERAGE(D858:K858)</f>
        <v>#DIV/0!</v>
      </c>
      <c r="M858" s="2" t="e">
        <f xml:space="preserve"> _xlfn.STDEV.S(D858:K858) / SQRT(COUNT(D858:K858))</f>
        <v>#DIV/0!</v>
      </c>
      <c r="N858" s="2" t="e">
        <f>M858*$N$2</f>
        <v>#DIV/0!</v>
      </c>
    </row>
    <row r="859" spans="2:14" x14ac:dyDescent="0.55000000000000004">
      <c r="C859" s="2" t="s">
        <v>25</v>
      </c>
      <c r="L859" s="2" t="e">
        <f>(1/COUNT(D859:K859))*SQRT(SUMSQ(D859:K859))</f>
        <v>#DIV/0!</v>
      </c>
    </row>
    <row r="860" spans="2:14" x14ac:dyDescent="0.55000000000000004">
      <c r="C860" s="2" t="s">
        <v>26</v>
      </c>
      <c r="L860" s="2" t="e">
        <f>AVERAGE(D860:K860)</f>
        <v>#DIV/0!</v>
      </c>
      <c r="M860" s="2" t="e">
        <f xml:space="preserve"> _xlfn.STDEV.S(D860:K860) / SQRT(COUNT(D860:K860))</f>
        <v>#DIV/0!</v>
      </c>
      <c r="N860" s="2" t="e">
        <f>M860*$N$2</f>
        <v>#DIV/0!</v>
      </c>
    </row>
    <row r="861" spans="2:14" x14ac:dyDescent="0.55000000000000004">
      <c r="C861" s="2" t="s">
        <v>27</v>
      </c>
      <c r="L861" s="2" t="e">
        <f>(1/COUNT(D861:K861))*SQRT(SUMSQ(D861:K861))</f>
        <v>#DIV/0!</v>
      </c>
    </row>
    <row r="862" spans="2:14" x14ac:dyDescent="0.55000000000000004">
      <c r="C862" s="2" t="s">
        <v>28</v>
      </c>
      <c r="L862" s="2" t="e">
        <f>AVERAGE(D862:K862)</f>
        <v>#DIV/0!</v>
      </c>
      <c r="M862" s="2" t="e">
        <f xml:space="preserve"> _xlfn.STDEV.S(D862:K862) / SQRT(COUNT(D862:K862))</f>
        <v>#DIV/0!</v>
      </c>
      <c r="N862" s="2" t="e">
        <f>M862*$N$2</f>
        <v>#DIV/0!</v>
      </c>
    </row>
    <row r="863" spans="2:14" x14ac:dyDescent="0.55000000000000004">
      <c r="C863" s="2" t="s">
        <v>29</v>
      </c>
      <c r="L863" s="2" t="e">
        <f>(1/COUNT(D863:K863))*SQRT(SUMSQ(D863:K863))</f>
        <v>#DIV/0!</v>
      </c>
    </row>
    <row r="864" spans="2:14" x14ac:dyDescent="0.55000000000000004">
      <c r="C864" s="2" t="s">
        <v>30</v>
      </c>
      <c r="L864" s="2" t="e">
        <f>AVERAGE(D864:K864)</f>
        <v>#DIV/0!</v>
      </c>
      <c r="M864" s="2" t="e">
        <f xml:space="preserve"> _xlfn.STDEV.S(D864:K864) / SQRT(COUNT(D864:K864))</f>
        <v>#DIV/0!</v>
      </c>
      <c r="N864" s="2" t="e">
        <f>M864*$N$2</f>
        <v>#DIV/0!</v>
      </c>
    </row>
    <row r="865" spans="2:14" x14ac:dyDescent="0.55000000000000004">
      <c r="C865" s="2" t="s">
        <v>31</v>
      </c>
      <c r="L865" s="2" t="e">
        <f>(1/COUNT(D865:K865))*SQRT(SUMSQ(D865:K865))</f>
        <v>#DIV/0!</v>
      </c>
    </row>
    <row r="866" spans="2:14" x14ac:dyDescent="0.55000000000000004">
      <c r="B866" s="2" t="s">
        <v>36</v>
      </c>
      <c r="C866" s="2" t="s">
        <v>22</v>
      </c>
      <c r="D866" s="2">
        <v>0.78137999999999996</v>
      </c>
      <c r="E866" s="2">
        <v>0.84237799999999996</v>
      </c>
      <c r="F866" s="2">
        <v>0.70324200000000003</v>
      </c>
      <c r="G866" s="2">
        <v>0.86828499999999997</v>
      </c>
      <c r="H866" s="2">
        <v>0.82208300000000001</v>
      </c>
      <c r="I866" s="2">
        <v>0.84039799999999998</v>
      </c>
      <c r="J866" s="2">
        <v>0.84385399999999999</v>
      </c>
      <c r="K866" s="2">
        <v>0.74473599999999995</v>
      </c>
      <c r="L866" s="2">
        <f>AVERAGE(D866:K866)</f>
        <v>0.80579449999999997</v>
      </c>
      <c r="M866" s="2">
        <f xml:space="preserve"> _xlfn.STDEV.S(D866:K866) / SQRT(COUNT(D866:K866))</f>
        <v>2.0264272543426907E-2</v>
      </c>
      <c r="N866" s="2">
        <f>M866*$N$2</f>
        <v>2.2678945596578778E-2</v>
      </c>
    </row>
    <row r="867" spans="2:14" x14ac:dyDescent="0.55000000000000004">
      <c r="C867" s="2" t="s">
        <v>24</v>
      </c>
      <c r="D867" s="2">
        <v>0.626969</v>
      </c>
      <c r="E867" s="2">
        <v>0.53350799999999998</v>
      </c>
      <c r="F867" s="2">
        <v>0.70994400000000002</v>
      </c>
      <c r="G867" s="2">
        <v>0.48932399999999998</v>
      </c>
      <c r="H867" s="2">
        <v>0.56877299999999997</v>
      </c>
      <c r="I867" s="2">
        <v>0.54398800000000003</v>
      </c>
      <c r="J867" s="2">
        <v>0.52445299999999995</v>
      </c>
      <c r="K867" s="2">
        <v>0.67707600000000001</v>
      </c>
      <c r="L867" s="2">
        <f t="shared" ref="L867:L884" si="27">AVERAGE(D867:K867)</f>
        <v>0.58425437499999999</v>
      </c>
      <c r="M867" s="2">
        <f t="shared" ref="M867:M883" si="28" xml:space="preserve"> _xlfn.STDEV.S(D867:K867) / SQRT(COUNT(D867:K867))</f>
        <v>2.7794688644041207E-2</v>
      </c>
      <c r="N867" s="2">
        <f t="shared" ref="N867:N883" si="29">M867*$N$2</f>
        <v>3.110667951594066E-2</v>
      </c>
    </row>
    <row r="868" spans="2:14" x14ac:dyDescent="0.55000000000000004">
      <c r="C868" s="2" t="s">
        <v>26</v>
      </c>
      <c r="D868" s="2">
        <v>0.40033400000000002</v>
      </c>
      <c r="E868" s="2">
        <v>0.50191600000000003</v>
      </c>
      <c r="F868" s="2">
        <v>0.42801299999999998</v>
      </c>
      <c r="G868" s="2">
        <v>0.53031899999999998</v>
      </c>
      <c r="H868" s="2">
        <v>0.48155199999999998</v>
      </c>
      <c r="I868" s="2">
        <v>0.34153699999999998</v>
      </c>
      <c r="J868" s="2">
        <v>0.45226</v>
      </c>
      <c r="K868" s="2">
        <v>0.30693199999999998</v>
      </c>
      <c r="L868" s="2">
        <f t="shared" si="27"/>
        <v>0.43035787499999989</v>
      </c>
      <c r="M868" s="2">
        <f t="shared" si="28"/>
        <v>2.7465354553794522E-2</v>
      </c>
      <c r="N868" s="2">
        <f t="shared" si="29"/>
        <v>3.0738102262560497E-2</v>
      </c>
    </row>
    <row r="869" spans="2:14" x14ac:dyDescent="0.55000000000000004">
      <c r="C869" s="2" t="s">
        <v>28</v>
      </c>
      <c r="D869" s="2">
        <v>4.0998830000000002</v>
      </c>
      <c r="E869" s="2">
        <v>3.4104109999999999</v>
      </c>
      <c r="F869" s="2">
        <v>2.61917</v>
      </c>
      <c r="G869" s="2">
        <v>3.1591119999999999</v>
      </c>
      <c r="H869" s="2">
        <v>1.868825</v>
      </c>
      <c r="I869" s="2">
        <v>4.8993399999999996</v>
      </c>
      <c r="J869" s="2">
        <v>3.9020709999999998</v>
      </c>
      <c r="K869" s="2">
        <v>2.9060079999999999</v>
      </c>
      <c r="L869" s="2">
        <f t="shared" si="27"/>
        <v>3.3581024999999998</v>
      </c>
      <c r="M869" s="2">
        <f t="shared" si="28"/>
        <v>0.33360168232848125</v>
      </c>
      <c r="N869" s="2">
        <f t="shared" si="29"/>
        <v>0.37335336801462771</v>
      </c>
    </row>
    <row r="870" spans="2:14" x14ac:dyDescent="0.55000000000000004">
      <c r="C870" s="2" t="s">
        <v>30</v>
      </c>
      <c r="D870" s="2">
        <v>16.394098</v>
      </c>
      <c r="E870" s="2">
        <v>17.059822</v>
      </c>
      <c r="F870" s="2">
        <v>15.196853000000001</v>
      </c>
      <c r="G870" s="2">
        <v>15.443785999999999</v>
      </c>
      <c r="H870" s="2">
        <v>11.644431000000001</v>
      </c>
      <c r="I870" s="2">
        <v>17.961459999999999</v>
      </c>
      <c r="J870" s="2">
        <v>19.379598999999999</v>
      </c>
      <c r="K870" s="2">
        <v>14.028682</v>
      </c>
      <c r="L870" s="2">
        <f t="shared" si="27"/>
        <v>15.888591375000001</v>
      </c>
      <c r="M870" s="2">
        <f t="shared" si="28"/>
        <v>0.8478939315422227</v>
      </c>
      <c r="N870" s="2">
        <f t="shared" si="29"/>
        <v>0.94892823336768395</v>
      </c>
    </row>
    <row r="871" spans="2:14" x14ac:dyDescent="0.55000000000000004">
      <c r="B871" s="2" t="s">
        <v>37</v>
      </c>
      <c r="C871" s="2" t="s">
        <v>22</v>
      </c>
      <c r="D871" s="2">
        <v>0.72820799999999997</v>
      </c>
      <c r="E871" s="2">
        <v>0.73912199999999995</v>
      </c>
      <c r="F871" s="2">
        <v>0.55079599999999995</v>
      </c>
      <c r="G871" s="2">
        <v>0.795512</v>
      </c>
      <c r="H871" s="2">
        <v>0.68951700000000005</v>
      </c>
      <c r="I871" s="2">
        <v>0.77098100000000003</v>
      </c>
      <c r="J871" s="2">
        <v>0.77052299999999996</v>
      </c>
      <c r="K871" s="2">
        <v>0.60655000000000003</v>
      </c>
      <c r="L871" s="2">
        <f t="shared" si="27"/>
        <v>0.70640112500000007</v>
      </c>
      <c r="M871" s="2">
        <f t="shared" si="28"/>
        <v>3.0541948429541298E-2</v>
      </c>
      <c r="N871" s="2">
        <f t="shared" si="29"/>
        <v>3.418130038286317E-2</v>
      </c>
    </row>
    <row r="872" spans="2:14" x14ac:dyDescent="0.55000000000000004">
      <c r="C872" s="2" t="s">
        <v>24</v>
      </c>
      <c r="D872" s="2">
        <v>0.70346399999999998</v>
      </c>
      <c r="E872" s="2">
        <v>0.68348399999999998</v>
      </c>
      <c r="F872" s="2">
        <v>0.86904000000000003</v>
      </c>
      <c r="G872" s="2">
        <v>0.60511700000000002</v>
      </c>
      <c r="H872" s="2">
        <v>0.74241100000000004</v>
      </c>
      <c r="I872" s="2">
        <v>0.651949</v>
      </c>
      <c r="J872" s="2">
        <v>0.64364500000000002</v>
      </c>
      <c r="K872" s="2">
        <v>0.83513599999999999</v>
      </c>
      <c r="L872" s="2">
        <f t="shared" si="27"/>
        <v>0.71678075000000008</v>
      </c>
      <c r="M872" s="2">
        <f t="shared" si="28"/>
        <v>3.304611234955835E-2</v>
      </c>
      <c r="N872" s="2">
        <f t="shared" si="29"/>
        <v>3.6983858292863429E-2</v>
      </c>
    </row>
    <row r="873" spans="2:14" x14ac:dyDescent="0.55000000000000004">
      <c r="C873" s="2" t="s">
        <v>26</v>
      </c>
      <c r="D873" s="2">
        <v>0.32507399999999997</v>
      </c>
      <c r="E873" s="2">
        <v>0.36547000000000002</v>
      </c>
      <c r="F873" s="2">
        <v>0.33201199999999997</v>
      </c>
      <c r="G873" s="2">
        <v>0.42041699999999999</v>
      </c>
      <c r="H873" s="2">
        <v>0.33189400000000002</v>
      </c>
      <c r="I873" s="2">
        <v>0.26615699999999998</v>
      </c>
      <c r="J873" s="2">
        <v>0.33294800000000002</v>
      </c>
      <c r="K873" s="2">
        <v>0.199604</v>
      </c>
      <c r="L873" s="2">
        <f t="shared" si="27"/>
        <v>0.32169700000000001</v>
      </c>
      <c r="M873" s="2">
        <f t="shared" si="28"/>
        <v>2.3146070841351341E-2</v>
      </c>
      <c r="N873" s="2">
        <f t="shared" si="29"/>
        <v>2.5904136467797149E-2</v>
      </c>
    </row>
    <row r="874" spans="2:14" x14ac:dyDescent="0.55000000000000004">
      <c r="C874" s="2" t="s">
        <v>28</v>
      </c>
      <c r="D874" s="2">
        <v>5.2428530000000002</v>
      </c>
      <c r="E874" s="2">
        <v>5.8615849999999998</v>
      </c>
      <c r="F874" s="2">
        <v>3.9109419999999999</v>
      </c>
      <c r="G874" s="2">
        <v>4.5660930000000004</v>
      </c>
      <c r="H874" s="2">
        <v>3.5185270000000002</v>
      </c>
      <c r="I874" s="2">
        <v>8.7294630000000009</v>
      </c>
      <c r="J874" s="2">
        <v>5.7298039999999997</v>
      </c>
      <c r="K874" s="2">
        <v>4.3824670000000001</v>
      </c>
      <c r="L874" s="2">
        <f t="shared" si="27"/>
        <v>5.2427167500000005</v>
      </c>
      <c r="M874" s="2">
        <f t="shared" si="28"/>
        <v>0.57820465575727042</v>
      </c>
      <c r="N874" s="2">
        <f t="shared" si="29"/>
        <v>0.64710301855178931</v>
      </c>
    </row>
    <row r="875" spans="2:14" x14ac:dyDescent="0.55000000000000004">
      <c r="C875" s="2" t="s">
        <v>30</v>
      </c>
      <c r="D875" s="2">
        <v>18.294371000000002</v>
      </c>
      <c r="E875" s="2">
        <v>20.351825000000002</v>
      </c>
      <c r="F875" s="2">
        <v>19.192094000000001</v>
      </c>
      <c r="G875" s="2">
        <v>17.290543</v>
      </c>
      <c r="H875" s="2">
        <v>19.574649999999998</v>
      </c>
      <c r="I875" s="2">
        <v>24.764724999999999</v>
      </c>
      <c r="J875" s="2">
        <v>22.512108000000001</v>
      </c>
      <c r="K875" s="2">
        <v>20.512830999999998</v>
      </c>
      <c r="L875" s="2">
        <f t="shared" si="27"/>
        <v>20.311643375000003</v>
      </c>
      <c r="M875" s="2">
        <f t="shared" si="28"/>
        <v>0.84205379130061342</v>
      </c>
      <c r="N875" s="2">
        <f t="shared" si="29"/>
        <v>0.94239218710537642</v>
      </c>
    </row>
    <row r="876" spans="2:14" x14ac:dyDescent="0.55000000000000004">
      <c r="B876" s="2" t="s">
        <v>39</v>
      </c>
      <c r="C876" s="2" t="s">
        <v>22</v>
      </c>
      <c r="D876" s="2">
        <v>0.82172599999999996</v>
      </c>
      <c r="E876" s="2">
        <v>0.91024799999999995</v>
      </c>
      <c r="F876" s="2">
        <v>0.75356000000000001</v>
      </c>
      <c r="G876" s="2">
        <v>0.82339300000000004</v>
      </c>
      <c r="H876" s="2">
        <v>0.83540099999999995</v>
      </c>
      <c r="I876" s="2">
        <v>0.87936300000000001</v>
      </c>
      <c r="J876" s="2">
        <v>0.88397800000000004</v>
      </c>
      <c r="K876" s="2">
        <v>0.73233999999999999</v>
      </c>
      <c r="L876" s="2">
        <f t="shared" si="27"/>
        <v>0.8300011249999999</v>
      </c>
      <c r="M876" s="2">
        <f t="shared" si="28"/>
        <v>2.2084215142137074E-2</v>
      </c>
      <c r="N876" s="2">
        <f t="shared" si="29"/>
        <v>2.4715750969018964E-2</v>
      </c>
    </row>
    <row r="877" spans="2:14" x14ac:dyDescent="0.55000000000000004">
      <c r="C877" s="2" t="s">
        <v>24</v>
      </c>
      <c r="D877" s="2">
        <v>0.57035800000000003</v>
      </c>
      <c r="E877" s="2">
        <v>0.410215</v>
      </c>
      <c r="F877" s="2">
        <v>0.65774900000000003</v>
      </c>
      <c r="G877" s="2">
        <v>0.56642599999999999</v>
      </c>
      <c r="H877" s="2">
        <v>0.55059400000000003</v>
      </c>
      <c r="I877" s="2">
        <v>0.478545</v>
      </c>
      <c r="J877" s="2">
        <v>0.46202100000000002</v>
      </c>
      <c r="K877" s="2">
        <v>0.69073899999999999</v>
      </c>
      <c r="L877" s="2">
        <f t="shared" si="27"/>
        <v>0.548330875</v>
      </c>
      <c r="M877" s="2">
        <f t="shared" si="28"/>
        <v>3.3928919255364613E-2</v>
      </c>
      <c r="N877" s="2">
        <f t="shared" si="29"/>
        <v>3.7971859700076958E-2</v>
      </c>
    </row>
    <row r="878" spans="2:14" x14ac:dyDescent="0.55000000000000004">
      <c r="C878" s="2" t="s">
        <v>26</v>
      </c>
      <c r="D878" s="2">
        <v>0.45872499999999999</v>
      </c>
      <c r="E878" s="2">
        <v>0.63292000000000004</v>
      </c>
      <c r="F878" s="2">
        <v>0.46047199999999999</v>
      </c>
      <c r="G878" s="2">
        <v>0.45516499999999999</v>
      </c>
      <c r="H878" s="2">
        <v>0.49599799999999999</v>
      </c>
      <c r="I878" s="2">
        <v>0.39809499999999998</v>
      </c>
      <c r="J878" s="2">
        <v>0.509598</v>
      </c>
      <c r="K878" s="2">
        <v>0.30932799999999999</v>
      </c>
      <c r="L878" s="2">
        <f t="shared" si="27"/>
        <v>0.46503762500000001</v>
      </c>
      <c r="M878" s="2">
        <f t="shared" si="28"/>
        <v>3.2736400918624321E-2</v>
      </c>
      <c r="N878" s="2">
        <f t="shared" si="29"/>
        <v>3.6637241917775752E-2</v>
      </c>
    </row>
    <row r="879" spans="2:14" x14ac:dyDescent="0.55000000000000004">
      <c r="C879" s="2" t="s">
        <v>28</v>
      </c>
      <c r="D879" s="2">
        <v>2.9557890000000002</v>
      </c>
      <c r="E879" s="2">
        <v>2.366835</v>
      </c>
      <c r="F879" s="2">
        <v>2.2957649999999998</v>
      </c>
      <c r="G879" s="2">
        <v>4.1098569999999999</v>
      </c>
      <c r="H879" s="2">
        <v>1.7715369999999999</v>
      </c>
      <c r="I879" s="2">
        <v>3.7277710000000002</v>
      </c>
      <c r="J879" s="2">
        <v>3.152298</v>
      </c>
      <c r="K879" s="2">
        <v>2.971876</v>
      </c>
      <c r="L879" s="2">
        <f t="shared" si="27"/>
        <v>2.9189660000000002</v>
      </c>
      <c r="M879" s="2">
        <f t="shared" si="28"/>
        <v>0.27192460756489317</v>
      </c>
      <c r="N879" s="2">
        <f t="shared" si="29"/>
        <v>0.30432690678233182</v>
      </c>
    </row>
    <row r="880" spans="2:14" x14ac:dyDescent="0.55000000000000004">
      <c r="C880" s="2" t="s">
        <v>30</v>
      </c>
      <c r="D880" s="2">
        <v>14.737299</v>
      </c>
      <c r="E880" s="2">
        <v>16.438047000000001</v>
      </c>
      <c r="F880" s="2">
        <v>13.942023000000001</v>
      </c>
      <c r="G880" s="2">
        <v>16.71294</v>
      </c>
      <c r="H880" s="2">
        <v>11.084669999999999</v>
      </c>
      <c r="I880" s="2">
        <v>18.443788000000001</v>
      </c>
      <c r="J880" s="2">
        <v>18.436129000000001</v>
      </c>
      <c r="K880" s="2">
        <v>14.419129999999999</v>
      </c>
      <c r="L880" s="2">
        <f t="shared" si="27"/>
        <v>15.526753249999999</v>
      </c>
      <c r="M880" s="2">
        <f t="shared" si="28"/>
        <v>0.87937269782458116</v>
      </c>
      <c r="N880" s="2">
        <f t="shared" si="29"/>
        <v>0.98415798200213933</v>
      </c>
    </row>
    <row r="881" spans="1:14" x14ac:dyDescent="0.55000000000000004">
      <c r="B881" s="2" t="s">
        <v>61</v>
      </c>
      <c r="C881" s="2" t="s">
        <v>22</v>
      </c>
      <c r="D881" s="2">
        <v>0.70161399999999996</v>
      </c>
      <c r="E881" s="2">
        <v>0.704542</v>
      </c>
      <c r="F881" s="2">
        <v>0.52138600000000002</v>
      </c>
      <c r="G881" s="2">
        <v>0.768872</v>
      </c>
      <c r="H881" s="2">
        <v>0.62492599999999998</v>
      </c>
      <c r="I881" s="2">
        <v>0.73975599999999997</v>
      </c>
      <c r="J881" s="2">
        <v>0.75182899999999997</v>
      </c>
      <c r="K881" s="2">
        <v>0.53780799999999995</v>
      </c>
      <c r="L881" s="2">
        <f t="shared" si="27"/>
        <v>0.668841625</v>
      </c>
      <c r="M881" s="2">
        <f t="shared" si="28"/>
        <v>3.4098577838974881E-2</v>
      </c>
      <c r="N881" s="2">
        <f t="shared" si="29"/>
        <v>3.8161734652629252E-2</v>
      </c>
    </row>
    <row r="882" spans="1:14" x14ac:dyDescent="0.55000000000000004">
      <c r="C882" s="2" t="s">
        <v>24</v>
      </c>
      <c r="D882" s="2">
        <v>0.76257299999999995</v>
      </c>
      <c r="E882" s="2">
        <v>0.74831300000000001</v>
      </c>
      <c r="F882" s="2">
        <v>0.96026800000000001</v>
      </c>
      <c r="G882" s="2">
        <v>0.64259900000000003</v>
      </c>
      <c r="H882" s="2">
        <v>0.85337200000000002</v>
      </c>
      <c r="I882" s="2">
        <v>0.713202</v>
      </c>
      <c r="J882" s="2">
        <v>0.68227700000000002</v>
      </c>
      <c r="K882" s="2">
        <v>0.95072299999999998</v>
      </c>
      <c r="L882" s="2">
        <f t="shared" si="27"/>
        <v>0.78916587500000002</v>
      </c>
      <c r="M882" s="2">
        <f t="shared" si="28"/>
        <v>4.2374351544316707E-2</v>
      </c>
      <c r="N882" s="2">
        <f t="shared" si="29"/>
        <v>4.7423642339215505E-2</v>
      </c>
    </row>
    <row r="883" spans="1:14" x14ac:dyDescent="0.55000000000000004">
      <c r="C883" s="2" t="s">
        <v>26</v>
      </c>
      <c r="D883" s="2">
        <v>0.33357199999999998</v>
      </c>
      <c r="E883" s="2">
        <v>0.355543</v>
      </c>
      <c r="F883" s="2">
        <v>0.33746399999999999</v>
      </c>
      <c r="G883" s="2">
        <v>0.426234</v>
      </c>
      <c r="H883" s="2">
        <v>0.28449000000000002</v>
      </c>
      <c r="I883" s="2">
        <v>0.25633499999999998</v>
      </c>
      <c r="J883" s="2">
        <v>0.34250000000000003</v>
      </c>
      <c r="K883" s="2">
        <v>0.15712599999999999</v>
      </c>
      <c r="L883" s="2">
        <f t="shared" si="27"/>
        <v>0.31165799999999999</v>
      </c>
      <c r="M883" s="2">
        <f t="shared" si="28"/>
        <v>2.8293685746242789E-2</v>
      </c>
      <c r="N883" s="2">
        <f t="shared" si="29"/>
        <v>3.1665136677895431E-2</v>
      </c>
    </row>
    <row r="884" spans="1:14" x14ac:dyDescent="0.55000000000000004">
      <c r="A884" s="2" t="s">
        <v>20</v>
      </c>
      <c r="B884" s="2" t="s">
        <v>21</v>
      </c>
      <c r="C884" s="2" t="s">
        <v>22</v>
      </c>
      <c r="D884" s="2">
        <v>0.85028899999999996</v>
      </c>
      <c r="E884" s="2">
        <v>0.90622199999999997</v>
      </c>
      <c r="F884" s="2">
        <v>0.76007499999999995</v>
      </c>
      <c r="G884" s="2">
        <v>0.87252600000000002</v>
      </c>
      <c r="H884" s="2">
        <v>0.83993600000000002</v>
      </c>
      <c r="I884" s="2">
        <v>0.87528799999999995</v>
      </c>
      <c r="J884" s="2">
        <v>0.87021000000000004</v>
      </c>
      <c r="K884" s="2">
        <v>0.74478699999999998</v>
      </c>
      <c r="L884" s="2">
        <f t="shared" si="27"/>
        <v>0.83991662499999997</v>
      </c>
      <c r="M884" s="2">
        <f xml:space="preserve"> _xlfn.STDEV.S(D884:K884) / SQRT(COUNT(D884:K884))</f>
        <v>2.0336681322478692E-2</v>
      </c>
      <c r="N884" s="2">
        <f>M884*$N$2</f>
        <v>2.2759982542628083E-2</v>
      </c>
    </row>
    <row r="885" spans="1:14" x14ac:dyDescent="0.55000000000000004">
      <c r="A885" s="2">
        <v>1.833</v>
      </c>
      <c r="C885" s="2" t="s">
        <v>23</v>
      </c>
      <c r="D885" s="2">
        <v>3.5799999999999997E-4</v>
      </c>
      <c r="E885" s="2">
        <v>1.444E-3</v>
      </c>
      <c r="F885" s="2">
        <v>1.7030000000000001E-3</v>
      </c>
      <c r="G885" s="2">
        <v>4.8089999999999999E-3</v>
      </c>
      <c r="H885" s="2">
        <v>4.6999999999999999E-4</v>
      </c>
      <c r="I885" s="2">
        <v>1.2960000000000001E-3</v>
      </c>
      <c r="J885" s="2">
        <v>8.8000000000000003E-4</v>
      </c>
      <c r="K885" s="2">
        <v>6.2600000000000004E-4</v>
      </c>
      <c r="L885" s="2">
        <f>(1/COUNT(D885:K885))*SQRT(SUMSQ(D885:K885))</f>
        <v>6.9940579690906191E-4</v>
      </c>
    </row>
    <row r="886" spans="1:14" x14ac:dyDescent="0.55000000000000004">
      <c r="C886" s="2" t="s">
        <v>24</v>
      </c>
      <c r="D886" s="2">
        <v>0.52747599999999994</v>
      </c>
      <c r="E886" s="2">
        <v>0.41937999999999998</v>
      </c>
      <c r="F886" s="2">
        <v>0.65009700000000004</v>
      </c>
      <c r="G886" s="2">
        <v>0.488869</v>
      </c>
      <c r="H886" s="2">
        <v>0.54352400000000001</v>
      </c>
      <c r="I886" s="2">
        <v>0.48696400000000001</v>
      </c>
      <c r="J886" s="2">
        <v>0.486958</v>
      </c>
      <c r="K886" s="2">
        <v>0.67826200000000003</v>
      </c>
      <c r="L886" s="2">
        <f>AVERAGE(D886:K886)</f>
        <v>0.53519125000000001</v>
      </c>
      <c r="M886" s="2">
        <f xml:space="preserve"> _xlfn.STDEV.S(D886:K886) / SQRT(COUNT(D886:K886))</f>
        <v>3.1056354656121339E-2</v>
      </c>
      <c r="N886" s="2">
        <f>M886*$N$2</f>
        <v>3.4757002807026149E-2</v>
      </c>
    </row>
    <row r="887" spans="1:14" x14ac:dyDescent="0.55000000000000004">
      <c r="C887" s="2" t="s">
        <v>25</v>
      </c>
      <c r="D887" s="2">
        <v>5.6400000000000005E-4</v>
      </c>
      <c r="E887" s="2">
        <v>3.081E-3</v>
      </c>
      <c r="F887" s="2">
        <v>2.0939999999999999E-3</v>
      </c>
      <c r="G887" s="2">
        <v>8.1099999999999992E-3</v>
      </c>
      <c r="H887" s="2">
        <v>7.5199999999999996E-4</v>
      </c>
      <c r="I887" s="2">
        <v>2.6129999999999999E-3</v>
      </c>
      <c r="J887" s="2">
        <v>1.807E-3</v>
      </c>
      <c r="K887" s="2">
        <v>8.0099999999999995E-4</v>
      </c>
      <c r="L887" s="2">
        <f>(1/COUNT(D887:K887))*SQRT(SUMSQ(D887:K887))</f>
        <v>1.1941767300110984E-3</v>
      </c>
    </row>
    <row r="888" spans="1:14" x14ac:dyDescent="0.55000000000000004">
      <c r="C888" s="2" t="s">
        <v>26</v>
      </c>
      <c r="D888" s="2">
        <v>0.50336099999999995</v>
      </c>
      <c r="E888" s="2">
        <v>0.62360899999999997</v>
      </c>
      <c r="F888" s="2">
        <v>0.46463100000000002</v>
      </c>
      <c r="G888" s="2">
        <v>0.52775399999999995</v>
      </c>
      <c r="H888" s="2">
        <v>0.50313399999999997</v>
      </c>
      <c r="I888" s="2">
        <v>0.38915</v>
      </c>
      <c r="J888" s="2">
        <v>0.48429299999999997</v>
      </c>
      <c r="K888" s="2">
        <v>0.31791999999999998</v>
      </c>
      <c r="L888" s="2">
        <f>AVERAGE(D888:K888)</f>
        <v>0.47673149999999997</v>
      </c>
      <c r="M888" s="2">
        <f xml:space="preserve"> _xlfn.STDEV.S(D888:K888) / SQRT(COUNT(D888:K888))</f>
        <v>3.2369994882276015E-2</v>
      </c>
      <c r="N888" s="2">
        <f>M888*$N$2</f>
        <v>3.622717525750984E-2</v>
      </c>
    </row>
    <row r="889" spans="1:14" x14ac:dyDescent="0.55000000000000004">
      <c r="C889" s="2" t="s">
        <v>27</v>
      </c>
      <c r="D889" s="2">
        <v>7.2099999999999996E-4</v>
      </c>
      <c r="E889" s="2">
        <v>3.2680000000000001E-3</v>
      </c>
      <c r="F889" s="2">
        <v>1.271E-3</v>
      </c>
      <c r="G889" s="2">
        <v>8.9490000000000004E-3</v>
      </c>
      <c r="H889" s="2">
        <v>6.6299999999999996E-4</v>
      </c>
      <c r="I889" s="2">
        <v>2.7209999999999999E-3</v>
      </c>
      <c r="J889" s="2">
        <v>1.57E-3</v>
      </c>
      <c r="K889" s="2">
        <v>7.8200000000000003E-4</v>
      </c>
      <c r="L889" s="2">
        <f>(1/COUNT(D889:K889))*SQRT(SUMSQ(D889:K889))</f>
        <v>1.2736484319171442E-3</v>
      </c>
    </row>
    <row r="890" spans="1:14" x14ac:dyDescent="0.55000000000000004">
      <c r="C890" s="2" t="s">
        <v>28</v>
      </c>
      <c r="D890" s="2">
        <v>2.312395</v>
      </c>
      <c r="E890" s="2">
        <v>2.361964</v>
      </c>
      <c r="F890" s="2">
        <v>2.2433149999999999</v>
      </c>
      <c r="G890" s="2">
        <v>3.022322</v>
      </c>
      <c r="H890" s="2">
        <v>1.71946</v>
      </c>
      <c r="I890" s="2">
        <v>3.5764390000000001</v>
      </c>
      <c r="J890" s="2">
        <v>3.3274469999999998</v>
      </c>
      <c r="K890" s="2">
        <v>2.7457829999999999</v>
      </c>
      <c r="L890" s="2">
        <f>AVERAGE(D890:K890)</f>
        <v>2.6636406250000002</v>
      </c>
      <c r="M890" s="2">
        <f xml:space="preserve"> _xlfn.STDEV.S(D890:K890) / SQRT(COUNT(D890:K890))</f>
        <v>0.21924270774018381</v>
      </c>
      <c r="N890" s="2">
        <f>M890*$N$2</f>
        <v>0.2453674776940894</v>
      </c>
    </row>
    <row r="891" spans="1:14" x14ac:dyDescent="0.55000000000000004">
      <c r="C891" s="2" t="s">
        <v>29</v>
      </c>
      <c r="D891" s="2">
        <v>6.4019999999999997E-3</v>
      </c>
      <c r="E891" s="2">
        <v>2.0174999999999998E-2</v>
      </c>
      <c r="F891" s="2">
        <v>9.7199999999999995E-3</v>
      </c>
      <c r="G891" s="2">
        <v>0.12056</v>
      </c>
      <c r="H891" s="2">
        <v>5.6439999999999997E-3</v>
      </c>
      <c r="I891" s="2">
        <v>4.2078999999999998E-2</v>
      </c>
      <c r="J891" s="2">
        <v>1.3313999999999999E-2</v>
      </c>
      <c r="K891" s="2">
        <v>8.3049999999999999E-3</v>
      </c>
      <c r="L891" s="2">
        <f>(1/COUNT(D891:K891))*SQRT(SUMSQ(D891:K891))</f>
        <v>1.635826474360514E-2</v>
      </c>
    </row>
    <row r="892" spans="1:14" x14ac:dyDescent="0.55000000000000004">
      <c r="C892" s="2" t="s">
        <v>30</v>
      </c>
      <c r="D892" s="2">
        <v>13.872093</v>
      </c>
      <c r="E892" s="2">
        <v>16.133852999999998</v>
      </c>
      <c r="F892" s="2">
        <v>13.99291</v>
      </c>
      <c r="G892" s="2">
        <v>15.476649</v>
      </c>
      <c r="H892" s="2">
        <v>10.807627999999999</v>
      </c>
      <c r="I892" s="2">
        <v>16.284147999999998</v>
      </c>
      <c r="J892" s="2">
        <v>18.168880999999999</v>
      </c>
      <c r="K892" s="2">
        <v>13.579138</v>
      </c>
      <c r="L892" s="2">
        <f>AVERAGE(D892:K892)</f>
        <v>14.789412499999999</v>
      </c>
      <c r="M892" s="2">
        <f xml:space="preserve"> _xlfn.STDEV.S(D892:K892) / SQRT(COUNT(D892:K892))</f>
        <v>0.78751552467466279</v>
      </c>
      <c r="N892" s="2">
        <f>M892*$N$2</f>
        <v>0.88135518816593783</v>
      </c>
    </row>
    <row r="893" spans="1:14" x14ac:dyDescent="0.55000000000000004">
      <c r="C893" s="2" t="s">
        <v>31</v>
      </c>
      <c r="D893" s="2">
        <v>1.9317999999999998E-2</v>
      </c>
      <c r="E893" s="2">
        <v>1.1891000000000001E-2</v>
      </c>
      <c r="F893" s="2">
        <v>4.5525000000000003E-2</v>
      </c>
      <c r="G893" s="2">
        <v>0.28842000000000001</v>
      </c>
      <c r="H893" s="2">
        <v>3.4703999999999999E-2</v>
      </c>
      <c r="I893" s="2">
        <v>7.3491000000000001E-2</v>
      </c>
      <c r="J893" s="2">
        <v>3.9002000000000002E-2</v>
      </c>
      <c r="K893" s="2">
        <v>3.1934999999999998E-2</v>
      </c>
      <c r="L893" s="2">
        <f>(1/COUNT(D893:K893))*SQRT(SUMSQ(D893:K893))</f>
        <v>3.8511260113926422E-2</v>
      </c>
    </row>
    <row r="894" spans="1:14" x14ac:dyDescent="0.55000000000000004">
      <c r="B894" s="2" t="s">
        <v>32</v>
      </c>
      <c r="C894" s="2" t="s">
        <v>22</v>
      </c>
      <c r="D894" s="2">
        <v>0.83473699999999995</v>
      </c>
      <c r="E894" s="2">
        <v>0.88781699999999997</v>
      </c>
      <c r="F894" s="2">
        <v>0.75292700000000001</v>
      </c>
      <c r="G894" s="2">
        <v>0.85226100000000005</v>
      </c>
      <c r="H894" s="2">
        <v>0.82435499999999995</v>
      </c>
      <c r="I894" s="2">
        <v>0.86566299999999996</v>
      </c>
      <c r="J894" s="2">
        <v>0.888042</v>
      </c>
      <c r="K894" s="2">
        <v>0.735425</v>
      </c>
      <c r="L894" s="2">
        <f>AVERAGE(D894:K894)</f>
        <v>0.83015337499999997</v>
      </c>
      <c r="M894" s="2">
        <f xml:space="preserve"> _xlfn.STDEV.S(D894:K894) / SQRT(COUNT(D894:K894))</f>
        <v>2.0449360756632725E-2</v>
      </c>
      <c r="N894" s="2">
        <f>M894*$N$2</f>
        <v>2.2886088759940162E-2</v>
      </c>
    </row>
    <row r="895" spans="1:14" x14ac:dyDescent="0.55000000000000004">
      <c r="C895" s="2" t="s">
        <v>23</v>
      </c>
      <c r="D895" s="2">
        <v>2.284E-3</v>
      </c>
      <c r="E895" s="2">
        <v>3.604E-3</v>
      </c>
      <c r="F895" s="2">
        <v>2.8400000000000001E-3</v>
      </c>
      <c r="G895" s="2">
        <v>3.8890000000000001E-3</v>
      </c>
      <c r="H895" s="2">
        <v>8.52E-4</v>
      </c>
      <c r="I895" s="2">
        <v>1.547E-3</v>
      </c>
      <c r="J895" s="2">
        <v>2.7109999999999999E-3</v>
      </c>
      <c r="K895" s="2">
        <v>1.044E-3</v>
      </c>
      <c r="L895" s="2">
        <f>(1/COUNT(D895:K895))*SQRT(SUMSQ(D895:K895))</f>
        <v>9.0961842102884E-4</v>
      </c>
    </row>
    <row r="896" spans="1:14" x14ac:dyDescent="0.55000000000000004">
      <c r="C896" s="2" t="s">
        <v>24</v>
      </c>
      <c r="D896" s="2">
        <v>0.55278499999999997</v>
      </c>
      <c r="E896" s="2">
        <v>0.45630700000000002</v>
      </c>
      <c r="F896" s="2">
        <v>0.65859199999999996</v>
      </c>
      <c r="G896" s="2">
        <v>0.521953</v>
      </c>
      <c r="H896" s="2">
        <v>0.56684199999999996</v>
      </c>
      <c r="I896" s="2">
        <v>0.50288600000000006</v>
      </c>
      <c r="J896" s="2">
        <v>0.45388000000000001</v>
      </c>
      <c r="K896" s="2">
        <v>0.690554</v>
      </c>
      <c r="L896" s="2">
        <f>AVERAGE(D896:K896)</f>
        <v>0.55047487499999992</v>
      </c>
      <c r="M896" s="2">
        <f xml:space="preserve"> _xlfn.STDEV.S(D896:K896) / SQRT(COUNT(D896:K896))</f>
        <v>3.0723725817144536E-2</v>
      </c>
      <c r="N896" s="2">
        <f>M896*$N$2</f>
        <v>3.4384738205529015E-2</v>
      </c>
    </row>
    <row r="897" spans="2:14" x14ac:dyDescent="0.55000000000000004">
      <c r="C897" s="2" t="s">
        <v>25</v>
      </c>
      <c r="D897" s="2">
        <v>3.2339999999999999E-3</v>
      </c>
      <c r="E897" s="2">
        <v>7.169E-3</v>
      </c>
      <c r="F897" s="2">
        <v>3.2299999999999998E-3</v>
      </c>
      <c r="G897" s="2">
        <v>6.0889999999999998E-3</v>
      </c>
      <c r="H897" s="2">
        <v>1.255E-3</v>
      </c>
      <c r="I897" s="2">
        <v>2.843E-3</v>
      </c>
      <c r="J897" s="2">
        <v>5.28E-3</v>
      </c>
      <c r="K897" s="2">
        <v>1.3749999999999999E-3</v>
      </c>
      <c r="L897" s="2">
        <f>(1/COUNT(D897:K897))*SQRT(SUMSQ(D897:K897))</f>
        <v>1.5247378719389769E-3</v>
      </c>
    </row>
    <row r="898" spans="2:14" x14ac:dyDescent="0.55000000000000004">
      <c r="C898" s="2" t="s">
        <v>26</v>
      </c>
      <c r="D898" s="2">
        <v>0.48960500000000001</v>
      </c>
      <c r="E898" s="2">
        <v>0.58504500000000004</v>
      </c>
      <c r="F898" s="2">
        <v>0.46038299999999999</v>
      </c>
      <c r="G898" s="2">
        <v>0.507413</v>
      </c>
      <c r="H898" s="2">
        <v>0.48374299999999998</v>
      </c>
      <c r="I898" s="2">
        <v>0.37670799999999999</v>
      </c>
      <c r="J898" s="2">
        <v>0.51642900000000003</v>
      </c>
      <c r="K898" s="2">
        <v>0.30092400000000002</v>
      </c>
      <c r="L898" s="2">
        <f>AVERAGE(D898:K898)</f>
        <v>0.46503125000000001</v>
      </c>
      <c r="M898" s="2">
        <f xml:space="preserve"> _xlfn.STDEV.S(D898:K898) / SQRT(COUNT(D898:K898))</f>
        <v>3.1210412818681275E-2</v>
      </c>
      <c r="N898" s="2">
        <f>M898*$N$2</f>
        <v>3.4929418405953677E-2</v>
      </c>
    </row>
    <row r="899" spans="2:14" x14ac:dyDescent="0.55000000000000004">
      <c r="C899" s="2" t="s">
        <v>27</v>
      </c>
      <c r="D899" s="2">
        <v>3.6159999999999999E-3</v>
      </c>
      <c r="E899" s="2">
        <v>7.6730000000000001E-3</v>
      </c>
      <c r="F899" s="2">
        <v>1.7290000000000001E-3</v>
      </c>
      <c r="G899" s="2">
        <v>7.1770000000000002E-3</v>
      </c>
      <c r="H899" s="2">
        <v>1.003E-3</v>
      </c>
      <c r="I899" s="2">
        <v>2.5110000000000002E-3</v>
      </c>
      <c r="J899" s="2">
        <v>5.2249999999999996E-3</v>
      </c>
      <c r="K899" s="2">
        <v>6.9300000000000004E-4</v>
      </c>
      <c r="L899" s="2">
        <f>(1/COUNT(D899:K899))*SQRT(SUMSQ(D899:K899))</f>
        <v>1.5887355378964114E-3</v>
      </c>
    </row>
    <row r="900" spans="2:14" x14ac:dyDescent="0.55000000000000004">
      <c r="C900" s="2" t="s">
        <v>28</v>
      </c>
      <c r="D900" s="2">
        <v>2.6993339999999999</v>
      </c>
      <c r="E900" s="2">
        <v>2.5944150000000001</v>
      </c>
      <c r="F900" s="2">
        <v>2.2929659999999998</v>
      </c>
      <c r="G900" s="2">
        <v>3.444083</v>
      </c>
      <c r="H900" s="2">
        <v>1.8706229999999999</v>
      </c>
      <c r="I900" s="2">
        <v>4.1195069999999996</v>
      </c>
      <c r="J900" s="2">
        <v>3.086856</v>
      </c>
      <c r="K900" s="2">
        <v>3.072816</v>
      </c>
      <c r="L900" s="2">
        <f>AVERAGE(D900:K900)</f>
        <v>2.8975750000000002</v>
      </c>
      <c r="M900" s="2">
        <f xml:space="preserve"> _xlfn.STDEV.S(D900:K900) / SQRT(COUNT(D900:K900))</f>
        <v>0.24675441248754001</v>
      </c>
      <c r="N900" s="2">
        <f>M900*$N$2</f>
        <v>0.27615745319887575</v>
      </c>
    </row>
    <row r="901" spans="2:14" x14ac:dyDescent="0.55000000000000004">
      <c r="C901" s="2" t="s">
        <v>29</v>
      </c>
      <c r="D901" s="2">
        <v>7.8445000000000001E-2</v>
      </c>
      <c r="E901" s="2">
        <v>4.9503999999999999E-2</v>
      </c>
      <c r="F901" s="2">
        <v>1.6372999999999999E-2</v>
      </c>
      <c r="G901" s="2">
        <v>9.5279000000000003E-2</v>
      </c>
      <c r="H901" s="2">
        <v>8.5579999999999996E-3</v>
      </c>
      <c r="I901" s="2">
        <v>4.7350999999999997E-2</v>
      </c>
      <c r="J901" s="2">
        <v>4.6350000000000002E-2</v>
      </c>
      <c r="K901" s="2">
        <v>7.607E-3</v>
      </c>
      <c r="L901" s="2">
        <f>(1/COUNT(D901:K901))*SQRT(SUMSQ(D901:K901))</f>
        <v>1.8738318246393538E-2</v>
      </c>
    </row>
    <row r="902" spans="2:14" x14ac:dyDescent="0.55000000000000004">
      <c r="C902" s="2" t="s">
        <v>30</v>
      </c>
      <c r="D902" s="2">
        <v>15.851876000000001</v>
      </c>
      <c r="E902" s="2">
        <v>16.240120000000001</v>
      </c>
      <c r="F902" s="2">
        <v>14.070322000000001</v>
      </c>
      <c r="G902" s="2">
        <v>16.298117999999999</v>
      </c>
      <c r="H902" s="2">
        <v>11.844282</v>
      </c>
      <c r="I902" s="2">
        <v>18.764724000000001</v>
      </c>
      <c r="J902" s="2">
        <v>18.594759</v>
      </c>
      <c r="K902" s="2">
        <v>14.695026</v>
      </c>
      <c r="L902" s="2">
        <f>AVERAGE(D902:K902)</f>
        <v>15.794903375000001</v>
      </c>
      <c r="M902" s="2">
        <f xml:space="preserve"> _xlfn.STDEV.S(D902:K902) / SQRT(COUNT(D902:K902))</f>
        <v>0.81179953493050794</v>
      </c>
      <c r="N902" s="2">
        <f>M902*$N$2</f>
        <v>0.90853285991698796</v>
      </c>
    </row>
    <row r="903" spans="2:14" x14ac:dyDescent="0.55000000000000004">
      <c r="C903" s="2" t="s">
        <v>31</v>
      </c>
      <c r="D903" s="2">
        <v>0.10424700000000001</v>
      </c>
      <c r="E903" s="2">
        <v>4.0075E-2</v>
      </c>
      <c r="F903" s="2">
        <v>3.3309999999999999E-2</v>
      </c>
      <c r="G903" s="2">
        <v>0.193272</v>
      </c>
      <c r="H903" s="2">
        <v>6.7266999999999993E-2</v>
      </c>
      <c r="I903" s="2">
        <v>9.6499000000000001E-2</v>
      </c>
      <c r="J903" s="2">
        <v>9.9387000000000003E-2</v>
      </c>
      <c r="K903" s="2">
        <v>2.0282000000000001E-2</v>
      </c>
      <c r="L903" s="2">
        <f>(1/COUNT(D903:K903))*SQRT(SUMSQ(D903:K903))</f>
        <v>3.4247058792736131E-2</v>
      </c>
    </row>
    <row r="904" spans="2:14" x14ac:dyDescent="0.55000000000000004">
      <c r="B904" s="2" t="s">
        <v>33</v>
      </c>
      <c r="C904" s="2" t="s">
        <v>22</v>
      </c>
      <c r="D904" s="2">
        <v>0.85004800000000003</v>
      </c>
      <c r="E904" s="2">
        <v>0.90515699999999999</v>
      </c>
      <c r="F904" s="2">
        <v>0.75273000000000001</v>
      </c>
      <c r="G904" s="2">
        <v>0.85306400000000004</v>
      </c>
      <c r="H904" s="2">
        <v>0.83827399999999996</v>
      </c>
      <c r="I904" s="2">
        <v>0.87947200000000003</v>
      </c>
      <c r="J904" s="2">
        <v>0.86785299999999999</v>
      </c>
      <c r="K904" s="2">
        <v>0.72286499999999998</v>
      </c>
      <c r="L904" s="2">
        <f>AVERAGE(D904:K904)</f>
        <v>0.83368287500000005</v>
      </c>
      <c r="M904" s="2">
        <f xml:space="preserve"> _xlfn.STDEV.S(D904:K904) / SQRT(COUNT(D904:K904))</f>
        <v>2.2309224988489709E-2</v>
      </c>
      <c r="N904" s="2">
        <f>M904*$N$2</f>
        <v>2.4967572792535704E-2</v>
      </c>
    </row>
    <row r="905" spans="2:14" x14ac:dyDescent="0.55000000000000004">
      <c r="C905" s="2" t="s">
        <v>23</v>
      </c>
      <c r="D905" s="2">
        <v>1.44E-4</v>
      </c>
      <c r="E905" s="2">
        <v>3.8299999999999999E-4</v>
      </c>
      <c r="F905" s="2">
        <v>7.0500000000000001E-4</v>
      </c>
      <c r="G905" s="2">
        <v>1.0399999999999999E-3</v>
      </c>
      <c r="H905" s="2">
        <v>2.7500000000000002E-4</v>
      </c>
      <c r="I905" s="2">
        <v>2.22E-4</v>
      </c>
      <c r="J905" s="2">
        <v>6.8800000000000003E-4</v>
      </c>
      <c r="K905" s="2">
        <v>1.34E-4</v>
      </c>
      <c r="L905" s="2">
        <f>(1/COUNT(D905:K905))*SQRT(SUMSQ(D905:K905))</f>
        <v>1.9212052694857987E-4</v>
      </c>
    </row>
    <row r="906" spans="2:14" x14ac:dyDescent="0.55000000000000004">
      <c r="C906" s="2" t="s">
        <v>24</v>
      </c>
      <c r="D906" s="2">
        <v>0.52780000000000005</v>
      </c>
      <c r="E906" s="2">
        <v>0.421821</v>
      </c>
      <c r="F906" s="2">
        <v>0.65858499999999998</v>
      </c>
      <c r="G906" s="2">
        <v>0.520783</v>
      </c>
      <c r="H906" s="2">
        <v>0.54614799999999997</v>
      </c>
      <c r="I906" s="2">
        <v>0.47895300000000002</v>
      </c>
      <c r="J906" s="2">
        <v>0.49025800000000003</v>
      </c>
      <c r="K906" s="2">
        <v>0.70654300000000003</v>
      </c>
      <c r="L906" s="2">
        <f>AVERAGE(D906:K906)</f>
        <v>0.54386137499999998</v>
      </c>
      <c r="M906" s="2">
        <f xml:space="preserve"> _xlfn.STDEV.S(D906:K906) / SQRT(COUNT(D906:K906))</f>
        <v>3.3381694391718029E-2</v>
      </c>
      <c r="N906" s="2">
        <f>M906*$N$2</f>
        <v>3.7359427998660585E-2</v>
      </c>
    </row>
    <row r="907" spans="2:14" x14ac:dyDescent="0.55000000000000004">
      <c r="C907" s="2" t="s">
        <v>25</v>
      </c>
      <c r="D907" s="2">
        <v>2.2900000000000001E-4</v>
      </c>
      <c r="E907" s="2">
        <v>8.7399999999999999E-4</v>
      </c>
      <c r="F907" s="2">
        <v>8.3100000000000003E-4</v>
      </c>
      <c r="G907" s="2">
        <v>1.701E-3</v>
      </c>
      <c r="H907" s="2">
        <v>4.26E-4</v>
      </c>
      <c r="I907" s="2">
        <v>4.3399999999999998E-4</v>
      </c>
      <c r="J907" s="2">
        <v>1.2409999999999999E-3</v>
      </c>
      <c r="K907" s="2">
        <v>1.54E-4</v>
      </c>
      <c r="L907" s="2">
        <f>(1/COUNT(D907:K907))*SQRT(SUMSQ(D907:K907))</f>
        <v>3.145907063153646E-4</v>
      </c>
    </row>
    <row r="908" spans="2:14" x14ac:dyDescent="0.55000000000000004">
      <c r="C908" s="2" t="s">
        <v>26</v>
      </c>
      <c r="D908" s="2">
        <v>0.50317299999999998</v>
      </c>
      <c r="E908" s="2">
        <v>0.62097500000000005</v>
      </c>
      <c r="F908" s="2">
        <v>0.45974300000000001</v>
      </c>
      <c r="G908" s="2">
        <v>0.49119499999999999</v>
      </c>
      <c r="H908" s="2">
        <v>0.50128799999999996</v>
      </c>
      <c r="I908" s="2">
        <v>0.39576699999999998</v>
      </c>
      <c r="J908" s="2">
        <v>0.47972599999999999</v>
      </c>
      <c r="K908" s="2">
        <v>0.28901500000000002</v>
      </c>
      <c r="L908" s="2">
        <f>AVERAGE(D908:K908)</f>
        <v>0.46761024999999995</v>
      </c>
      <c r="M908" s="2">
        <f xml:space="preserve"> _xlfn.STDEV.S(D908:K908) / SQRT(COUNT(D908:K908))</f>
        <v>3.3738037012478364E-2</v>
      </c>
      <c r="N908" s="2">
        <f>M908*$N$2</f>
        <v>3.7758232095508722E-2</v>
      </c>
    </row>
    <row r="909" spans="2:14" x14ac:dyDescent="0.55000000000000004">
      <c r="C909" s="2" t="s">
        <v>27</v>
      </c>
      <c r="D909" s="2">
        <v>2.3699999999999999E-4</v>
      </c>
      <c r="E909" s="2">
        <v>8.7200000000000005E-4</v>
      </c>
      <c r="F909" s="2">
        <v>4.7699999999999999E-4</v>
      </c>
      <c r="G909" s="2">
        <v>2.0969999999999999E-3</v>
      </c>
      <c r="H909" s="2">
        <v>2.8699999999999998E-4</v>
      </c>
      <c r="I909" s="2">
        <v>4.3399999999999998E-4</v>
      </c>
      <c r="J909" s="2">
        <v>1.201E-3</v>
      </c>
      <c r="K909" s="2">
        <v>1.1900000000000001E-4</v>
      </c>
      <c r="L909" s="2">
        <f>(1/COUNT(D909:K909))*SQRT(SUMSQ(D909:K909))</f>
        <v>3.3468217199307163E-4</v>
      </c>
    </row>
    <row r="910" spans="2:14" x14ac:dyDescent="0.55000000000000004">
      <c r="C910" s="2" t="s">
        <v>28</v>
      </c>
      <c r="D910" s="2">
        <v>2.3178190000000001</v>
      </c>
      <c r="E910" s="2">
        <v>2.374714</v>
      </c>
      <c r="F910" s="2">
        <v>2.2808830000000002</v>
      </c>
      <c r="G910" s="2">
        <v>3.489716</v>
      </c>
      <c r="H910" s="2">
        <v>1.7348600000000001</v>
      </c>
      <c r="I910" s="2">
        <v>3.4636749999999998</v>
      </c>
      <c r="J910" s="2">
        <v>3.376417</v>
      </c>
      <c r="K910" s="2">
        <v>3.1543909999999999</v>
      </c>
      <c r="L910" s="2">
        <f>AVERAGE(D910:K910)</f>
        <v>2.7740593749999998</v>
      </c>
      <c r="M910" s="2">
        <f xml:space="preserve"> _xlfn.STDEV.S(D910:K910) / SQRT(COUNT(D910:K910))</f>
        <v>0.23852265745529047</v>
      </c>
      <c r="N910" s="2">
        <f>M910*$N$2</f>
        <v>0.26694480941209908</v>
      </c>
    </row>
    <row r="911" spans="2:14" x14ac:dyDescent="0.55000000000000004">
      <c r="C911" s="2" t="s">
        <v>29</v>
      </c>
      <c r="D911" s="2">
        <v>2.8449999999999999E-3</v>
      </c>
      <c r="E911" s="2">
        <v>5.0270000000000002E-3</v>
      </c>
      <c r="F911" s="2">
        <v>4.326E-3</v>
      </c>
      <c r="G911" s="2">
        <v>2.5715999999999999E-2</v>
      </c>
      <c r="H911" s="2">
        <v>2.0709999999999999E-3</v>
      </c>
      <c r="I911" s="2">
        <v>7.5750000000000001E-3</v>
      </c>
      <c r="J911" s="2">
        <v>1.1608E-2</v>
      </c>
      <c r="K911" s="2">
        <v>1.3190000000000001E-3</v>
      </c>
      <c r="L911" s="2">
        <f>(1/COUNT(D911:K911))*SQRT(SUMSQ(D911:K911))</f>
        <v>3.7739791189969505E-3</v>
      </c>
    </row>
    <row r="912" spans="2:14" x14ac:dyDescent="0.55000000000000004">
      <c r="C912" s="2" t="s">
        <v>30</v>
      </c>
      <c r="D912" s="2">
        <v>13.900136</v>
      </c>
      <c r="E912" s="2">
        <v>16.111789000000002</v>
      </c>
      <c r="F912" s="2">
        <v>13.967976999999999</v>
      </c>
      <c r="G912" s="2">
        <v>16.758679000000001</v>
      </c>
      <c r="H912" s="2">
        <v>10.866168999999999</v>
      </c>
      <c r="I912" s="2">
        <v>16.205876</v>
      </c>
      <c r="J912" s="2">
        <v>18.277051</v>
      </c>
      <c r="K912" s="2">
        <v>14.956785999999999</v>
      </c>
      <c r="L912" s="2">
        <f>AVERAGE(D912:K912)</f>
        <v>15.130557874999999</v>
      </c>
      <c r="M912" s="2">
        <f xml:space="preserve"> _xlfn.STDEV.S(D912:K912) / SQRT(COUNT(D912:K912))</f>
        <v>0.79900677626669048</v>
      </c>
      <c r="N912" s="2">
        <f>M912*$N$2</f>
        <v>0.89421572728145271</v>
      </c>
    </row>
    <row r="913" spans="2:14" x14ac:dyDescent="0.55000000000000004">
      <c r="C913" s="2" t="s">
        <v>31</v>
      </c>
      <c r="D913" s="2">
        <v>9.6019999999999994E-3</v>
      </c>
      <c r="E913" s="2">
        <v>4.7689999999999998E-3</v>
      </c>
      <c r="F913" s="2">
        <v>1.7364999999999998E-2</v>
      </c>
      <c r="G913" s="2">
        <v>0.101462</v>
      </c>
      <c r="H913" s="2">
        <v>1.5002E-2</v>
      </c>
      <c r="I913" s="2">
        <v>1.2952E-2</v>
      </c>
      <c r="J913" s="2">
        <v>2.9111999999999999E-2</v>
      </c>
      <c r="K913" s="2">
        <v>4.6129999999999999E-3</v>
      </c>
      <c r="L913" s="2">
        <f>(1/COUNT(D913:K913))*SQRT(SUMSQ(D913:K913))</f>
        <v>1.3677436400304518E-2</v>
      </c>
    </row>
    <row r="914" spans="2:14" x14ac:dyDescent="0.55000000000000004">
      <c r="B914" s="2" t="s">
        <v>34</v>
      </c>
      <c r="C914" s="2" t="s">
        <v>22</v>
      </c>
      <c r="D914" s="2">
        <v>0.82131600000000005</v>
      </c>
      <c r="E914" s="2">
        <v>0.894285</v>
      </c>
      <c r="F914" s="2">
        <v>0.75822000000000001</v>
      </c>
      <c r="G914" s="2">
        <v>0.83982400000000001</v>
      </c>
      <c r="H914" s="2">
        <v>0.82777000000000001</v>
      </c>
      <c r="I914" s="2">
        <v>0.87342900000000001</v>
      </c>
      <c r="J914" s="2">
        <v>0.87615200000000004</v>
      </c>
      <c r="K914" s="2">
        <v>0.72723899999999997</v>
      </c>
      <c r="L914" s="2">
        <f>AVERAGE(D914:K914)</f>
        <v>0.82727937500000004</v>
      </c>
      <c r="M914" s="2">
        <f xml:space="preserve"> _xlfn.STDEV.S(D914:K914) / SQRT(COUNT(D914:K914))</f>
        <v>2.0692700239747678E-2</v>
      </c>
      <c r="N914" s="2">
        <f>M914*$N$2</f>
        <v>2.3158424363758999E-2</v>
      </c>
    </row>
    <row r="915" spans="2:14" x14ac:dyDescent="0.55000000000000004">
      <c r="C915" s="2" t="s">
        <v>23</v>
      </c>
      <c r="D915" s="2">
        <v>7.4970000000000002E-3</v>
      </c>
      <c r="E915" s="2">
        <v>7.4999999999999997E-3</v>
      </c>
      <c r="F915" s="2">
        <v>3.4610000000000001E-3</v>
      </c>
      <c r="G915" s="2">
        <v>3.8310000000000002E-3</v>
      </c>
      <c r="H915" s="2">
        <v>1.3500000000000001E-3</v>
      </c>
      <c r="I915" s="2">
        <v>4.8349999999999999E-3</v>
      </c>
      <c r="J915" s="2">
        <v>1.5842999999999999E-2</v>
      </c>
      <c r="K915" s="2">
        <v>1.0139999999999999E-3</v>
      </c>
      <c r="L915" s="2">
        <f>(1/COUNT(D915:K915))*SQRT(SUMSQ(D915:K915))</f>
        <v>2.5505473095249575E-3</v>
      </c>
    </row>
    <row r="916" spans="2:14" x14ac:dyDescent="0.55000000000000004">
      <c r="C916" s="2" t="s">
        <v>24</v>
      </c>
      <c r="D916" s="2">
        <v>0.57328500000000004</v>
      </c>
      <c r="E916" s="2">
        <v>0.44241399999999997</v>
      </c>
      <c r="F916" s="2">
        <v>0.652366</v>
      </c>
      <c r="G916" s="2">
        <v>0.542431</v>
      </c>
      <c r="H916" s="2">
        <v>0.56234799999999996</v>
      </c>
      <c r="I916" s="2">
        <v>0.488701</v>
      </c>
      <c r="J916" s="2">
        <v>0.47281200000000001</v>
      </c>
      <c r="K916" s="2">
        <v>0.70080500000000001</v>
      </c>
      <c r="L916" s="2">
        <f>AVERAGE(D916:K916)</f>
        <v>0.55439525000000001</v>
      </c>
      <c r="M916" s="2">
        <f xml:space="preserve"> _xlfn.STDEV.S(D916:K916) / SQRT(COUNT(D916:K916))</f>
        <v>3.1370099626276286E-2</v>
      </c>
      <c r="N916" s="2">
        <f>M916*$N$2</f>
        <v>3.5108133354352519E-2</v>
      </c>
    </row>
    <row r="917" spans="2:14" x14ac:dyDescent="0.55000000000000004">
      <c r="C917" s="2" t="s">
        <v>25</v>
      </c>
      <c r="D917" s="2">
        <v>1.0580000000000001E-2</v>
      </c>
      <c r="E917" s="2">
        <v>1.3011E-2</v>
      </c>
      <c r="F917" s="2">
        <v>4.0140000000000002E-3</v>
      </c>
      <c r="G917" s="2">
        <v>5.7419999999999997E-3</v>
      </c>
      <c r="H917" s="2">
        <v>1.9599999999999999E-3</v>
      </c>
      <c r="I917" s="2">
        <v>8.1880000000000008E-3</v>
      </c>
      <c r="J917" s="2">
        <v>2.4924000000000002E-2</v>
      </c>
      <c r="K917" s="2">
        <v>1.222E-3</v>
      </c>
      <c r="L917" s="2">
        <f>(1/COUNT(D917:K917))*SQRT(SUMSQ(D917:K917))</f>
        <v>3.9997837539203288E-3</v>
      </c>
    </row>
    <row r="918" spans="2:14" x14ac:dyDescent="0.55000000000000004">
      <c r="C918" s="2" t="s">
        <v>26</v>
      </c>
      <c r="D918" s="2">
        <v>0.46485799999999999</v>
      </c>
      <c r="E918" s="2">
        <v>0.60073799999999999</v>
      </c>
      <c r="F918" s="2">
        <v>0.46287099999999998</v>
      </c>
      <c r="G918" s="2">
        <v>0.46759400000000001</v>
      </c>
      <c r="H918" s="2">
        <v>0.48772599999999999</v>
      </c>
      <c r="I918" s="2">
        <v>0.38925700000000002</v>
      </c>
      <c r="J918" s="2">
        <v>0.49971100000000002</v>
      </c>
      <c r="K918" s="2">
        <v>0.29605599999999999</v>
      </c>
      <c r="L918" s="2">
        <f>AVERAGE(D918:K918)</f>
        <v>0.45860137500000003</v>
      </c>
      <c r="M918" s="2">
        <f xml:space="preserve"> _xlfn.STDEV.S(D918:K918) / SQRT(COUNT(D918:K918))</f>
        <v>3.1084260156834388E-2</v>
      </c>
      <c r="N918" s="2">
        <f>M918*$N$2</f>
        <v>3.4788233502880649E-2</v>
      </c>
    </row>
    <row r="919" spans="2:14" x14ac:dyDescent="0.55000000000000004">
      <c r="C919" s="2" t="s">
        <v>27</v>
      </c>
      <c r="D919" s="2">
        <v>1.1795999999999999E-2</v>
      </c>
      <c r="E919" s="2">
        <v>1.3297E-2</v>
      </c>
      <c r="F919" s="2">
        <v>2.3630000000000001E-3</v>
      </c>
      <c r="G919" s="2">
        <v>5.8719999999999996E-3</v>
      </c>
      <c r="H919" s="2">
        <v>1.5399999999999999E-3</v>
      </c>
      <c r="I919" s="2">
        <v>6.6730000000000001E-3</v>
      </c>
      <c r="J919" s="2">
        <v>2.0608999999999999E-2</v>
      </c>
      <c r="K919" s="2">
        <v>8.4599999999999996E-4</v>
      </c>
      <c r="L919" s="2">
        <f>(1/COUNT(D919:K919))*SQRT(SUMSQ(D919:K919))</f>
        <v>3.5976709132437335E-3</v>
      </c>
    </row>
    <row r="920" spans="2:14" x14ac:dyDescent="0.55000000000000004">
      <c r="C920" s="2" t="s">
        <v>28</v>
      </c>
      <c r="D920" s="2">
        <v>2.9389219999999998</v>
      </c>
      <c r="E920" s="2">
        <v>2.5960220000000001</v>
      </c>
      <c r="F920" s="2">
        <v>2.2612670000000001</v>
      </c>
      <c r="G920" s="2">
        <v>3.8645019999999999</v>
      </c>
      <c r="H920" s="2">
        <v>1.848557</v>
      </c>
      <c r="I920" s="2">
        <v>3.691729</v>
      </c>
      <c r="J920" s="2">
        <v>3.4614349999999998</v>
      </c>
      <c r="K920" s="2">
        <v>3.1112470000000001</v>
      </c>
      <c r="L920" s="2">
        <f>AVERAGE(D920:K920)</f>
        <v>2.9717101249999995</v>
      </c>
      <c r="M920" s="2">
        <f xml:space="preserve"> _xlfn.STDEV.S(D920:K920) / SQRT(COUNT(D920:K920))</f>
        <v>0.24940015571527191</v>
      </c>
      <c r="N920" s="2">
        <f>M920*$N$2</f>
        <v>0.27911846088349218</v>
      </c>
    </row>
    <row r="921" spans="2:14" x14ac:dyDescent="0.55000000000000004">
      <c r="C921" s="2" t="s">
        <v>29</v>
      </c>
      <c r="D921" s="2">
        <v>0.20271700000000001</v>
      </c>
      <c r="E921" s="2">
        <v>0.13891800000000001</v>
      </c>
      <c r="F921" s="2">
        <v>1.9858000000000001E-2</v>
      </c>
      <c r="G921" s="2">
        <v>9.2094999999999996E-2</v>
      </c>
      <c r="H921" s="2">
        <v>1.3753E-2</v>
      </c>
      <c r="I921" s="2">
        <v>0.20654</v>
      </c>
      <c r="J921" s="2">
        <v>0.56480900000000001</v>
      </c>
      <c r="K921" s="2">
        <v>8.5850000000000006E-3</v>
      </c>
      <c r="L921" s="2">
        <f>(1/COUNT(D921:K921))*SQRT(SUMSQ(D921:K921))</f>
        <v>8.2082185121548301E-2</v>
      </c>
    </row>
    <row r="922" spans="2:14" x14ac:dyDescent="0.55000000000000004">
      <c r="C922" s="2" t="s">
        <v>30</v>
      </c>
      <c r="D922" s="2">
        <v>15.958354999999999</v>
      </c>
      <c r="E922" s="2">
        <v>16.747153999999998</v>
      </c>
      <c r="F922" s="2">
        <v>14.100282</v>
      </c>
      <c r="G922" s="2">
        <v>18.031545000000001</v>
      </c>
      <c r="H922" s="2">
        <v>11.451733000000001</v>
      </c>
      <c r="I922" s="2">
        <v>16.601393000000002</v>
      </c>
      <c r="J922" s="2">
        <v>19.306623999999999</v>
      </c>
      <c r="K922" s="2">
        <v>14.853021999999999</v>
      </c>
      <c r="L922" s="2">
        <f>AVERAGE(D922:K922)</f>
        <v>15.881263499999999</v>
      </c>
      <c r="M922" s="2">
        <f xml:space="preserve"> _xlfn.STDEV.S(D922:K922) / SQRT(COUNT(D922:K922))</f>
        <v>0.8606581490600046</v>
      </c>
      <c r="N922" s="2">
        <f>M922*$N$2</f>
        <v>0.96321342391909959</v>
      </c>
    </row>
    <row r="923" spans="2:14" x14ac:dyDescent="0.55000000000000004">
      <c r="C923" s="2" t="s">
        <v>31</v>
      </c>
      <c r="D923" s="2">
        <v>0.218699</v>
      </c>
      <c r="E923" s="2">
        <v>0.22411700000000001</v>
      </c>
      <c r="F923" s="2">
        <v>3.5554000000000002E-2</v>
      </c>
      <c r="G923" s="2">
        <v>0.27245200000000003</v>
      </c>
      <c r="H923" s="2">
        <v>8.9894000000000002E-2</v>
      </c>
      <c r="I923" s="2">
        <v>0.47928999999999999</v>
      </c>
      <c r="J923" s="2">
        <v>1.4534750000000001</v>
      </c>
      <c r="K923" s="2">
        <v>2.9905999999999999E-2</v>
      </c>
      <c r="L923" s="2">
        <f>(1/COUNT(D923:K923))*SQRT(SUMSQ(D923:K923))</f>
        <v>0.19862164256551168</v>
      </c>
    </row>
    <row r="924" spans="2:14" x14ac:dyDescent="0.55000000000000004">
      <c r="B924" s="2" t="s">
        <v>35</v>
      </c>
      <c r="C924" s="2" t="s">
        <v>22</v>
      </c>
      <c r="D924" s="2">
        <v>0.72938599999999998</v>
      </c>
      <c r="E924" s="2">
        <v>0.86261200000000005</v>
      </c>
      <c r="F924" s="2">
        <v>0.71746600000000005</v>
      </c>
      <c r="G924" s="2">
        <v>0.83360500000000004</v>
      </c>
      <c r="H924" s="2">
        <v>0.81400499999999998</v>
      </c>
      <c r="I924" s="2">
        <v>0.85519100000000003</v>
      </c>
      <c r="J924" s="2">
        <v>0.85562700000000003</v>
      </c>
      <c r="K924" s="2">
        <v>0.72938599999999998</v>
      </c>
      <c r="L924" s="2">
        <f>AVERAGE(D924:K924)</f>
        <v>0.79965975</v>
      </c>
      <c r="M924" s="2">
        <f xml:space="preserve"> _xlfn.STDEV.S(D924:K924) / SQRT(COUNT(D924:K924))</f>
        <v>2.2428345104664519E-2</v>
      </c>
      <c r="N924" s="2">
        <f>M924*$N$2</f>
        <v>2.5100887157924207E-2</v>
      </c>
    </row>
    <row r="925" spans="2:14" x14ac:dyDescent="0.55000000000000004">
      <c r="C925" s="2" t="s">
        <v>23</v>
      </c>
      <c r="D925" s="2">
        <v>4.9399999999999997E-4</v>
      </c>
      <c r="E925" s="2">
        <v>1.217E-3</v>
      </c>
      <c r="F925" s="2">
        <v>1.165E-3</v>
      </c>
      <c r="G925" s="2">
        <v>8.2100000000000001E-4</v>
      </c>
      <c r="H925" s="2">
        <v>7.4399999999999998E-4</v>
      </c>
      <c r="I925" s="2">
        <v>5.8200000000000005E-4</v>
      </c>
      <c r="J925" s="2">
        <v>1.1839999999999999E-3</v>
      </c>
      <c r="K925" s="2">
        <v>4.9399999999999997E-4</v>
      </c>
      <c r="L925" s="2">
        <f>(1/COUNT(D925:K925))*SQRT(SUMSQ(D925:K925))</f>
        <v>3.1361159795996062E-4</v>
      </c>
    </row>
    <row r="926" spans="2:14" x14ac:dyDescent="0.55000000000000004">
      <c r="C926" s="2" t="s">
        <v>24</v>
      </c>
      <c r="D926" s="2">
        <v>0.69766099999999998</v>
      </c>
      <c r="E926" s="2">
        <v>0.49709599999999998</v>
      </c>
      <c r="F926" s="2">
        <v>0.69645699999999999</v>
      </c>
      <c r="G926" s="2">
        <v>0.55263700000000004</v>
      </c>
      <c r="H926" s="2">
        <v>0.581596</v>
      </c>
      <c r="I926" s="2">
        <v>0.52281699999999998</v>
      </c>
      <c r="J926" s="2">
        <v>0.50739999999999996</v>
      </c>
      <c r="K926" s="2">
        <v>0.69766099999999998</v>
      </c>
      <c r="L926" s="2">
        <f>AVERAGE(D926:K926)</f>
        <v>0.59416562500000003</v>
      </c>
      <c r="M926" s="2">
        <f xml:space="preserve"> _xlfn.STDEV.S(D926:K926) / SQRT(COUNT(D926:K926))</f>
        <v>3.156912622887903E-2</v>
      </c>
      <c r="N926" s="2">
        <f>M926*$N$2</f>
        <v>3.5330875793442129E-2</v>
      </c>
    </row>
    <row r="927" spans="2:14" x14ac:dyDescent="0.55000000000000004">
      <c r="C927" s="2" t="s">
        <v>25</v>
      </c>
      <c r="D927" s="2">
        <v>6.3299999999999999E-4</v>
      </c>
      <c r="E927" s="2">
        <v>2.1549999999999998E-3</v>
      </c>
      <c r="F927" s="2">
        <v>1.268E-3</v>
      </c>
      <c r="G927" s="2">
        <v>1.384E-3</v>
      </c>
      <c r="H927" s="2">
        <v>1.0859999999999999E-3</v>
      </c>
      <c r="I927" s="2">
        <v>1.0120000000000001E-3</v>
      </c>
      <c r="J927" s="2">
        <v>2.1670000000000001E-3</v>
      </c>
      <c r="K927" s="2">
        <v>6.3299999999999999E-4</v>
      </c>
      <c r="L927" s="2">
        <f>(1/COUNT(D927:K927))*SQRT(SUMSQ(D927:K927))</f>
        <v>4.9793498571600687E-4</v>
      </c>
    </row>
    <row r="928" spans="2:14" x14ac:dyDescent="0.55000000000000004">
      <c r="C928" s="2" t="s">
        <v>26</v>
      </c>
      <c r="D928" s="2">
        <v>0.28947099999999998</v>
      </c>
      <c r="E928" s="2">
        <v>0.54215800000000003</v>
      </c>
      <c r="F928" s="2">
        <v>0.43817299999999998</v>
      </c>
      <c r="G928" s="2">
        <v>0.45966699999999999</v>
      </c>
      <c r="H928" s="2">
        <v>0.47140900000000002</v>
      </c>
      <c r="I928" s="2">
        <v>0.35581099999999999</v>
      </c>
      <c r="J928" s="2">
        <v>0.46250400000000003</v>
      </c>
      <c r="K928" s="2">
        <v>0.28947099999999998</v>
      </c>
      <c r="L928" s="2">
        <f>AVERAGE(D928:K928)</f>
        <v>0.41358299999999998</v>
      </c>
      <c r="M928" s="2">
        <f xml:space="preserve"> _xlfn.STDEV.S(D928:K928) / SQRT(COUNT(D928:K928))</f>
        <v>3.2497864042447915E-2</v>
      </c>
      <c r="N928" s="2">
        <f>M928*$N$2</f>
        <v>3.6370281195352121E-2</v>
      </c>
    </row>
    <row r="929" spans="2:14" x14ac:dyDescent="0.55000000000000004">
      <c r="C929" s="2" t="s">
        <v>27</v>
      </c>
      <c r="D929" s="2">
        <v>3.8499999999999998E-4</v>
      </c>
      <c r="E929" s="2">
        <v>2.385E-3</v>
      </c>
      <c r="F929" s="2">
        <v>8.0000000000000004E-4</v>
      </c>
      <c r="G929" s="2">
        <v>1.7799999999999999E-3</v>
      </c>
      <c r="H929" s="2">
        <v>8.8599999999999996E-4</v>
      </c>
      <c r="I929" s="2">
        <v>8.3799999999999999E-4</v>
      </c>
      <c r="J929" s="2">
        <v>2.2009999999999998E-3</v>
      </c>
      <c r="K929" s="2">
        <v>3.8499999999999998E-4</v>
      </c>
      <c r="L929" s="2">
        <f>(1/COUNT(D929:K929))*SQRT(SUMSQ(D929:K929))</f>
        <v>5.019449048451433E-4</v>
      </c>
    </row>
    <row r="930" spans="2:14" x14ac:dyDescent="0.55000000000000004">
      <c r="C930" s="2" t="s">
        <v>28</v>
      </c>
      <c r="D930" s="2">
        <v>3.1676709999999999</v>
      </c>
      <c r="E930" s="2">
        <v>3.0401539999999998</v>
      </c>
      <c r="F930" s="2">
        <v>2.513776</v>
      </c>
      <c r="G930" s="2">
        <v>3.8976259999999998</v>
      </c>
      <c r="H930" s="2">
        <v>1.9883040000000001</v>
      </c>
      <c r="I930" s="2">
        <v>4.2950999999999997</v>
      </c>
      <c r="J930" s="2">
        <v>3.6554509999999998</v>
      </c>
      <c r="K930" s="2">
        <v>3.1676709999999999</v>
      </c>
      <c r="L930" s="2">
        <f>AVERAGE(D930:K930)</f>
        <v>3.2157191249999997</v>
      </c>
      <c r="M930" s="2">
        <f xml:space="preserve"> _xlfn.STDEV.S(D930:K930) / SQRT(COUNT(D930:K930))</f>
        <v>0.26247913450885163</v>
      </c>
      <c r="N930" s="2">
        <f>M930*$N$2</f>
        <v>0.29375591938997159</v>
      </c>
    </row>
    <row r="931" spans="2:14" x14ac:dyDescent="0.55000000000000004">
      <c r="C931" s="2" t="s">
        <v>29</v>
      </c>
      <c r="D931" s="2">
        <v>3.2850000000000002E-3</v>
      </c>
      <c r="E931" s="2">
        <v>1.7107000000000001E-2</v>
      </c>
      <c r="F931" s="2">
        <v>7.5700000000000003E-3</v>
      </c>
      <c r="G931" s="2">
        <v>2.4125000000000001E-2</v>
      </c>
      <c r="H931" s="2">
        <v>7.7250000000000001E-3</v>
      </c>
      <c r="I931" s="2">
        <v>1.9956999999999999E-2</v>
      </c>
      <c r="J931" s="2">
        <v>2.3428999999999998E-2</v>
      </c>
      <c r="K931" s="2">
        <v>3.2850000000000002E-3</v>
      </c>
      <c r="L931" s="2">
        <f>(1/COUNT(D931:K931))*SQRT(SUMSQ(D931:K931))</f>
        <v>5.5345900071166066E-3</v>
      </c>
    </row>
    <row r="932" spans="2:14" x14ac:dyDescent="0.55000000000000004">
      <c r="C932" s="2" t="s">
        <v>30</v>
      </c>
      <c r="D932" s="2">
        <v>14.796794999999999</v>
      </c>
      <c r="E932" s="2">
        <v>17.253793000000002</v>
      </c>
      <c r="F932" s="2">
        <v>14.413859</v>
      </c>
      <c r="G932" s="2">
        <v>16.590315</v>
      </c>
      <c r="H932" s="2">
        <v>12.497083999999999</v>
      </c>
      <c r="I932" s="2">
        <v>17.838370000000001</v>
      </c>
      <c r="J932" s="2">
        <v>19.130794000000002</v>
      </c>
      <c r="K932" s="2">
        <v>14.796794999999999</v>
      </c>
      <c r="L932" s="2">
        <f>AVERAGE(D932:K932)</f>
        <v>15.914725625000003</v>
      </c>
      <c r="M932" s="2">
        <f xml:space="preserve"> _xlfn.STDEV.S(D932:K932) / SQRT(COUNT(D932:K932))</f>
        <v>0.7644493650911558</v>
      </c>
      <c r="N932" s="2">
        <f>M932*$N$2</f>
        <v>0.85554048511181602</v>
      </c>
    </row>
    <row r="933" spans="2:14" x14ac:dyDescent="0.55000000000000004">
      <c r="C933" s="2" t="s">
        <v>31</v>
      </c>
      <c r="D933" s="2">
        <v>1.2888999999999999E-2</v>
      </c>
      <c r="E933" s="2">
        <v>1.5866999999999999E-2</v>
      </c>
      <c r="F933" s="2">
        <v>3.7365000000000002E-2</v>
      </c>
      <c r="G933" s="2">
        <v>9.6077999999999997E-2</v>
      </c>
      <c r="H933" s="2">
        <v>3.9121999999999997E-2</v>
      </c>
      <c r="I933" s="2">
        <v>4.4197E-2</v>
      </c>
      <c r="J933" s="2">
        <v>4.8127999999999997E-2</v>
      </c>
      <c r="K933" s="2">
        <v>1.2888999999999999E-2</v>
      </c>
      <c r="L933" s="2">
        <f>(1/COUNT(D933:K933))*SQRT(SUMSQ(D933:K933))</f>
        <v>1.6303445627477799E-2</v>
      </c>
    </row>
    <row r="934" spans="2:14" x14ac:dyDescent="0.55000000000000004">
      <c r="B934" s="2" t="s">
        <v>45</v>
      </c>
      <c r="C934" s="2" t="s">
        <v>22</v>
      </c>
      <c r="D934" s="2">
        <v>0.81168300000000004</v>
      </c>
      <c r="E934" s="2">
        <v>0.845495</v>
      </c>
      <c r="F934" s="2">
        <v>0.66942299999999999</v>
      </c>
      <c r="G934" s="2">
        <v>0.82487200000000005</v>
      </c>
      <c r="H934" s="2">
        <v>0.82278499999999999</v>
      </c>
      <c r="I934" s="2">
        <v>0.84272499999999995</v>
      </c>
      <c r="J934" s="2">
        <v>0.85162000000000004</v>
      </c>
      <c r="K934" s="2">
        <v>0.73106199999999999</v>
      </c>
      <c r="L934" s="2">
        <f>AVERAGE(D934:K934)</f>
        <v>0.79995812500000008</v>
      </c>
      <c r="M934" s="2">
        <f xml:space="preserve"> _xlfn.STDEV.S(D934:K934) / SQRT(COUNT(D934:K934))</f>
        <v>2.3005006013006871E-2</v>
      </c>
      <c r="N934" s="2">
        <f>M934*$N$2</f>
        <v>2.5746262477464709E-2</v>
      </c>
    </row>
    <row r="935" spans="2:14" x14ac:dyDescent="0.55000000000000004">
      <c r="C935" s="2" t="s">
        <v>23</v>
      </c>
      <c r="D935" s="2">
        <v>2.8370000000000001E-3</v>
      </c>
      <c r="E935" s="2">
        <v>8.1989999999999997E-3</v>
      </c>
      <c r="F935" s="2">
        <v>1.3316E-2</v>
      </c>
      <c r="G935" s="2">
        <v>6.1060000000000003E-3</v>
      </c>
      <c r="H935" s="2">
        <v>7.5500000000000003E-4</v>
      </c>
      <c r="I935" s="2">
        <v>4.3239999999999997E-3</v>
      </c>
      <c r="J935" s="2">
        <v>3.1150000000000001E-3</v>
      </c>
      <c r="K935" s="2">
        <v>4.1770000000000002E-3</v>
      </c>
      <c r="L935" s="2">
        <f>(1/COUNT(D935:K935))*SQRT(SUMSQ(D935:K935))</f>
        <v>2.2922724021426861E-3</v>
      </c>
    </row>
    <row r="936" spans="2:14" x14ac:dyDescent="0.55000000000000004">
      <c r="C936" s="2" t="s">
        <v>24</v>
      </c>
      <c r="D936" s="2">
        <v>0.58183200000000002</v>
      </c>
      <c r="E936" s="2">
        <v>0.52217000000000002</v>
      </c>
      <c r="F936" s="2">
        <v>0.74932799999999999</v>
      </c>
      <c r="G936" s="2">
        <v>0.55973300000000004</v>
      </c>
      <c r="H936" s="2">
        <v>0.56731399999999998</v>
      </c>
      <c r="I936" s="2">
        <v>0.54001999999999994</v>
      </c>
      <c r="J936" s="2">
        <v>0.509328</v>
      </c>
      <c r="K936" s="2">
        <v>0.69209200000000004</v>
      </c>
      <c r="L936" s="2">
        <f>AVERAGE(D936:K936)</f>
        <v>0.59022712499999996</v>
      </c>
      <c r="M936" s="2">
        <f xml:space="preserve"> _xlfn.STDEV.S(D936:K936) / SQRT(COUNT(D936:K936))</f>
        <v>3.0152030953532419E-2</v>
      </c>
      <c r="N936" s="2">
        <f>M936*$N$2</f>
        <v>3.3744920680280212E-2</v>
      </c>
    </row>
    <row r="937" spans="2:14" x14ac:dyDescent="0.55000000000000004">
      <c r="C937" s="2" t="s">
        <v>25</v>
      </c>
      <c r="D937" s="2">
        <v>4.1580000000000002E-3</v>
      </c>
      <c r="E937" s="2">
        <v>1.3125E-2</v>
      </c>
      <c r="F937" s="2">
        <v>1.4329E-2</v>
      </c>
      <c r="G937" s="2">
        <v>9.0629999999999999E-3</v>
      </c>
      <c r="H937" s="2">
        <v>1.183E-3</v>
      </c>
      <c r="I937" s="2">
        <v>6.8859999999999998E-3</v>
      </c>
      <c r="J937" s="2">
        <v>5.2209999999999999E-3</v>
      </c>
      <c r="K937" s="2">
        <v>4.751E-3</v>
      </c>
      <c r="L937" s="2">
        <f>(1/COUNT(D937:K937))*SQRT(SUMSQ(D937:K937))</f>
        <v>2.9991147808561777E-3</v>
      </c>
    </row>
    <row r="938" spans="2:14" x14ac:dyDescent="0.55000000000000004">
      <c r="C938" s="2" t="s">
        <v>26</v>
      </c>
      <c r="D938" s="2">
        <v>0.44923299999999999</v>
      </c>
      <c r="E938" s="2">
        <v>0.51928200000000002</v>
      </c>
      <c r="F938" s="2">
        <v>0.40804400000000002</v>
      </c>
      <c r="G938" s="2">
        <v>0.458812</v>
      </c>
      <c r="H938" s="2">
        <v>0.48355399999999998</v>
      </c>
      <c r="I938" s="2">
        <v>0.34464299999999998</v>
      </c>
      <c r="J938" s="2">
        <v>0.47204499999999999</v>
      </c>
      <c r="K938" s="2">
        <v>0.293294</v>
      </c>
      <c r="L938" s="2">
        <f>AVERAGE(D938:K938)</f>
        <v>0.42861337500000002</v>
      </c>
      <c r="M938" s="2">
        <f xml:space="preserve"> _xlfn.STDEV.S(D938:K938) / SQRT(COUNT(D938:K938))</f>
        <v>2.6808900470297908E-2</v>
      </c>
      <c r="N938" s="2">
        <f>M938*$N$2</f>
        <v>3.0003425682665168E-2</v>
      </c>
    </row>
    <row r="939" spans="2:14" x14ac:dyDescent="0.55000000000000004">
      <c r="C939" s="2" t="s">
        <v>27</v>
      </c>
      <c r="D939" s="2">
        <v>5.8809999999999999E-3</v>
      </c>
      <c r="E939" s="2">
        <v>1.3129E-2</v>
      </c>
      <c r="F939" s="2">
        <v>8.3269999999999993E-3</v>
      </c>
      <c r="G939" s="2">
        <v>9.0379999999999992E-3</v>
      </c>
      <c r="H939" s="2">
        <v>9.6100000000000005E-4</v>
      </c>
      <c r="I939" s="2">
        <v>4.9129999999999998E-3</v>
      </c>
      <c r="J939" s="2">
        <v>5.0679999999999996E-3</v>
      </c>
      <c r="K939" s="2">
        <v>3.6050000000000001E-3</v>
      </c>
      <c r="L939" s="2">
        <f>(1/COUNT(D939:K939))*SQRT(SUMSQ(D939:K939))</f>
        <v>2.5669866636291662E-3</v>
      </c>
    </row>
    <row r="940" spans="2:14" x14ac:dyDescent="0.55000000000000004">
      <c r="C940" s="2" t="s">
        <v>28</v>
      </c>
      <c r="D940" s="2">
        <v>3.3596840000000001</v>
      </c>
      <c r="E940" s="2">
        <v>3.5963080000000001</v>
      </c>
      <c r="F940" s="2">
        <v>2.8313060000000001</v>
      </c>
      <c r="G940" s="2">
        <v>4.1783599999999996</v>
      </c>
      <c r="H940" s="2">
        <v>1.879006</v>
      </c>
      <c r="I940" s="2">
        <v>4.9065269999999996</v>
      </c>
      <c r="J940" s="2">
        <v>3.7875730000000001</v>
      </c>
      <c r="K940" s="2">
        <v>3.1385770000000002</v>
      </c>
      <c r="L940" s="2">
        <f>AVERAGE(D940:K940)</f>
        <v>3.4596676250000002</v>
      </c>
      <c r="M940" s="2">
        <f xml:space="preserve"> _xlfn.STDEV.S(D940:K940) / SQRT(COUNT(D940:K940))</f>
        <v>0.32022700450489194</v>
      </c>
      <c r="N940" s="2">
        <f>M940*$N$2</f>
        <v>0.35838497523946544</v>
      </c>
    </row>
    <row r="941" spans="2:14" x14ac:dyDescent="0.55000000000000004">
      <c r="C941" s="2" t="s">
        <v>29</v>
      </c>
      <c r="D941" s="2">
        <v>5.8501999999999998E-2</v>
      </c>
      <c r="E941" s="2">
        <v>0.18758900000000001</v>
      </c>
      <c r="F941" s="2">
        <v>7.4811000000000002E-2</v>
      </c>
      <c r="G941" s="2">
        <v>0.18055299999999999</v>
      </c>
      <c r="H941" s="2">
        <v>6.8300000000000001E-3</v>
      </c>
      <c r="I941" s="2">
        <v>0.226935</v>
      </c>
      <c r="J941" s="2">
        <v>6.9802000000000003E-2</v>
      </c>
      <c r="K941" s="2">
        <v>5.6189000000000003E-2</v>
      </c>
      <c r="L941" s="2">
        <f>(1/COUNT(D941:K941))*SQRT(SUMSQ(D941:K941))</f>
        <v>4.6162730927021903E-2</v>
      </c>
    </row>
    <row r="942" spans="2:14" x14ac:dyDescent="0.55000000000000004">
      <c r="C942" s="2" t="s">
        <v>30</v>
      </c>
      <c r="D942" s="2">
        <v>15.697227</v>
      </c>
      <c r="E942" s="2">
        <v>18.009853</v>
      </c>
      <c r="F942" s="2">
        <v>14.793238000000001</v>
      </c>
      <c r="G942" s="2">
        <v>16.890205000000002</v>
      </c>
      <c r="H942" s="2">
        <v>11.835513000000001</v>
      </c>
      <c r="I942" s="2">
        <v>18.471819</v>
      </c>
      <c r="J942" s="2">
        <v>19.944253</v>
      </c>
      <c r="K942" s="2">
        <v>14.654132000000001</v>
      </c>
      <c r="L942" s="2">
        <f>AVERAGE(D942:K942)</f>
        <v>16.287030000000001</v>
      </c>
      <c r="M942" s="2">
        <f xml:space="preserve"> _xlfn.STDEV.S(D942:K942) / SQRT(COUNT(D942:K942))</f>
        <v>0.91165238337131582</v>
      </c>
      <c r="N942" s="2">
        <f>M942*$N$2</f>
        <v>1.0202840867424019</v>
      </c>
    </row>
    <row r="943" spans="2:14" x14ac:dyDescent="0.55000000000000004">
      <c r="C943" s="2" t="s">
        <v>31</v>
      </c>
      <c r="D943" s="2">
        <v>0.109599</v>
      </c>
      <c r="E943" s="2">
        <v>0.317915</v>
      </c>
      <c r="F943" s="2">
        <v>0.14313500000000001</v>
      </c>
      <c r="G943" s="2">
        <v>0.287688</v>
      </c>
      <c r="H943" s="2">
        <v>6.2158999999999999E-2</v>
      </c>
      <c r="I943" s="2">
        <v>0.256162</v>
      </c>
      <c r="J943" s="2">
        <v>0.17855499999999999</v>
      </c>
      <c r="K943" s="2">
        <v>0.18385000000000001</v>
      </c>
      <c r="L943" s="2">
        <f>(1/COUNT(D943:K943))*SQRT(SUMSQ(D943:K943))</f>
        <v>7.41092229884589E-2</v>
      </c>
    </row>
    <row r="944" spans="2:14" x14ac:dyDescent="0.55000000000000004">
      <c r="B944" s="2" t="s">
        <v>46</v>
      </c>
      <c r="C944" s="2" t="s">
        <v>22</v>
      </c>
      <c r="L944" s="2" t="e">
        <f>AVERAGE(D944:K944)</f>
        <v>#DIV/0!</v>
      </c>
      <c r="M944" s="2" t="e">
        <f xml:space="preserve"> _xlfn.STDEV.S(D944:K944) / SQRT(COUNT(D944:K944))</f>
        <v>#DIV/0!</v>
      </c>
      <c r="N944" s="2" t="e">
        <f>M944*$N$2</f>
        <v>#DIV/0!</v>
      </c>
    </row>
    <row r="945" spans="2:14" x14ac:dyDescent="0.55000000000000004">
      <c r="C945" s="2" t="s">
        <v>23</v>
      </c>
      <c r="L945" s="2" t="e">
        <f>(1/COUNT(D945:K945))*SQRT(SUMSQ(D945:K945))</f>
        <v>#DIV/0!</v>
      </c>
    </row>
    <row r="946" spans="2:14" x14ac:dyDescent="0.55000000000000004">
      <c r="C946" s="2" t="s">
        <v>24</v>
      </c>
      <c r="L946" s="2" t="e">
        <f>AVERAGE(D946:K946)</f>
        <v>#DIV/0!</v>
      </c>
      <c r="M946" s="2" t="e">
        <f xml:space="preserve"> _xlfn.STDEV.S(D946:K946) / SQRT(COUNT(D946:K946))</f>
        <v>#DIV/0!</v>
      </c>
      <c r="N946" s="2" t="e">
        <f>M946*$N$2</f>
        <v>#DIV/0!</v>
      </c>
    </row>
    <row r="947" spans="2:14" x14ac:dyDescent="0.55000000000000004">
      <c r="C947" s="2" t="s">
        <v>25</v>
      </c>
      <c r="L947" s="2" t="e">
        <f>(1/COUNT(D947:K947))*SQRT(SUMSQ(D947:K947))</f>
        <v>#DIV/0!</v>
      </c>
    </row>
    <row r="948" spans="2:14" x14ac:dyDescent="0.55000000000000004">
      <c r="C948" s="2" t="s">
        <v>26</v>
      </c>
      <c r="L948" s="2" t="e">
        <f>AVERAGE(D948:K948)</f>
        <v>#DIV/0!</v>
      </c>
      <c r="M948" s="2" t="e">
        <f xml:space="preserve"> _xlfn.STDEV.S(D948:K948) / SQRT(COUNT(D948:K948))</f>
        <v>#DIV/0!</v>
      </c>
      <c r="N948" s="2" t="e">
        <f>M948*$N$2</f>
        <v>#DIV/0!</v>
      </c>
    </row>
    <row r="949" spans="2:14" x14ac:dyDescent="0.55000000000000004">
      <c r="C949" s="2" t="s">
        <v>27</v>
      </c>
      <c r="L949" s="2" t="e">
        <f>(1/COUNT(D949:K949))*SQRT(SUMSQ(D949:K949))</f>
        <v>#DIV/0!</v>
      </c>
    </row>
    <row r="950" spans="2:14" x14ac:dyDescent="0.55000000000000004">
      <c r="C950" s="2" t="s">
        <v>28</v>
      </c>
      <c r="L950" s="2" t="e">
        <f>AVERAGE(D950:K950)</f>
        <v>#DIV/0!</v>
      </c>
      <c r="M950" s="2" t="e">
        <f xml:space="preserve"> _xlfn.STDEV.S(D950:K950) / SQRT(COUNT(D950:K950))</f>
        <v>#DIV/0!</v>
      </c>
      <c r="N950" s="2" t="e">
        <f>M950*$N$2</f>
        <v>#DIV/0!</v>
      </c>
    </row>
    <row r="951" spans="2:14" x14ac:dyDescent="0.55000000000000004">
      <c r="C951" s="2" t="s">
        <v>29</v>
      </c>
      <c r="L951" s="2" t="e">
        <f>(1/COUNT(D951:K951))*SQRT(SUMSQ(D951:K951))</f>
        <v>#DIV/0!</v>
      </c>
    </row>
    <row r="952" spans="2:14" x14ac:dyDescent="0.55000000000000004">
      <c r="C952" s="2" t="s">
        <v>30</v>
      </c>
      <c r="L952" s="2" t="e">
        <f>AVERAGE(D952:K952)</f>
        <v>#DIV/0!</v>
      </c>
      <c r="M952" s="2" t="e">
        <f xml:space="preserve"> _xlfn.STDEV.S(D952:K952) / SQRT(COUNT(D952:K952))</f>
        <v>#DIV/0!</v>
      </c>
      <c r="N952" s="2" t="e">
        <f>M952*$N$2</f>
        <v>#DIV/0!</v>
      </c>
    </row>
    <row r="953" spans="2:14" x14ac:dyDescent="0.55000000000000004">
      <c r="C953" s="2" t="s">
        <v>31</v>
      </c>
      <c r="L953" s="2" t="e">
        <f>(1/COUNT(D953:K953))*SQRT(SUMSQ(D953:K953))</f>
        <v>#DIV/0!</v>
      </c>
    </row>
    <row r="954" spans="2:14" x14ac:dyDescent="0.55000000000000004">
      <c r="B954" s="2" t="s">
        <v>36</v>
      </c>
      <c r="C954" s="2" t="s">
        <v>22</v>
      </c>
      <c r="D954" s="2">
        <v>0.779586</v>
      </c>
      <c r="E954" s="2">
        <v>0.84080100000000002</v>
      </c>
      <c r="F954" s="2">
        <v>0.70606500000000005</v>
      </c>
      <c r="G954" s="2">
        <v>0.86634599999999995</v>
      </c>
      <c r="H954" s="2">
        <v>0.82410499999999998</v>
      </c>
      <c r="I954" s="2">
        <v>0.83731</v>
      </c>
      <c r="J954" s="2">
        <v>0.84329299999999996</v>
      </c>
      <c r="K954" s="2">
        <v>0.72734200000000004</v>
      </c>
      <c r="L954" s="2">
        <f>AVERAGE(D954:K954)</f>
        <v>0.80310599999999999</v>
      </c>
      <c r="M954" s="2">
        <f xml:space="preserve"> _xlfn.STDEV.S(D954:K954) / SQRT(COUNT(D954:K954))</f>
        <v>2.0855115417360511E-2</v>
      </c>
      <c r="N954" s="2">
        <f>M954*$N$2</f>
        <v>2.3340192792368833E-2</v>
      </c>
    </row>
    <row r="955" spans="2:14" x14ac:dyDescent="0.55000000000000004">
      <c r="C955" s="2" t="s">
        <v>24</v>
      </c>
      <c r="D955" s="2">
        <v>0.62883900000000004</v>
      </c>
      <c r="E955" s="2">
        <v>0.53564800000000001</v>
      </c>
      <c r="F955" s="2">
        <v>0.70640899999999995</v>
      </c>
      <c r="G955" s="2">
        <v>0.492533</v>
      </c>
      <c r="H955" s="2">
        <v>0.56572199999999995</v>
      </c>
      <c r="I955" s="2">
        <v>0.54944199999999999</v>
      </c>
      <c r="J955" s="2">
        <v>0.52594700000000005</v>
      </c>
      <c r="K955" s="2">
        <v>0.69686099999999995</v>
      </c>
      <c r="L955" s="2">
        <f t="shared" ref="L955:L972" si="30">AVERAGE(D955:K955)</f>
        <v>0.58767512500000008</v>
      </c>
      <c r="M955" s="2">
        <f t="shared" ref="M955:M971" si="31" xml:space="preserve"> _xlfn.STDEV.S(D955:K955) / SQRT(COUNT(D955:K955))</f>
        <v>2.841864064523061E-2</v>
      </c>
      <c r="N955" s="2">
        <f t="shared" ref="N955:N971" si="32">M955*$N$2</f>
        <v>3.1804981093731123E-2</v>
      </c>
    </row>
    <row r="956" spans="2:14" x14ac:dyDescent="0.55000000000000004">
      <c r="C956" s="2" t="s">
        <v>26</v>
      </c>
      <c r="D956" s="2">
        <v>0.39923700000000001</v>
      </c>
      <c r="E956" s="2">
        <v>0.49901600000000002</v>
      </c>
      <c r="F956" s="2">
        <v>0.43053200000000003</v>
      </c>
      <c r="G956" s="2">
        <v>0.52763000000000004</v>
      </c>
      <c r="H956" s="2">
        <v>0.48421199999999998</v>
      </c>
      <c r="I956" s="2">
        <v>0.33693200000000001</v>
      </c>
      <c r="J956" s="2">
        <v>0.45145400000000002</v>
      </c>
      <c r="K956" s="2">
        <v>0.28699999999999998</v>
      </c>
      <c r="L956" s="2">
        <f t="shared" si="30"/>
        <v>0.427001625</v>
      </c>
      <c r="M956" s="2">
        <f t="shared" si="31"/>
        <v>2.9179070291378239E-2</v>
      </c>
      <c r="N956" s="2">
        <f t="shared" si="32"/>
        <v>3.2656022873693839E-2</v>
      </c>
    </row>
    <row r="957" spans="2:14" x14ac:dyDescent="0.55000000000000004">
      <c r="C957" s="2" t="s">
        <v>28</v>
      </c>
      <c r="D957" s="2">
        <v>4.1715549999999997</v>
      </c>
      <c r="E957" s="2">
        <v>3.4891130000000001</v>
      </c>
      <c r="F957" s="2">
        <v>2.5976759999999999</v>
      </c>
      <c r="G957" s="2">
        <v>3.186731</v>
      </c>
      <c r="H957" s="2">
        <v>1.85307</v>
      </c>
      <c r="I957" s="2">
        <v>5.0944140000000004</v>
      </c>
      <c r="J957" s="2">
        <v>3.9132899999999999</v>
      </c>
      <c r="K957" s="2">
        <v>3.4908419999999998</v>
      </c>
      <c r="L957" s="2">
        <f t="shared" si="30"/>
        <v>3.4745863749999999</v>
      </c>
      <c r="M957" s="2">
        <f t="shared" si="31"/>
        <v>0.3480478932254531</v>
      </c>
      <c r="N957" s="2">
        <f t="shared" si="32"/>
        <v>0.3895209768102072</v>
      </c>
    </row>
    <row r="958" spans="2:14" x14ac:dyDescent="0.55000000000000004">
      <c r="C958" s="2" t="s">
        <v>30</v>
      </c>
      <c r="D958" s="2">
        <v>16.406707000000001</v>
      </c>
      <c r="E958" s="2">
        <v>17.253606000000001</v>
      </c>
      <c r="F958" s="2">
        <v>15.098058</v>
      </c>
      <c r="G958" s="2">
        <v>15.399929999999999</v>
      </c>
      <c r="H958" s="2">
        <v>11.740769</v>
      </c>
      <c r="I958" s="2">
        <v>18.478877000000001</v>
      </c>
      <c r="J958" s="2">
        <v>19.691455000000001</v>
      </c>
      <c r="K958" s="2">
        <v>15.971337999999999</v>
      </c>
      <c r="L958" s="2">
        <f t="shared" si="30"/>
        <v>16.2550925</v>
      </c>
      <c r="M958" s="2">
        <f t="shared" si="31"/>
        <v>0.8483543514469043</v>
      </c>
      <c r="N958" s="2">
        <f t="shared" si="32"/>
        <v>0.94944351650688763</v>
      </c>
    </row>
    <row r="959" spans="2:14" x14ac:dyDescent="0.55000000000000004">
      <c r="B959" s="2" t="s">
        <v>37</v>
      </c>
      <c r="C959" s="2" t="s">
        <v>22</v>
      </c>
      <c r="D959" s="2">
        <v>0.72920700000000005</v>
      </c>
      <c r="E959" s="2">
        <v>0.72929100000000002</v>
      </c>
      <c r="F959" s="2">
        <v>0.54685700000000004</v>
      </c>
      <c r="G959" s="2">
        <v>0.79674199999999995</v>
      </c>
      <c r="H959" s="2">
        <v>0.69177500000000003</v>
      </c>
      <c r="I959" s="2">
        <v>0.77104899999999998</v>
      </c>
      <c r="J959" s="2">
        <v>0.76294499999999998</v>
      </c>
      <c r="K959" s="2">
        <v>0.59874799999999995</v>
      </c>
      <c r="L959" s="2">
        <f t="shared" si="30"/>
        <v>0.70332675</v>
      </c>
      <c r="M959" s="2">
        <f t="shared" si="31"/>
        <v>3.0984995785258672E-2</v>
      </c>
      <c r="N959" s="2">
        <f t="shared" si="32"/>
        <v>3.4677140875310632E-2</v>
      </c>
    </row>
    <row r="960" spans="2:14" x14ac:dyDescent="0.55000000000000004">
      <c r="C960" s="2" t="s">
        <v>24</v>
      </c>
      <c r="D960" s="2">
        <v>0.702121</v>
      </c>
      <c r="E960" s="2">
        <v>0.69715300000000002</v>
      </c>
      <c r="F960" s="2">
        <v>0.87283599999999995</v>
      </c>
      <c r="G960" s="2">
        <v>0.60302199999999995</v>
      </c>
      <c r="H960" s="2">
        <v>0.74048999999999998</v>
      </c>
      <c r="I960" s="2">
        <v>0.65265399999999996</v>
      </c>
      <c r="J960" s="2">
        <v>0.65508100000000002</v>
      </c>
      <c r="K960" s="2">
        <v>0.84361699999999995</v>
      </c>
      <c r="L960" s="2">
        <f t="shared" si="30"/>
        <v>0.72087174999999992</v>
      </c>
      <c r="M960" s="2">
        <f t="shared" si="31"/>
        <v>3.3361981921123288E-2</v>
      </c>
      <c r="N960" s="2">
        <f t="shared" si="32"/>
        <v>3.7337366607251919E-2</v>
      </c>
    </row>
    <row r="961" spans="1:14" x14ac:dyDescent="0.55000000000000004">
      <c r="C961" s="2" t="s">
        <v>26</v>
      </c>
      <c r="D961" s="2">
        <v>0.32642300000000002</v>
      </c>
      <c r="E961" s="2">
        <v>0.35255900000000001</v>
      </c>
      <c r="F961" s="2">
        <v>0.32946900000000001</v>
      </c>
      <c r="G961" s="2">
        <v>0.42305100000000001</v>
      </c>
      <c r="H961" s="2">
        <v>0.333841</v>
      </c>
      <c r="I961" s="2">
        <v>0.26484600000000003</v>
      </c>
      <c r="J961" s="2">
        <v>0.32294400000000001</v>
      </c>
      <c r="K961" s="2">
        <v>0.19464600000000001</v>
      </c>
      <c r="L961" s="2">
        <f t="shared" si="30"/>
        <v>0.31847237500000003</v>
      </c>
      <c r="M961" s="2">
        <f t="shared" si="31"/>
        <v>2.3432149128568679E-2</v>
      </c>
      <c r="N961" s="2">
        <f t="shared" si="32"/>
        <v>2.6224303594362418E-2</v>
      </c>
    </row>
    <row r="962" spans="1:14" x14ac:dyDescent="0.55000000000000004">
      <c r="C962" s="2" t="s">
        <v>28</v>
      </c>
      <c r="D962" s="2">
        <v>5.2502440000000004</v>
      </c>
      <c r="E962" s="2">
        <v>6.1145569999999996</v>
      </c>
      <c r="F962" s="2">
        <v>3.9529770000000002</v>
      </c>
      <c r="G962" s="2">
        <v>4.5288769999999996</v>
      </c>
      <c r="H962" s="2">
        <v>3.4594170000000002</v>
      </c>
      <c r="I962" s="2">
        <v>9.4243020000000008</v>
      </c>
      <c r="J962" s="2">
        <v>5.9365379999999996</v>
      </c>
      <c r="K962" s="2">
        <v>4.4076190000000004</v>
      </c>
      <c r="L962" s="2">
        <f t="shared" si="30"/>
        <v>5.3843163749999992</v>
      </c>
      <c r="M962" s="2">
        <f t="shared" si="31"/>
        <v>0.66301992593408643</v>
      </c>
      <c r="N962" s="2">
        <f t="shared" si="32"/>
        <v>0.74202480239460833</v>
      </c>
    </row>
    <row r="963" spans="1:14" x14ac:dyDescent="0.55000000000000004">
      <c r="C963" s="2" t="s">
        <v>30</v>
      </c>
      <c r="D963" s="2">
        <v>18.407852999999999</v>
      </c>
      <c r="E963" s="2">
        <v>20.760249999999999</v>
      </c>
      <c r="F963" s="2">
        <v>19.294917999999999</v>
      </c>
      <c r="G963" s="2">
        <v>17.142111</v>
      </c>
      <c r="H963" s="2">
        <v>19.332360000000001</v>
      </c>
      <c r="I963" s="2">
        <v>31.863458000000001</v>
      </c>
      <c r="J963" s="2">
        <v>23.178794</v>
      </c>
      <c r="K963" s="2">
        <v>20.756537999999999</v>
      </c>
      <c r="L963" s="2">
        <f t="shared" si="30"/>
        <v>21.342035250000002</v>
      </c>
      <c r="M963" s="2">
        <f t="shared" si="31"/>
        <v>1.6324476218049802</v>
      </c>
      <c r="N963" s="2">
        <f t="shared" si="32"/>
        <v>1.8269686575148432</v>
      </c>
    </row>
    <row r="964" spans="1:14" x14ac:dyDescent="0.55000000000000004">
      <c r="B964" s="2" t="s">
        <v>39</v>
      </c>
      <c r="C964" s="2" t="s">
        <v>22</v>
      </c>
      <c r="D964" s="2">
        <v>0.82321100000000003</v>
      </c>
      <c r="E964" s="2">
        <v>0.90914399999999995</v>
      </c>
      <c r="F964" s="2">
        <v>0.71871499999999999</v>
      </c>
      <c r="G964" s="2">
        <v>0.82154400000000005</v>
      </c>
      <c r="H964" s="2">
        <v>0.83635199999999998</v>
      </c>
      <c r="I964" s="2">
        <v>0.879</v>
      </c>
      <c r="J964" s="2">
        <v>0.88235799999999998</v>
      </c>
      <c r="K964" s="2">
        <v>0.728742</v>
      </c>
      <c r="L964" s="2">
        <f t="shared" si="30"/>
        <v>0.82488325000000007</v>
      </c>
      <c r="M964" s="2">
        <f t="shared" si="31"/>
        <v>2.4637427975360397E-2</v>
      </c>
      <c r="N964" s="2">
        <f t="shared" si="32"/>
        <v>2.7573202417970226E-2</v>
      </c>
    </row>
    <row r="965" spans="1:14" x14ac:dyDescent="0.55000000000000004">
      <c r="C965" s="2" t="s">
        <v>24</v>
      </c>
      <c r="D965" s="2">
        <v>0.56810400000000005</v>
      </c>
      <c r="E965" s="2">
        <v>0.41245500000000002</v>
      </c>
      <c r="F965" s="2">
        <v>0.69987299999999997</v>
      </c>
      <c r="G965" s="2">
        <v>0.56942700000000002</v>
      </c>
      <c r="H965" s="2">
        <v>0.54900099999999996</v>
      </c>
      <c r="I965" s="2">
        <v>0.479321</v>
      </c>
      <c r="J965" s="2">
        <v>0.46507999999999999</v>
      </c>
      <c r="K965" s="2">
        <v>0.69959499999999997</v>
      </c>
      <c r="L965" s="2">
        <f t="shared" si="30"/>
        <v>0.5553570000000001</v>
      </c>
      <c r="M965" s="2">
        <f t="shared" si="31"/>
        <v>3.6946562805044839E-2</v>
      </c>
      <c r="N965" s="2">
        <f t="shared" si="32"/>
        <v>4.1349083024842373E-2</v>
      </c>
    </row>
    <row r="966" spans="1:14" x14ac:dyDescent="0.55000000000000004">
      <c r="C966" s="2" t="s">
        <v>26</v>
      </c>
      <c r="D966" s="2">
        <v>0.46141199999999999</v>
      </c>
      <c r="E966" s="2">
        <v>0.63061999999999996</v>
      </c>
      <c r="F966" s="2">
        <v>0.43261699999999997</v>
      </c>
      <c r="G966" s="2">
        <v>0.45152900000000001</v>
      </c>
      <c r="H966" s="2">
        <v>0.49737100000000001</v>
      </c>
      <c r="I966" s="2">
        <v>0.39729799999999998</v>
      </c>
      <c r="J966" s="2">
        <v>0.50619000000000003</v>
      </c>
      <c r="K966" s="2">
        <v>0.29710199999999998</v>
      </c>
      <c r="L966" s="2">
        <f t="shared" si="30"/>
        <v>0.45926737500000003</v>
      </c>
      <c r="M966" s="2">
        <f t="shared" si="31"/>
        <v>3.3787116550298819E-2</v>
      </c>
      <c r="N966" s="2">
        <f t="shared" si="32"/>
        <v>3.7813159908276245E-2</v>
      </c>
    </row>
    <row r="967" spans="1:14" x14ac:dyDescent="0.55000000000000004">
      <c r="C967" s="2" t="s">
        <v>28</v>
      </c>
      <c r="D967" s="2">
        <v>2.9259740000000001</v>
      </c>
      <c r="E967" s="2">
        <v>2.3826809999999998</v>
      </c>
      <c r="F967" s="2">
        <v>2.5281259999999999</v>
      </c>
      <c r="G967" s="2">
        <v>4.1492740000000001</v>
      </c>
      <c r="H967" s="2">
        <v>1.7615160000000001</v>
      </c>
      <c r="I967" s="2">
        <v>3.7321240000000002</v>
      </c>
      <c r="J967" s="2">
        <v>3.1794229999999999</v>
      </c>
      <c r="K967" s="2">
        <v>3.0857209999999999</v>
      </c>
      <c r="L967" s="2">
        <f t="shared" si="30"/>
        <v>2.9681048749999999</v>
      </c>
      <c r="M967" s="2">
        <f t="shared" si="31"/>
        <v>0.26830515928033172</v>
      </c>
      <c r="N967" s="2">
        <f t="shared" si="32"/>
        <v>0.300276168195033</v>
      </c>
    </row>
    <row r="968" spans="1:14" x14ac:dyDescent="0.55000000000000004">
      <c r="C968" s="2" t="s">
        <v>30</v>
      </c>
      <c r="D968" s="2">
        <v>14.699033</v>
      </c>
      <c r="E968" s="2">
        <v>16.463768000000002</v>
      </c>
      <c r="F968" s="2">
        <v>15.390368</v>
      </c>
      <c r="G968" s="2">
        <v>16.772333</v>
      </c>
      <c r="H968" s="2">
        <v>11.043359000000001</v>
      </c>
      <c r="I968" s="2">
        <v>18.427143000000001</v>
      </c>
      <c r="J968" s="2">
        <v>18.502694000000002</v>
      </c>
      <c r="K968" s="2">
        <v>14.719362</v>
      </c>
      <c r="L968" s="2">
        <f t="shared" si="30"/>
        <v>15.752257500000001</v>
      </c>
      <c r="M968" s="2">
        <f t="shared" si="31"/>
        <v>0.85301522606978886</v>
      </c>
      <c r="N968" s="2">
        <f t="shared" si="32"/>
        <v>0.9546597768872368</v>
      </c>
    </row>
    <row r="969" spans="1:14" x14ac:dyDescent="0.55000000000000004">
      <c r="B969" s="2" t="s">
        <v>61</v>
      </c>
      <c r="C969" s="2" t="s">
        <v>22</v>
      </c>
      <c r="D969" s="2">
        <v>0.69934300000000005</v>
      </c>
      <c r="E969" s="2">
        <v>0.69579299999999999</v>
      </c>
      <c r="F969" s="2">
        <v>0.51636599999999999</v>
      </c>
      <c r="G969" s="2">
        <v>0.77069600000000005</v>
      </c>
      <c r="H969" s="2">
        <v>0.63138700000000003</v>
      </c>
      <c r="I969" s="2">
        <v>0.73770000000000002</v>
      </c>
      <c r="J969" s="2">
        <v>0.74053100000000005</v>
      </c>
      <c r="K969" s="2">
        <v>0.52964500000000003</v>
      </c>
      <c r="L969" s="2">
        <f t="shared" si="30"/>
        <v>0.66518262500000003</v>
      </c>
      <c r="M969" s="2">
        <f t="shared" si="31"/>
        <v>3.4286639893351123E-2</v>
      </c>
      <c r="N969" s="2">
        <f t="shared" si="32"/>
        <v>3.8372206017482813E-2</v>
      </c>
    </row>
    <row r="970" spans="1:14" x14ac:dyDescent="0.55000000000000004">
      <c r="C970" s="2" t="s">
        <v>24</v>
      </c>
      <c r="D970" s="2">
        <v>0.76785400000000004</v>
      </c>
      <c r="E970" s="2">
        <v>0.75907400000000003</v>
      </c>
      <c r="F970" s="2">
        <v>0.96567899999999995</v>
      </c>
      <c r="G970" s="2">
        <v>0.64042500000000002</v>
      </c>
      <c r="H970" s="2">
        <v>0.84574700000000003</v>
      </c>
      <c r="I970" s="2">
        <v>0.71707799999999999</v>
      </c>
      <c r="J970" s="2">
        <v>0.700658</v>
      </c>
      <c r="K970" s="2">
        <v>0.95955999999999997</v>
      </c>
      <c r="L970" s="2">
        <f t="shared" si="30"/>
        <v>0.79450937499999996</v>
      </c>
      <c r="M970" s="2">
        <f t="shared" si="31"/>
        <v>4.2189604214586937E-2</v>
      </c>
      <c r="N970" s="2">
        <f t="shared" si="32"/>
        <v>4.7216880678708044E-2</v>
      </c>
    </row>
    <row r="971" spans="1:14" x14ac:dyDescent="0.55000000000000004">
      <c r="C971" s="2" t="s">
        <v>26</v>
      </c>
      <c r="D971" s="2">
        <v>0.333812</v>
      </c>
      <c r="E971" s="2">
        <v>0.34192099999999997</v>
      </c>
      <c r="F971" s="2">
        <v>0.33378200000000002</v>
      </c>
      <c r="G971" s="2">
        <v>0.434834</v>
      </c>
      <c r="H971" s="2">
        <v>0.289684</v>
      </c>
      <c r="I971" s="2">
        <v>0.254027</v>
      </c>
      <c r="J971" s="2">
        <v>0.32789099999999999</v>
      </c>
      <c r="K971" s="2">
        <v>0.15298</v>
      </c>
      <c r="L971" s="2">
        <f t="shared" si="30"/>
        <v>0.308616375</v>
      </c>
      <c r="M971" s="2">
        <f t="shared" si="31"/>
        <v>2.8735506342289628E-2</v>
      </c>
      <c r="N971" s="2">
        <f t="shared" si="32"/>
        <v>3.2159604231059305E-2</v>
      </c>
    </row>
    <row r="972" spans="1:14" x14ac:dyDescent="0.55000000000000004">
      <c r="A972" s="2" t="s">
        <v>20</v>
      </c>
      <c r="B972" s="2" t="s">
        <v>21</v>
      </c>
      <c r="C972" s="2" t="s">
        <v>22</v>
      </c>
      <c r="D972" s="2">
        <v>0.850101</v>
      </c>
      <c r="E972" s="2">
        <v>0.90729099999999996</v>
      </c>
      <c r="F972" s="2">
        <v>0.75602400000000003</v>
      </c>
      <c r="G972" s="2">
        <v>0.87010100000000001</v>
      </c>
      <c r="H972" s="2">
        <v>0.83942700000000003</v>
      </c>
      <c r="I972" s="2">
        <v>0.87237900000000002</v>
      </c>
      <c r="J972" s="2">
        <v>0.87597899999999995</v>
      </c>
      <c r="K972" s="2">
        <v>0.72336800000000001</v>
      </c>
      <c r="L972" s="2">
        <f t="shared" si="30"/>
        <v>0.83683375000000004</v>
      </c>
      <c r="M972" s="2">
        <f xml:space="preserve"> _xlfn.STDEV.S(D972:K972) / SQRT(COUNT(D972:K972))</f>
        <v>2.2541305887153345E-2</v>
      </c>
      <c r="N972" s="2">
        <f>M972*$N$2</f>
        <v>2.522730824879342E-2</v>
      </c>
    </row>
    <row r="973" spans="1:14" x14ac:dyDescent="0.55000000000000004">
      <c r="A973" s="2">
        <v>2</v>
      </c>
      <c r="C973" s="2" t="s">
        <v>23</v>
      </c>
      <c r="D973" s="2">
        <v>2.9999999999999997E-4</v>
      </c>
      <c r="E973" s="2">
        <v>1.6260000000000001E-3</v>
      </c>
      <c r="F973" s="2">
        <v>4.0090000000000004E-3</v>
      </c>
      <c r="G973" s="2">
        <v>3.3349999999999999E-3</v>
      </c>
      <c r="H973" s="2">
        <v>6.1300000000000005E-4</v>
      </c>
      <c r="I973" s="2">
        <v>1.768E-3</v>
      </c>
      <c r="J973" s="2">
        <v>1.423E-3</v>
      </c>
      <c r="K973" s="2">
        <v>1.95E-4</v>
      </c>
      <c r="L973" s="2">
        <f>(1/COUNT(D973:K973))*SQRT(SUMSQ(D973:K973))</f>
        <v>7.4469718048680703E-4</v>
      </c>
    </row>
    <row r="974" spans="1:14" x14ac:dyDescent="0.55000000000000004">
      <c r="C974" s="2" t="s">
        <v>24</v>
      </c>
      <c r="D974" s="2">
        <v>0.52774799999999999</v>
      </c>
      <c r="E974" s="2">
        <v>0.41727999999999998</v>
      </c>
      <c r="F974" s="2">
        <v>0.65486299999999997</v>
      </c>
      <c r="G974" s="2">
        <v>0.49251600000000001</v>
      </c>
      <c r="H974" s="2">
        <v>0.544373</v>
      </c>
      <c r="I974" s="2">
        <v>0.49253999999999998</v>
      </c>
      <c r="J974" s="2">
        <v>0.47246500000000002</v>
      </c>
      <c r="K974" s="2">
        <v>0.70594400000000002</v>
      </c>
      <c r="L974" s="2">
        <f>AVERAGE(D974:K974)</f>
        <v>0.53846612500000002</v>
      </c>
      <c r="M974" s="2">
        <f xml:space="preserve"> _xlfn.STDEV.S(D974:K974) / SQRT(COUNT(D974:K974))</f>
        <v>3.4071796264567543E-2</v>
      </c>
      <c r="N974" s="2">
        <f>M974*$N$2</f>
        <v>3.8131761809159392E-2</v>
      </c>
    </row>
    <row r="975" spans="1:14" x14ac:dyDescent="0.55000000000000004">
      <c r="C975" s="2" t="s">
        <v>25</v>
      </c>
      <c r="D975" s="2">
        <v>4.2700000000000002E-4</v>
      </c>
      <c r="E975" s="2">
        <v>3.8249999999999998E-3</v>
      </c>
      <c r="F975" s="2">
        <v>4.5950000000000001E-3</v>
      </c>
      <c r="G975" s="2">
        <v>5.5189999999999996E-3</v>
      </c>
      <c r="H975" s="2">
        <v>9.9799999999999997E-4</v>
      </c>
      <c r="I975" s="2">
        <v>3.4889999999999999E-3</v>
      </c>
      <c r="J975" s="2">
        <v>2.957E-3</v>
      </c>
      <c r="K975" s="2">
        <v>2.12E-4</v>
      </c>
      <c r="L975" s="2">
        <f>(1/COUNT(D975:K975))*SQRT(SUMSQ(D975:K975))</f>
        <v>1.1748953277845647E-3</v>
      </c>
    </row>
    <row r="976" spans="1:14" x14ac:dyDescent="0.55000000000000004">
      <c r="C976" s="2" t="s">
        <v>26</v>
      </c>
      <c r="D976" s="2">
        <v>0.50311899999999998</v>
      </c>
      <c r="E976" s="2">
        <v>0.62574600000000002</v>
      </c>
      <c r="F976" s="2">
        <v>0.46264499999999997</v>
      </c>
      <c r="G976" s="2">
        <v>0.52348700000000004</v>
      </c>
      <c r="H976" s="2">
        <v>0.50260400000000005</v>
      </c>
      <c r="I976" s="2">
        <v>0.38455400000000001</v>
      </c>
      <c r="J976" s="2">
        <v>0.49879499999999999</v>
      </c>
      <c r="K976" s="2">
        <v>0.289379</v>
      </c>
      <c r="L976" s="2">
        <f>AVERAGE(D976:K976)</f>
        <v>0.47379112499999992</v>
      </c>
      <c r="M976" s="2">
        <f xml:space="preserve"> _xlfn.STDEV.S(D976:K976) / SQRT(COUNT(D976:K976))</f>
        <v>3.5347963226551475E-2</v>
      </c>
      <c r="N976" s="2">
        <f>M976*$N$2</f>
        <v>3.9559995713976899E-2</v>
      </c>
    </row>
    <row r="977" spans="2:14" x14ac:dyDescent="0.55000000000000004">
      <c r="C977" s="2" t="s">
        <v>27</v>
      </c>
      <c r="D977" s="2">
        <v>5.1400000000000003E-4</v>
      </c>
      <c r="E977" s="2">
        <v>3.6189999999999998E-3</v>
      </c>
      <c r="F977" s="2">
        <v>2.5690000000000001E-3</v>
      </c>
      <c r="G977" s="2">
        <v>7.0369999999999999E-3</v>
      </c>
      <c r="H977" s="2">
        <v>4.15E-4</v>
      </c>
      <c r="I977" s="2">
        <v>2.9949999999999998E-3</v>
      </c>
      <c r="J977" s="2">
        <v>2.9390000000000002E-3</v>
      </c>
      <c r="K977" s="2">
        <v>1.84E-4</v>
      </c>
      <c r="L977" s="2">
        <f>(1/COUNT(D977:K977))*SQRT(SUMSQ(D977:K977))</f>
        <v>1.167892827381862E-3</v>
      </c>
    </row>
    <row r="978" spans="2:14" x14ac:dyDescent="0.55000000000000004">
      <c r="C978" s="2" t="s">
        <v>28</v>
      </c>
      <c r="D978" s="2">
        <v>2.3176009999999998</v>
      </c>
      <c r="E978" s="2">
        <v>2.3472110000000002</v>
      </c>
      <c r="F978" s="2">
        <v>2.2689900000000001</v>
      </c>
      <c r="G978" s="2">
        <v>3.1003219999999998</v>
      </c>
      <c r="H978" s="2">
        <v>1.7238370000000001</v>
      </c>
      <c r="I978" s="2">
        <v>3.6684899999999998</v>
      </c>
      <c r="J978" s="2">
        <v>3.251315</v>
      </c>
      <c r="K978" s="2">
        <v>3.1527319999999999</v>
      </c>
      <c r="L978" s="2">
        <f>AVERAGE(D978:K978)</f>
        <v>2.7288122499999998</v>
      </c>
      <c r="M978" s="2">
        <f xml:space="preserve"> _xlfn.STDEV.S(D978:K978) / SQRT(COUNT(D978:K978))</f>
        <v>0.23183494772387944</v>
      </c>
      <c r="N978" s="2">
        <f>M978*$N$2</f>
        <v>0.25946019801835929</v>
      </c>
    </row>
    <row r="979" spans="2:14" x14ac:dyDescent="0.55000000000000004">
      <c r="C979" s="2" t="s">
        <v>29</v>
      </c>
      <c r="D979" s="2">
        <v>7.1659999999999996E-3</v>
      </c>
      <c r="E979" s="2">
        <v>2.2359E-2</v>
      </c>
      <c r="F979" s="2">
        <v>2.3429999999999999E-2</v>
      </c>
      <c r="G979" s="2">
        <v>0.11523700000000001</v>
      </c>
      <c r="H979" s="2">
        <v>4.6480000000000002E-3</v>
      </c>
      <c r="I979" s="2">
        <v>4.8251000000000002E-2</v>
      </c>
      <c r="J979" s="2">
        <v>2.6532E-2</v>
      </c>
      <c r="K979" s="2">
        <v>2.0339999999999998E-3</v>
      </c>
      <c r="L979" s="2">
        <f>(1/COUNT(D979:K979))*SQRT(SUMSQ(D979:K979))</f>
        <v>1.6506463975799752E-2</v>
      </c>
    </row>
    <row r="980" spans="2:14" x14ac:dyDescent="0.55000000000000004">
      <c r="C980" s="2" t="s">
        <v>30</v>
      </c>
      <c r="D980" s="2">
        <v>13.883025</v>
      </c>
      <c r="E980" s="2">
        <v>16.081852000000001</v>
      </c>
      <c r="F980" s="2">
        <v>13.984613</v>
      </c>
      <c r="G980" s="2">
        <v>15.787233000000001</v>
      </c>
      <c r="H980" s="2">
        <v>10.812312</v>
      </c>
      <c r="I980" s="2">
        <v>16.430712</v>
      </c>
      <c r="J980" s="2">
        <v>18.178574000000001</v>
      </c>
      <c r="K980" s="2">
        <v>14.940747999999999</v>
      </c>
      <c r="L980" s="2">
        <f>AVERAGE(D980:K980)</f>
        <v>15.012383625</v>
      </c>
      <c r="M980" s="2">
        <f xml:space="preserve"> _xlfn.STDEV.S(D980:K980) / SQRT(COUNT(D980:K980))</f>
        <v>0.77641653617885054</v>
      </c>
      <c r="N980" s="2">
        <f>M980*$N$2</f>
        <v>0.86893365387527177</v>
      </c>
    </row>
    <row r="981" spans="2:14" x14ac:dyDescent="0.55000000000000004">
      <c r="C981" s="2" t="s">
        <v>31</v>
      </c>
      <c r="D981" s="2">
        <v>2.3217000000000002E-2</v>
      </c>
      <c r="E981" s="2">
        <v>2.0646999999999999E-2</v>
      </c>
      <c r="F981" s="2">
        <v>6.3423999999999994E-2</v>
      </c>
      <c r="G981" s="2">
        <v>0.41818899999999998</v>
      </c>
      <c r="H981" s="2">
        <v>4.8075E-2</v>
      </c>
      <c r="I981" s="2">
        <v>6.1490999999999997E-2</v>
      </c>
      <c r="J981" s="2">
        <v>2.9513000000000001E-2</v>
      </c>
      <c r="K981" s="2">
        <v>1.951E-3</v>
      </c>
      <c r="L981" s="2">
        <f>(1/COUNT(D981:K981))*SQRT(SUMSQ(D981:K981))</f>
        <v>5.4030827929380972E-2</v>
      </c>
    </row>
    <row r="982" spans="2:14" x14ac:dyDescent="0.55000000000000004">
      <c r="B982" s="2" t="s">
        <v>32</v>
      </c>
      <c r="C982" s="2" t="s">
        <v>22</v>
      </c>
      <c r="D982" s="2">
        <v>0.83866200000000002</v>
      </c>
      <c r="E982" s="2">
        <v>0.88876100000000002</v>
      </c>
      <c r="F982" s="2">
        <v>0.75264699999999995</v>
      </c>
      <c r="G982" s="2">
        <v>0.85147899999999999</v>
      </c>
      <c r="H982" s="2">
        <v>0.83366499999999999</v>
      </c>
      <c r="I982" s="2">
        <v>0.87237799999999999</v>
      </c>
      <c r="J982" s="2">
        <v>0.88478000000000001</v>
      </c>
      <c r="K982" s="2">
        <v>0.73718499999999998</v>
      </c>
      <c r="L982" s="2">
        <f>AVERAGE(D982:K982)</f>
        <v>0.83244462500000005</v>
      </c>
      <c r="M982" s="2">
        <f xml:space="preserve"> _xlfn.STDEV.S(D982:K982) / SQRT(COUNT(D982:K982))</f>
        <v>2.0419576399112606E-2</v>
      </c>
      <c r="N982" s="2">
        <f>M982*$N$2</f>
        <v>2.2852755324339145E-2</v>
      </c>
    </row>
    <row r="983" spans="2:14" x14ac:dyDescent="0.55000000000000004">
      <c r="C983" s="2" t="s">
        <v>23</v>
      </c>
      <c r="D983" s="2">
        <v>1.7700000000000001E-3</v>
      </c>
      <c r="E983" s="2">
        <v>3.192E-3</v>
      </c>
      <c r="F983" s="2">
        <v>2.1930000000000001E-3</v>
      </c>
      <c r="G983" s="2">
        <v>8.1300000000000001E-3</v>
      </c>
      <c r="H983" s="2">
        <v>8.3100000000000003E-4</v>
      </c>
      <c r="I983" s="2">
        <v>2.075E-3</v>
      </c>
      <c r="J983" s="2">
        <v>2.9009999999999999E-3</v>
      </c>
      <c r="K983" s="2">
        <v>1.395E-3</v>
      </c>
      <c r="L983" s="2">
        <f>(1/COUNT(D983:K983))*SQRT(SUMSQ(D983:K983))</f>
        <v>1.2474093466561008E-3</v>
      </c>
    </row>
    <row r="984" spans="2:14" x14ac:dyDescent="0.55000000000000004">
      <c r="C984" s="2" t="s">
        <v>24</v>
      </c>
      <c r="D984" s="2">
        <v>0.54734000000000005</v>
      </c>
      <c r="E984" s="2">
        <v>0.45424599999999998</v>
      </c>
      <c r="F984" s="2">
        <v>0.65870899999999999</v>
      </c>
      <c r="G984" s="2">
        <v>0.52241800000000005</v>
      </c>
      <c r="H984" s="2">
        <v>0.55335900000000005</v>
      </c>
      <c r="I984" s="2">
        <v>0.49075600000000003</v>
      </c>
      <c r="J984" s="2">
        <v>0.45941900000000002</v>
      </c>
      <c r="K984" s="2">
        <v>0.68823800000000002</v>
      </c>
      <c r="L984" s="2">
        <f>AVERAGE(D984:K984)</f>
        <v>0.54681062499999999</v>
      </c>
      <c r="M984" s="2">
        <f xml:space="preserve"> _xlfn.STDEV.S(D984:K984) / SQRT(COUNT(D984:K984))</f>
        <v>3.0621169509681228E-2</v>
      </c>
      <c r="N984" s="2">
        <f>M984*$N$2</f>
        <v>3.4269961377860418E-2</v>
      </c>
    </row>
    <row r="985" spans="2:14" x14ac:dyDescent="0.55000000000000004">
      <c r="C985" s="2" t="s">
        <v>25</v>
      </c>
      <c r="D985" s="2">
        <v>2.3370000000000001E-3</v>
      </c>
      <c r="E985" s="2">
        <v>6.2329999999999998E-3</v>
      </c>
      <c r="F985" s="2">
        <v>2.5270000000000002E-3</v>
      </c>
      <c r="G985" s="2">
        <v>1.2498E-2</v>
      </c>
      <c r="H985" s="2">
        <v>1.2999999999999999E-3</v>
      </c>
      <c r="I985" s="2">
        <v>3.607E-3</v>
      </c>
      <c r="J985" s="2">
        <v>5.3709999999999999E-3</v>
      </c>
      <c r="K985" s="2">
        <v>1.8649999999999999E-3</v>
      </c>
      <c r="L985" s="2">
        <f>(1/COUNT(D985:K985))*SQRT(SUMSQ(D985:K985))</f>
        <v>1.9918737488229519E-3</v>
      </c>
    </row>
    <row r="986" spans="2:14" x14ac:dyDescent="0.55000000000000004">
      <c r="C986" s="2" t="s">
        <v>26</v>
      </c>
      <c r="D986" s="2">
        <v>0.49543999999999999</v>
      </c>
      <c r="E986" s="2">
        <v>0.58703300000000003</v>
      </c>
      <c r="F986" s="2">
        <v>0.45997900000000003</v>
      </c>
      <c r="G986" s="2">
        <v>0.50761500000000004</v>
      </c>
      <c r="H986" s="2">
        <v>0.49498799999999998</v>
      </c>
      <c r="I986" s="2">
        <v>0.38867699999999999</v>
      </c>
      <c r="J986" s="2">
        <v>0.51086100000000001</v>
      </c>
      <c r="K986" s="2">
        <v>0.30197400000000002</v>
      </c>
      <c r="L986" s="2">
        <f>AVERAGE(D986:K986)</f>
        <v>0.46832087499999991</v>
      </c>
      <c r="M986" s="2">
        <f xml:space="preserve"> _xlfn.STDEV.S(D986:K986) / SQRT(COUNT(D986:K986))</f>
        <v>3.0757362109070693E-2</v>
      </c>
      <c r="N986" s="2">
        <f>M986*$N$2</f>
        <v>3.4422382568682401E-2</v>
      </c>
    </row>
    <row r="987" spans="2:14" x14ac:dyDescent="0.55000000000000004">
      <c r="C987" s="2" t="s">
        <v>27</v>
      </c>
      <c r="D987" s="2">
        <v>2.4390000000000002E-3</v>
      </c>
      <c r="E987" s="2">
        <v>6.6860000000000001E-3</v>
      </c>
      <c r="F987" s="2">
        <v>1.4339999999999999E-3</v>
      </c>
      <c r="G987" s="2">
        <v>1.4498E-2</v>
      </c>
      <c r="H987" s="2">
        <v>1.036E-3</v>
      </c>
      <c r="I987" s="2">
        <v>3.1670000000000001E-3</v>
      </c>
      <c r="J987" s="2">
        <v>5.3709999999999999E-3</v>
      </c>
      <c r="K987" s="2">
        <v>8.7500000000000002E-4</v>
      </c>
      <c r="L987" s="2">
        <f>(1/COUNT(D987:K987))*SQRT(SUMSQ(D987:K987))</f>
        <v>2.1780730015314E-3</v>
      </c>
    </row>
    <row r="988" spans="2:14" x14ac:dyDescent="0.55000000000000004">
      <c r="C988" s="2" t="s">
        <v>28</v>
      </c>
      <c r="D988" s="2">
        <v>2.556473</v>
      </c>
      <c r="E988" s="2">
        <v>2.586341</v>
      </c>
      <c r="F988" s="2">
        <v>2.2986089999999999</v>
      </c>
      <c r="G988" s="2">
        <v>3.5028570000000001</v>
      </c>
      <c r="H988" s="2">
        <v>1.77782</v>
      </c>
      <c r="I988" s="2">
        <v>3.9405779999999999</v>
      </c>
      <c r="J988" s="2">
        <v>3.150166</v>
      </c>
      <c r="K988" s="2">
        <v>3.064864</v>
      </c>
      <c r="L988" s="2">
        <f>AVERAGE(D988:K988)</f>
        <v>2.8597134999999998</v>
      </c>
      <c r="M988" s="2">
        <f xml:space="preserve"> _xlfn.STDEV.S(D988:K988) / SQRT(COUNT(D988:K988))</f>
        <v>0.24496246582814959</v>
      </c>
      <c r="N988" s="2">
        <f>M988*$N$2</f>
        <v>0.27415197973748229</v>
      </c>
    </row>
    <row r="989" spans="2:14" x14ac:dyDescent="0.55000000000000004">
      <c r="C989" s="2" t="s">
        <v>29</v>
      </c>
      <c r="D989" s="2">
        <v>6.1301000000000001E-2</v>
      </c>
      <c r="E989" s="2">
        <v>4.4651999999999997E-2</v>
      </c>
      <c r="F989" s="2">
        <v>1.3576E-2</v>
      </c>
      <c r="G989" s="2">
        <v>0.19630700000000001</v>
      </c>
      <c r="H989" s="2">
        <v>9.0860000000000003E-3</v>
      </c>
      <c r="I989" s="2">
        <v>7.3248999999999995E-2</v>
      </c>
      <c r="J989" s="2">
        <v>5.2243999999999999E-2</v>
      </c>
      <c r="K989" s="2">
        <v>7.1089999999999999E-3</v>
      </c>
      <c r="L989" s="2">
        <f>(1/COUNT(D989:K989))*SQRT(SUMSQ(D989:K989))</f>
        <v>2.8695683621408986E-2</v>
      </c>
    </row>
    <row r="990" spans="2:14" x14ac:dyDescent="0.55000000000000004">
      <c r="C990" s="2" t="s">
        <v>30</v>
      </c>
      <c r="D990" s="2">
        <v>15.693218999999999</v>
      </c>
      <c r="E990" s="2">
        <v>16.275507000000001</v>
      </c>
      <c r="F990" s="2">
        <v>14.132262000000001</v>
      </c>
      <c r="G990" s="2">
        <v>16.355839</v>
      </c>
      <c r="H990" s="2">
        <v>11.193629</v>
      </c>
      <c r="I990" s="2">
        <v>18.525599</v>
      </c>
      <c r="J990" s="2">
        <v>18.667134000000001</v>
      </c>
      <c r="K990" s="2">
        <v>14.656101</v>
      </c>
      <c r="L990" s="2">
        <f>AVERAGE(D990:K990)</f>
        <v>15.68741125</v>
      </c>
      <c r="M990" s="2">
        <f xml:space="preserve"> _xlfn.STDEV.S(D990:K990) / SQRT(COUNT(D990:K990))</f>
        <v>0.85984749791088022</v>
      </c>
      <c r="N990" s="2">
        <f>M990*$N$2</f>
        <v>0.96230617628564041</v>
      </c>
    </row>
    <row r="991" spans="2:14" x14ac:dyDescent="0.55000000000000004">
      <c r="C991" s="2" t="s">
        <v>31</v>
      </c>
      <c r="D991" s="2">
        <v>7.4977000000000002E-2</v>
      </c>
      <c r="E991" s="2">
        <v>4.0985000000000001E-2</v>
      </c>
      <c r="F991" s="2">
        <v>4.7067999999999999E-2</v>
      </c>
      <c r="G991" s="2">
        <v>0.36899500000000002</v>
      </c>
      <c r="H991" s="2">
        <v>4.1713E-2</v>
      </c>
      <c r="I991" s="2">
        <v>0.126113</v>
      </c>
      <c r="J991" s="2">
        <v>0.10757700000000001</v>
      </c>
      <c r="K991" s="2">
        <v>2.5506999999999998E-2</v>
      </c>
      <c r="L991" s="2">
        <f>(1/COUNT(D991:K991))*SQRT(SUMSQ(D991:K991))</f>
        <v>5.2372152147962904E-2</v>
      </c>
    </row>
    <row r="992" spans="2:14" x14ac:dyDescent="0.55000000000000004">
      <c r="B992" s="2" t="s">
        <v>33</v>
      </c>
      <c r="C992" s="2" t="s">
        <v>22</v>
      </c>
      <c r="D992" s="2">
        <v>0.84985599999999994</v>
      </c>
      <c r="E992" s="2">
        <v>0.90521200000000002</v>
      </c>
      <c r="F992" s="2">
        <v>0.75271500000000002</v>
      </c>
      <c r="G992" s="2">
        <v>0.86431899999999995</v>
      </c>
      <c r="H992" s="2">
        <v>0.83820499999999998</v>
      </c>
      <c r="I992" s="2">
        <v>0.87846900000000006</v>
      </c>
      <c r="J992" s="2">
        <v>0.86832600000000004</v>
      </c>
      <c r="K992" s="2">
        <v>0.72319</v>
      </c>
      <c r="L992" s="2">
        <f>AVERAGE(D992:K992)</f>
        <v>0.83503649999999996</v>
      </c>
      <c r="M992" s="2">
        <f xml:space="preserve"> _xlfn.STDEV.S(D992:K992) / SQRT(COUNT(D992:K992))</f>
        <v>2.2477275973270681E-2</v>
      </c>
      <c r="N992" s="2">
        <f>M992*$N$2</f>
        <v>2.5155648586183445E-2</v>
      </c>
    </row>
    <row r="993" spans="2:14" x14ac:dyDescent="0.55000000000000004">
      <c r="C993" s="2" t="s">
        <v>23</v>
      </c>
      <c r="D993" s="2">
        <v>1.8000000000000001E-4</v>
      </c>
      <c r="E993" s="2">
        <v>3.5100000000000002E-4</v>
      </c>
      <c r="F993" s="2">
        <v>6.7500000000000004E-4</v>
      </c>
      <c r="G993" s="2">
        <v>8.6700000000000004E-4</v>
      </c>
      <c r="H993" s="2">
        <v>2.4699999999999999E-4</v>
      </c>
      <c r="I993" s="2">
        <v>1.85E-4</v>
      </c>
      <c r="J993" s="2">
        <v>7.3200000000000001E-4</v>
      </c>
      <c r="K993" s="2">
        <v>2.1100000000000001E-4</v>
      </c>
      <c r="L993" s="2">
        <f>(1/COUNT(D993:K993))*SQRT(SUMSQ(D993:K993))</f>
        <v>1.7846979786507298E-4</v>
      </c>
    </row>
    <row r="994" spans="2:14" x14ac:dyDescent="0.55000000000000004">
      <c r="C994" s="2" t="s">
        <v>24</v>
      </c>
      <c r="D994" s="2">
        <v>0.52813699999999997</v>
      </c>
      <c r="E994" s="2">
        <v>0.42169800000000002</v>
      </c>
      <c r="F994" s="2">
        <v>0.65855900000000001</v>
      </c>
      <c r="G994" s="2">
        <v>0.502444</v>
      </c>
      <c r="H994" s="2">
        <v>0.54621699999999995</v>
      </c>
      <c r="I994" s="2">
        <v>0.48089100000000001</v>
      </c>
      <c r="J994" s="2">
        <v>0.48978500000000003</v>
      </c>
      <c r="K994" s="2">
        <v>0.70618099999999995</v>
      </c>
      <c r="L994" s="2">
        <f>AVERAGE(D994:K994)</f>
        <v>0.54173899999999997</v>
      </c>
      <c r="M994" s="2">
        <f xml:space="preserve"> _xlfn.STDEV.S(D994:K994) / SQRT(COUNT(D994:K994))</f>
        <v>3.3607181040133223E-2</v>
      </c>
      <c r="N994" s="2">
        <f>M994*$N$2</f>
        <v>3.7611783439558059E-2</v>
      </c>
    </row>
    <row r="995" spans="2:14" x14ac:dyDescent="0.55000000000000004">
      <c r="C995" s="2" t="s">
        <v>25</v>
      </c>
      <c r="D995" s="2">
        <v>2.8899999999999998E-4</v>
      </c>
      <c r="E995" s="2">
        <v>7.9500000000000003E-4</v>
      </c>
      <c r="F995" s="2">
        <v>7.7700000000000002E-4</v>
      </c>
      <c r="G995" s="2">
        <v>1.4250000000000001E-3</v>
      </c>
      <c r="H995" s="2">
        <v>3.7800000000000003E-4</v>
      </c>
      <c r="I995" s="2">
        <v>3.6699999999999998E-4</v>
      </c>
      <c r="J995" s="2">
        <v>1.328E-3</v>
      </c>
      <c r="K995" s="2">
        <v>2.3599999999999999E-4</v>
      </c>
      <c r="L995" s="2">
        <f>(1/COUNT(D995:K995))*SQRT(SUMSQ(D995:K995))</f>
        <v>2.9172849642261552E-4</v>
      </c>
    </row>
    <row r="996" spans="2:14" x14ac:dyDescent="0.55000000000000004">
      <c r="C996" s="2" t="s">
        <v>26</v>
      </c>
      <c r="D996" s="2">
        <v>0.50278400000000001</v>
      </c>
      <c r="E996" s="2">
        <v>0.62103900000000001</v>
      </c>
      <c r="F996" s="2">
        <v>0.45991199999999999</v>
      </c>
      <c r="G996" s="2">
        <v>0.51286900000000002</v>
      </c>
      <c r="H996" s="2">
        <v>0.50118099999999999</v>
      </c>
      <c r="I996" s="2">
        <v>0.39411400000000002</v>
      </c>
      <c r="J996" s="2">
        <v>0.48018</v>
      </c>
      <c r="K996" s="2">
        <v>0.28909600000000002</v>
      </c>
      <c r="L996" s="2">
        <f>AVERAGE(D996:K996)</f>
        <v>0.47014687499999996</v>
      </c>
      <c r="M996" s="2">
        <f xml:space="preserve"> _xlfn.STDEV.S(D996:K996) / SQRT(COUNT(D996:K996))</f>
        <v>3.4170723130040992E-2</v>
      </c>
      <c r="N996" s="2">
        <f>M996*$N$2</f>
        <v>3.8242476713694178E-2</v>
      </c>
    </row>
    <row r="997" spans="2:14" x14ac:dyDescent="0.55000000000000004">
      <c r="C997" s="2" t="s">
        <v>27</v>
      </c>
      <c r="D997" s="2">
        <v>3.19E-4</v>
      </c>
      <c r="E997" s="2">
        <v>7.9000000000000001E-4</v>
      </c>
      <c r="F997" s="2">
        <v>4.4099999999999999E-4</v>
      </c>
      <c r="G997" s="2">
        <v>1.578E-3</v>
      </c>
      <c r="H997" s="2">
        <v>2.72E-4</v>
      </c>
      <c r="I997" s="2">
        <v>3.6900000000000002E-4</v>
      </c>
      <c r="J997" s="2">
        <v>1.2639999999999999E-3</v>
      </c>
      <c r="K997" s="2">
        <v>1.9799999999999999E-4</v>
      </c>
      <c r="L997" s="2">
        <f>(1/COUNT(D997:K997))*SQRT(SUMSQ(D997:K997))</f>
        <v>2.8661469671843417E-4</v>
      </c>
    </row>
    <row r="998" spans="2:14" x14ac:dyDescent="0.55000000000000004">
      <c r="C998" s="2" t="s">
        <v>28</v>
      </c>
      <c r="D998" s="2">
        <v>2.3218899999999998</v>
      </c>
      <c r="E998" s="2">
        <v>2.3745780000000001</v>
      </c>
      <c r="F998" s="2">
        <v>2.2830499999999998</v>
      </c>
      <c r="G998" s="2">
        <v>3.2079360000000001</v>
      </c>
      <c r="H998" s="2">
        <v>1.735528</v>
      </c>
      <c r="I998" s="2">
        <v>3.4912719999999999</v>
      </c>
      <c r="J998" s="2">
        <v>3.3683209999999999</v>
      </c>
      <c r="K998" s="2">
        <v>3.1531609999999999</v>
      </c>
      <c r="L998" s="2">
        <f>AVERAGE(D998:K998)</f>
        <v>2.7419670000000003</v>
      </c>
      <c r="M998" s="2">
        <f xml:space="preserve"> _xlfn.STDEV.S(D998:K998) / SQRT(COUNT(D998:K998))</f>
        <v>0.22657971507199601</v>
      </c>
      <c r="N998" s="2">
        <f>M998*$N$2</f>
        <v>0.25357875642434125</v>
      </c>
    </row>
    <row r="999" spans="2:14" x14ac:dyDescent="0.55000000000000004">
      <c r="C999" s="2" t="s">
        <v>29</v>
      </c>
      <c r="D999" s="2">
        <v>3.3730000000000001E-3</v>
      </c>
      <c r="E999" s="2">
        <v>4.6909999999999999E-3</v>
      </c>
      <c r="F999" s="2">
        <v>4.0489999999999996E-3</v>
      </c>
      <c r="G999" s="2">
        <v>1.8550000000000001E-2</v>
      </c>
      <c r="H999" s="2">
        <v>2.3040000000000001E-3</v>
      </c>
      <c r="I999" s="2">
        <v>6.3800000000000003E-3</v>
      </c>
      <c r="J999" s="2">
        <v>1.1609E-2</v>
      </c>
      <c r="K999" s="2">
        <v>2.2859999999999998E-3</v>
      </c>
      <c r="L999" s="2">
        <f>(1/COUNT(D999:K999))*SQRT(SUMSQ(D999:K999))</f>
        <v>3.0101053864441357E-3</v>
      </c>
    </row>
    <row r="1000" spans="2:14" x14ac:dyDescent="0.55000000000000004">
      <c r="C1000" s="2" t="s">
        <v>30</v>
      </c>
      <c r="D1000" s="2">
        <v>13.904541999999999</v>
      </c>
      <c r="E1000" s="2">
        <v>16.106217000000001</v>
      </c>
      <c r="F1000" s="2">
        <v>14.005371</v>
      </c>
      <c r="G1000" s="2">
        <v>16.030073000000002</v>
      </c>
      <c r="H1000" s="2">
        <v>10.875102</v>
      </c>
      <c r="I1000" s="2">
        <v>16.230872000000002</v>
      </c>
      <c r="J1000" s="2">
        <v>18.285474000000001</v>
      </c>
      <c r="K1000" s="2">
        <v>14.932838</v>
      </c>
      <c r="L1000" s="2">
        <f>AVERAGE(D1000:K1000)</f>
        <v>15.046311125000003</v>
      </c>
      <c r="M1000" s="2">
        <f xml:space="preserve"> _xlfn.STDEV.S(D1000:K1000) / SQRT(COUNT(D1000:K1000))</f>
        <v>0.77673312296185804</v>
      </c>
      <c r="N1000" s="2">
        <f>M1000*$N$2</f>
        <v>0.86928796486339321</v>
      </c>
    </row>
    <row r="1001" spans="2:14" x14ac:dyDescent="0.55000000000000004">
      <c r="C1001" s="2" t="s">
        <v>31</v>
      </c>
      <c r="D1001" s="2">
        <v>7.9880000000000003E-3</v>
      </c>
      <c r="E1001" s="2">
        <v>6.4070000000000004E-3</v>
      </c>
      <c r="F1001" s="2">
        <v>1.5991999999999999E-2</v>
      </c>
      <c r="G1001" s="2">
        <v>7.2350999999999999E-2</v>
      </c>
      <c r="H1001" s="2">
        <v>1.1677999999999999E-2</v>
      </c>
      <c r="I1001" s="2">
        <v>1.4801999999999999E-2</v>
      </c>
      <c r="J1001" s="2">
        <v>3.0862000000000001E-2</v>
      </c>
      <c r="K1001" s="2">
        <v>7.424E-3</v>
      </c>
      <c r="L1001" s="2">
        <f>(1/COUNT(D1001:K1001))*SQRT(SUMSQ(D1001:K1001))</f>
        <v>1.0427070212612457E-2</v>
      </c>
    </row>
    <row r="1002" spans="2:14" x14ac:dyDescent="0.55000000000000004">
      <c r="B1002" s="2" t="s">
        <v>34</v>
      </c>
      <c r="C1002" s="2" t="s">
        <v>22</v>
      </c>
      <c r="D1002" s="2">
        <v>0.82830999999999999</v>
      </c>
      <c r="E1002" s="2">
        <v>0.89943399999999996</v>
      </c>
      <c r="F1002" s="2">
        <v>0.75930699999999995</v>
      </c>
      <c r="G1002" s="2">
        <v>0.84343800000000002</v>
      </c>
      <c r="H1002" s="2">
        <v>0.82775699999999997</v>
      </c>
      <c r="I1002" s="2">
        <v>0.86773900000000004</v>
      </c>
      <c r="J1002" s="2">
        <v>0.87918200000000002</v>
      </c>
      <c r="K1002" s="2">
        <v>0.74199000000000004</v>
      </c>
      <c r="L1002" s="2">
        <f>AVERAGE(D1002:K1002)</f>
        <v>0.83089462500000011</v>
      </c>
      <c r="M1002" s="2">
        <f xml:space="preserve"> _xlfn.STDEV.S(D1002:K1002) / SQRT(COUNT(D1002:K1002))</f>
        <v>1.9634838803894231E-2</v>
      </c>
      <c r="N1002" s="2">
        <f>M1002*$N$2</f>
        <v>2.1974509081282154E-2</v>
      </c>
    </row>
    <row r="1003" spans="2:14" x14ac:dyDescent="0.55000000000000004">
      <c r="C1003" s="2" t="s">
        <v>23</v>
      </c>
      <c r="D1003" s="2">
        <v>5.8599999999999998E-3</v>
      </c>
      <c r="E1003" s="2">
        <v>1.4450000000000001E-3</v>
      </c>
      <c r="F1003" s="2">
        <v>2.8410000000000002E-3</v>
      </c>
      <c r="G1003" s="2">
        <v>3.0490000000000001E-3</v>
      </c>
      <c r="H1003" s="2">
        <v>1.3910000000000001E-3</v>
      </c>
      <c r="I1003" s="2">
        <v>3.055E-3</v>
      </c>
      <c r="J1003" s="2">
        <v>1.0507000000000001E-2</v>
      </c>
      <c r="K1003" s="2">
        <v>5.5099999999999995E-4</v>
      </c>
      <c r="L1003" s="2">
        <f>(1/COUNT(D1003:K1003))*SQRT(SUMSQ(D1003:K1003))</f>
        <v>1.6571995532750426E-3</v>
      </c>
    </row>
    <row r="1004" spans="2:14" x14ac:dyDescent="0.55000000000000004">
      <c r="C1004" s="2" t="s">
        <v>24</v>
      </c>
      <c r="D1004" s="2">
        <v>0.56307799999999997</v>
      </c>
      <c r="E1004" s="2">
        <v>0.43360599999999999</v>
      </c>
      <c r="F1004" s="2">
        <v>0.65119300000000002</v>
      </c>
      <c r="G1004" s="2">
        <v>0.53664699999999999</v>
      </c>
      <c r="H1004" s="2">
        <v>0.56222799999999995</v>
      </c>
      <c r="I1004" s="2">
        <v>0.49887300000000001</v>
      </c>
      <c r="J1004" s="2">
        <v>0.46776600000000002</v>
      </c>
      <c r="K1004" s="2">
        <v>0.68181700000000001</v>
      </c>
      <c r="L1004" s="2">
        <f>AVERAGE(D1004:K1004)</f>
        <v>0.54940100000000003</v>
      </c>
      <c r="M1004" s="2">
        <f xml:space="preserve"> _xlfn.STDEV.S(D1004:K1004) / SQRT(COUNT(D1004:K1004))</f>
        <v>3.018860331553699E-2</v>
      </c>
      <c r="N1004" s="2">
        <f>M1004*$N$2</f>
        <v>3.3785850973063358E-2</v>
      </c>
    </row>
    <row r="1005" spans="2:14" x14ac:dyDescent="0.55000000000000004">
      <c r="C1005" s="2" t="s">
        <v>25</v>
      </c>
      <c r="D1005" s="2">
        <v>8.3599999999999994E-3</v>
      </c>
      <c r="E1005" s="2">
        <v>2.9239999999999999E-3</v>
      </c>
      <c r="F1005" s="2">
        <v>3.4060000000000002E-3</v>
      </c>
      <c r="G1005" s="2">
        <v>4.6129999999999999E-3</v>
      </c>
      <c r="H1005" s="2">
        <v>2.098E-3</v>
      </c>
      <c r="I1005" s="2">
        <v>5.2529999999999999E-3</v>
      </c>
      <c r="J1005" s="2">
        <v>1.7201000000000001E-2</v>
      </c>
      <c r="K1005" s="2">
        <v>7.1699999999999997E-4</v>
      </c>
      <c r="L1005" s="2">
        <f>(1/COUNT(D1005:K1005))*SQRT(SUMSQ(D1005:K1005))</f>
        <v>2.6211402695201186E-3</v>
      </c>
    </row>
    <row r="1006" spans="2:14" x14ac:dyDescent="0.55000000000000004">
      <c r="C1006" s="2" t="s">
        <v>26</v>
      </c>
      <c r="D1006" s="2">
        <v>0.476524</v>
      </c>
      <c r="E1006" s="2">
        <v>0.60995699999999997</v>
      </c>
      <c r="F1006" s="2">
        <v>0.46330199999999999</v>
      </c>
      <c r="G1006" s="2">
        <v>0.47423599999999999</v>
      </c>
      <c r="H1006" s="2">
        <v>0.48754900000000001</v>
      </c>
      <c r="I1006" s="2">
        <v>0.38111600000000001</v>
      </c>
      <c r="J1006" s="2">
        <v>0.503965</v>
      </c>
      <c r="K1006" s="2">
        <v>0.31551499999999999</v>
      </c>
      <c r="L1006" s="2">
        <f>AVERAGE(D1006:K1006)</f>
        <v>0.4640205</v>
      </c>
      <c r="M1006" s="2">
        <f xml:space="preserve"> _xlfn.STDEV.S(D1006:K1006) / SQRT(COUNT(D1006:K1006))</f>
        <v>3.0657924071809884E-2</v>
      </c>
      <c r="N1006" s="2">
        <f>M1006*$N$2</f>
        <v>3.4311095581575628E-2</v>
      </c>
    </row>
    <row r="1007" spans="2:14" x14ac:dyDescent="0.55000000000000004">
      <c r="C1007" s="2" t="s">
        <v>27</v>
      </c>
      <c r="D1007" s="2">
        <v>9.4109999999999992E-3</v>
      </c>
      <c r="E1007" s="2">
        <v>3.0149999999999999E-3</v>
      </c>
      <c r="F1007" s="2">
        <v>1.97E-3</v>
      </c>
      <c r="G1007" s="2">
        <v>4.8069999999999996E-3</v>
      </c>
      <c r="H1007" s="2">
        <v>1.4959999999999999E-3</v>
      </c>
      <c r="I1007" s="2">
        <v>4.5170000000000002E-3</v>
      </c>
      <c r="J1007" s="2">
        <v>1.5639E-2</v>
      </c>
      <c r="K1007" s="2">
        <v>5.1500000000000005E-4</v>
      </c>
      <c r="L1007" s="2">
        <f>(1/COUNT(D1007:K1007))*SQRT(SUMSQ(D1007:K1007))</f>
        <v>2.4752845354120401E-3</v>
      </c>
    </row>
    <row r="1008" spans="2:14" x14ac:dyDescent="0.55000000000000004">
      <c r="C1008" s="2" t="s">
        <v>28</v>
      </c>
      <c r="D1008" s="2">
        <v>2.7617820000000002</v>
      </c>
      <c r="E1008" s="2">
        <v>2.5045320000000002</v>
      </c>
      <c r="F1008" s="2">
        <v>2.257482</v>
      </c>
      <c r="G1008" s="2">
        <v>3.7858299999999998</v>
      </c>
      <c r="H1008" s="2">
        <v>1.8534729999999999</v>
      </c>
      <c r="I1008" s="2">
        <v>4.0927049999999996</v>
      </c>
      <c r="J1008" s="2">
        <v>3.3050920000000001</v>
      </c>
      <c r="K1008" s="2">
        <v>2.771147</v>
      </c>
      <c r="L1008" s="2">
        <f>AVERAGE(D1008:K1008)</f>
        <v>2.9165053749999998</v>
      </c>
      <c r="M1008" s="2">
        <f xml:space="preserve"> _xlfn.STDEV.S(D1008:K1008) / SQRT(COUNT(D1008:K1008))</f>
        <v>0.26956679888320922</v>
      </c>
      <c r="N1008" s="2">
        <f>M1008*$N$2</f>
        <v>0.30168814367329555</v>
      </c>
    </row>
    <row r="1009" spans="2:14" x14ac:dyDescent="0.55000000000000004">
      <c r="C1009" s="2" t="s">
        <v>29</v>
      </c>
      <c r="D1009" s="2">
        <v>0.14017099999999999</v>
      </c>
      <c r="E1009" s="2">
        <v>1.9288E-2</v>
      </c>
      <c r="F1009" s="2">
        <v>1.5792E-2</v>
      </c>
      <c r="G1009" s="2">
        <v>8.2105999999999998E-2</v>
      </c>
      <c r="H1009" s="2">
        <v>1.3488999999999999E-2</v>
      </c>
      <c r="I1009" s="2">
        <v>0.113759</v>
      </c>
      <c r="J1009" s="2">
        <v>0.265787</v>
      </c>
      <c r="K1009" s="2">
        <v>4.6280000000000002E-3</v>
      </c>
      <c r="L1009" s="2">
        <f>(1/COUNT(D1009:K1009))*SQRT(SUMSQ(D1009:K1009))</f>
        <v>4.1607903703803677E-2</v>
      </c>
    </row>
    <row r="1010" spans="2:14" x14ac:dyDescent="0.55000000000000004">
      <c r="C1010" s="2" t="s">
        <v>30</v>
      </c>
      <c r="D1010" s="2">
        <v>15.775136</v>
      </c>
      <c r="E1010" s="2">
        <v>16.603263999999999</v>
      </c>
      <c r="F1010" s="2">
        <v>14.134821000000001</v>
      </c>
      <c r="G1010" s="2">
        <v>17.886658000000001</v>
      </c>
      <c r="H1010" s="2">
        <v>11.491031</v>
      </c>
      <c r="I1010" s="2">
        <v>18.665984999999999</v>
      </c>
      <c r="J1010" s="2">
        <v>18.900646999999999</v>
      </c>
      <c r="K1010" s="2">
        <v>13.610234999999999</v>
      </c>
      <c r="L1010" s="2">
        <f>AVERAGE(D1010:K1010)</f>
        <v>15.883472124999999</v>
      </c>
      <c r="M1010" s="2">
        <f xml:space="preserve"> _xlfn.STDEV.S(D1010:K1010) / SQRT(COUNT(D1010:K1010))</f>
        <v>0.93452852565765665</v>
      </c>
      <c r="N1010" s="2">
        <f>M1010*$N$2</f>
        <v>1.0458861302038536</v>
      </c>
    </row>
    <row r="1011" spans="2:14" x14ac:dyDescent="0.55000000000000004">
      <c r="C1011" s="2" t="s">
        <v>31</v>
      </c>
      <c r="D1011" s="2">
        <v>0.111121</v>
      </c>
      <c r="E1011" s="2">
        <v>2.6228999999999999E-2</v>
      </c>
      <c r="F1011" s="2">
        <v>5.1057999999999999E-2</v>
      </c>
      <c r="G1011" s="2">
        <v>0.25368600000000002</v>
      </c>
      <c r="H1011" s="2">
        <v>7.3525999999999994E-2</v>
      </c>
      <c r="I1011" s="2">
        <v>0.14277999999999999</v>
      </c>
      <c r="J1011" s="2">
        <v>0.57269700000000001</v>
      </c>
      <c r="K1011" s="2">
        <v>2.2329000000000002E-2</v>
      </c>
      <c r="L1011" s="2">
        <f>(1/COUNT(D1011:K1011))*SQRT(SUMSQ(D1011:K1011))</f>
        <v>8.2374144738352223E-2</v>
      </c>
    </row>
    <row r="1012" spans="2:14" x14ac:dyDescent="0.55000000000000004">
      <c r="B1012" s="2" t="s">
        <v>35</v>
      </c>
      <c r="C1012" s="2" t="s">
        <v>22</v>
      </c>
      <c r="D1012" s="2">
        <v>0.72972899999999996</v>
      </c>
      <c r="E1012" s="2">
        <v>0.87021099999999996</v>
      </c>
      <c r="F1012" s="2">
        <v>0.71884400000000004</v>
      </c>
      <c r="G1012" s="2">
        <v>0.833144</v>
      </c>
      <c r="H1012" s="2">
        <v>0.81288400000000005</v>
      </c>
      <c r="I1012" s="2">
        <v>0.85533499999999996</v>
      </c>
      <c r="J1012" s="2">
        <v>0.85456399999999999</v>
      </c>
      <c r="K1012" s="2">
        <v>0.72972899999999996</v>
      </c>
      <c r="L1012" s="2">
        <f>AVERAGE(D1012:K1012)</f>
        <v>0.80055499999999991</v>
      </c>
      <c r="M1012" s="2">
        <f xml:space="preserve"> _xlfn.STDEV.S(D1012:K1012) / SQRT(COUNT(D1012:K1012))</f>
        <v>2.2635764231789094E-2</v>
      </c>
      <c r="N1012" s="2">
        <f>M1012*$N$2</f>
        <v>2.5333022167442421E-2</v>
      </c>
    </row>
    <row r="1013" spans="2:14" x14ac:dyDescent="0.55000000000000004">
      <c r="C1013" s="2" t="s">
        <v>23</v>
      </c>
      <c r="D1013" s="2">
        <v>4.0299999999999998E-4</v>
      </c>
      <c r="E1013" s="2">
        <v>1.441E-3</v>
      </c>
      <c r="F1013" s="2">
        <v>7.5500000000000003E-4</v>
      </c>
      <c r="G1013" s="2">
        <v>8.6200000000000003E-4</v>
      </c>
      <c r="H1013" s="2">
        <v>9.1E-4</v>
      </c>
      <c r="I1013" s="2">
        <v>7.4200000000000004E-4</v>
      </c>
      <c r="J1013" s="2">
        <v>7.2499999999999995E-4</v>
      </c>
      <c r="K1013" s="2">
        <v>4.0299999999999998E-4</v>
      </c>
      <c r="L1013" s="2">
        <f>(1/COUNT(D1013:K1013))*SQRT(SUMSQ(D1013:K1013))</f>
        <v>2.9629633076533362E-4</v>
      </c>
    </row>
    <row r="1014" spans="2:14" x14ac:dyDescent="0.55000000000000004">
      <c r="C1014" s="2" t="s">
        <v>24</v>
      </c>
      <c r="D1014" s="2">
        <v>0.69721900000000003</v>
      </c>
      <c r="E1014" s="2">
        <v>0.48477999999999999</v>
      </c>
      <c r="F1014" s="2">
        <v>0.69464499999999996</v>
      </c>
      <c r="G1014" s="2">
        <v>0.553261</v>
      </c>
      <c r="H1014" s="2">
        <v>0.58269800000000005</v>
      </c>
      <c r="I1014" s="2">
        <v>0.52255799999999997</v>
      </c>
      <c r="J1014" s="2">
        <v>0.509351</v>
      </c>
      <c r="K1014" s="2">
        <v>0.69721900000000003</v>
      </c>
      <c r="L1014" s="2">
        <f>AVERAGE(D1014:K1014)</f>
        <v>0.59271637499999996</v>
      </c>
      <c r="M1014" s="2">
        <f xml:space="preserve"> _xlfn.STDEV.S(D1014:K1014) / SQRT(COUNT(D1014:K1014))</f>
        <v>3.2018516041468589E-2</v>
      </c>
      <c r="N1014" s="2">
        <f>M1014*$N$2</f>
        <v>3.5833814504394337E-2</v>
      </c>
    </row>
    <row r="1015" spans="2:14" x14ac:dyDescent="0.55000000000000004">
      <c r="C1015" s="2" t="s">
        <v>25</v>
      </c>
      <c r="D1015" s="2">
        <v>5.3399999999999997E-4</v>
      </c>
      <c r="E1015" s="2">
        <v>2.6849999999999999E-3</v>
      </c>
      <c r="F1015" s="2">
        <v>8.5800000000000004E-4</v>
      </c>
      <c r="G1015" s="2">
        <v>1.4189999999999999E-3</v>
      </c>
      <c r="H1015" s="2">
        <v>1.271E-3</v>
      </c>
      <c r="I1015" s="2">
        <v>1.2999999999999999E-3</v>
      </c>
      <c r="J1015" s="2">
        <v>1.4170000000000001E-3</v>
      </c>
      <c r="K1015" s="2">
        <v>5.3399999999999997E-4</v>
      </c>
      <c r="L1015" s="2">
        <f>(1/COUNT(D1015:K1015))*SQRT(SUMSQ(D1015:K1015))</f>
        <v>4.9753442091979934E-4</v>
      </c>
    </row>
    <row r="1016" spans="2:14" x14ac:dyDescent="0.55000000000000004">
      <c r="C1016" s="2" t="s">
        <v>26</v>
      </c>
      <c r="D1016" s="2">
        <v>0.28959600000000002</v>
      </c>
      <c r="E1016" s="2">
        <v>0.55691900000000005</v>
      </c>
      <c r="F1016" s="2">
        <v>0.43950899999999998</v>
      </c>
      <c r="G1016" s="2">
        <v>0.45881300000000003</v>
      </c>
      <c r="H1016" s="2">
        <v>0.47059499999999999</v>
      </c>
      <c r="I1016" s="2">
        <v>0.355989</v>
      </c>
      <c r="J1016" s="2">
        <v>0.46049099999999998</v>
      </c>
      <c r="K1016" s="2">
        <v>0.28959600000000002</v>
      </c>
      <c r="L1016" s="2">
        <f>AVERAGE(D1016:K1016)</f>
        <v>0.41518850000000002</v>
      </c>
      <c r="M1016" s="2">
        <f xml:space="preserve"> _xlfn.STDEV.S(D1016:K1016) / SQRT(COUNT(D1016:K1016))</f>
        <v>3.347596366158008E-2</v>
      </c>
      <c r="N1016" s="2">
        <f>M1016*$N$2</f>
        <v>3.7464930312550659E-2</v>
      </c>
    </row>
    <row r="1017" spans="2:14" x14ac:dyDescent="0.55000000000000004">
      <c r="C1017" s="2" t="s">
        <v>27</v>
      </c>
      <c r="D1017" s="2">
        <v>3.2899999999999997E-4</v>
      </c>
      <c r="E1017" s="2">
        <v>2.8310000000000002E-3</v>
      </c>
      <c r="F1017" s="2">
        <v>5.5000000000000003E-4</v>
      </c>
      <c r="G1017" s="2">
        <v>1.792E-3</v>
      </c>
      <c r="H1017" s="2">
        <v>1.0579999999999999E-3</v>
      </c>
      <c r="I1017" s="2">
        <v>1.1069999999999999E-3</v>
      </c>
      <c r="J1017" s="2">
        <v>1.4649999999999999E-3</v>
      </c>
      <c r="K1017" s="2">
        <v>3.2899999999999997E-4</v>
      </c>
      <c r="L1017" s="2">
        <f>(1/COUNT(D1017:K1017))*SQRT(SUMSQ(D1017:K1017))</f>
        <v>5.0367159749682125E-4</v>
      </c>
    </row>
    <row r="1018" spans="2:14" x14ac:dyDescent="0.55000000000000004">
      <c r="C1018" s="2" t="s">
        <v>28</v>
      </c>
      <c r="D1018" s="2">
        <v>3.169537</v>
      </c>
      <c r="E1018" s="2">
        <v>2.903724</v>
      </c>
      <c r="F1018" s="2">
        <v>2.5111479999999999</v>
      </c>
      <c r="G1018" s="2">
        <v>3.9261569999999999</v>
      </c>
      <c r="H1018" s="2">
        <v>1.9962470000000001</v>
      </c>
      <c r="I1018" s="2">
        <v>4.2953469999999996</v>
      </c>
      <c r="J1018" s="2">
        <v>3.6806749999999999</v>
      </c>
      <c r="K1018" s="2">
        <v>3.169537</v>
      </c>
      <c r="L1018" s="2">
        <f>AVERAGE(D1018:K1018)</f>
        <v>3.2065465</v>
      </c>
      <c r="M1018" s="2">
        <f xml:space="preserve"> _xlfn.STDEV.S(D1018:K1018) / SQRT(COUNT(D1018:K1018))</f>
        <v>0.26628960004677488</v>
      </c>
      <c r="N1018" s="2">
        <f>M1018*$N$2</f>
        <v>0.2980204366800448</v>
      </c>
    </row>
    <row r="1019" spans="2:14" x14ac:dyDescent="0.55000000000000004">
      <c r="C1019" s="2" t="s">
        <v>29</v>
      </c>
      <c r="D1019" s="2">
        <v>2.3730000000000001E-3</v>
      </c>
      <c r="E1019" s="2">
        <v>1.9746E-2</v>
      </c>
      <c r="F1019" s="2">
        <v>4.3359999999999996E-3</v>
      </c>
      <c r="G1019" s="2">
        <v>2.4922E-2</v>
      </c>
      <c r="H1019" s="2">
        <v>9.3640000000000008E-3</v>
      </c>
      <c r="I1019" s="2">
        <v>2.4931999999999999E-2</v>
      </c>
      <c r="J1019" s="2">
        <v>1.3728000000000001E-2</v>
      </c>
      <c r="K1019" s="2">
        <v>2.3730000000000001E-3</v>
      </c>
      <c r="L1019" s="2">
        <f>(1/COUNT(D1019:K1019))*SQRT(SUMSQ(D1019:K1019))</f>
        <v>5.5040054420621709E-3</v>
      </c>
    </row>
    <row r="1020" spans="2:14" x14ac:dyDescent="0.55000000000000004">
      <c r="C1020" s="2" t="s">
        <v>30</v>
      </c>
      <c r="D1020" s="2">
        <v>14.826318000000001</v>
      </c>
      <c r="E1020" s="2">
        <v>16.790081000000001</v>
      </c>
      <c r="F1020" s="2">
        <v>14.484292999999999</v>
      </c>
      <c r="G1020" s="2">
        <v>16.624692</v>
      </c>
      <c r="H1020" s="2">
        <v>12.525783000000001</v>
      </c>
      <c r="I1020" s="2">
        <v>17.843266</v>
      </c>
      <c r="J1020" s="2">
        <v>19.191939000000001</v>
      </c>
      <c r="K1020" s="2">
        <v>14.826318000000001</v>
      </c>
      <c r="L1020" s="2">
        <f>AVERAGE(D1020:K1020)</f>
        <v>15.889086250000002</v>
      </c>
      <c r="M1020" s="2">
        <f xml:space="preserve"> _xlfn.STDEV.S(D1020:K1020) / SQRT(COUNT(D1020:K1020))</f>
        <v>0.75148386157434921</v>
      </c>
      <c r="N1020" s="2">
        <f>M1020*$N$2</f>
        <v>0.84103002349718059</v>
      </c>
    </row>
    <row r="1021" spans="2:14" x14ac:dyDescent="0.55000000000000004">
      <c r="C1021" s="2" t="s">
        <v>31</v>
      </c>
      <c r="D1021" s="2">
        <v>1.4102999999999999E-2</v>
      </c>
      <c r="E1021" s="2">
        <v>2.5337999999999999E-2</v>
      </c>
      <c r="F1021" s="2">
        <v>1.755E-2</v>
      </c>
      <c r="G1021" s="2">
        <v>7.1152999999999994E-2</v>
      </c>
      <c r="H1021" s="2">
        <v>4.9946999999999998E-2</v>
      </c>
      <c r="I1021" s="2">
        <v>5.0901000000000002E-2</v>
      </c>
      <c r="J1021" s="2">
        <v>2.8604999999999998E-2</v>
      </c>
      <c r="K1021" s="2">
        <v>1.4102999999999999E-2</v>
      </c>
      <c r="L1021" s="2">
        <f>(1/COUNT(D1021:K1021))*SQRT(SUMSQ(D1021:K1021))</f>
        <v>1.3871292300782576E-2</v>
      </c>
    </row>
    <row r="1022" spans="2:14" x14ac:dyDescent="0.55000000000000004">
      <c r="B1022" s="2" t="s">
        <v>45</v>
      </c>
      <c r="C1022" s="2" t="s">
        <v>22</v>
      </c>
      <c r="D1022" s="2">
        <v>0.806033</v>
      </c>
      <c r="E1022" s="2">
        <v>0.84023199999999998</v>
      </c>
      <c r="F1022" s="2">
        <v>0.66834000000000005</v>
      </c>
      <c r="G1022" s="2">
        <v>0.81107700000000005</v>
      </c>
      <c r="H1022" s="2">
        <v>0.82512300000000005</v>
      </c>
      <c r="I1022" s="2">
        <v>0.83293799999999996</v>
      </c>
      <c r="J1022" s="2">
        <v>0.84742799999999996</v>
      </c>
      <c r="K1022" s="2">
        <v>0.731599</v>
      </c>
      <c r="L1022" s="2">
        <f>AVERAGE(D1022:K1022)</f>
        <v>0.79534625000000003</v>
      </c>
      <c r="M1022" s="2">
        <f xml:space="preserve"> _xlfn.STDEV.S(D1022:K1022) / SQRT(COUNT(D1022:K1022))</f>
        <v>2.2193546474908604E-2</v>
      </c>
      <c r="N1022" s="2">
        <f>M1022*$N$2</f>
        <v>2.4838110128106137E-2</v>
      </c>
    </row>
    <row r="1023" spans="2:14" x14ac:dyDescent="0.55000000000000004">
      <c r="C1023" s="2" t="s">
        <v>23</v>
      </c>
      <c r="D1023" s="2">
        <v>2.8189999999999999E-3</v>
      </c>
      <c r="E1023" s="2">
        <v>4.0489999999999996E-3</v>
      </c>
      <c r="F1023" s="2">
        <v>9.4549999999999999E-3</v>
      </c>
      <c r="G1023" s="2">
        <v>1.0881E-2</v>
      </c>
      <c r="H1023" s="2">
        <v>6.9700000000000003E-4</v>
      </c>
      <c r="I1023" s="2">
        <v>3.0609999999999999E-3</v>
      </c>
      <c r="J1023" s="2">
        <v>3.0200000000000001E-3</v>
      </c>
      <c r="K1023" s="2">
        <v>1.47E-3</v>
      </c>
      <c r="L1023" s="2">
        <f>(1/COUNT(D1023:K1023))*SQRT(SUMSQ(D1023:K1023))</f>
        <v>1.9893119806229488E-3</v>
      </c>
    </row>
    <row r="1024" spans="2:14" x14ac:dyDescent="0.55000000000000004">
      <c r="C1024" s="2" t="s">
        <v>24</v>
      </c>
      <c r="D1024" s="2">
        <v>0.59059099999999998</v>
      </c>
      <c r="E1024" s="2">
        <v>0.52918399999999999</v>
      </c>
      <c r="F1024" s="2">
        <v>0.74976200000000004</v>
      </c>
      <c r="G1024" s="2">
        <v>0.57952199999999998</v>
      </c>
      <c r="H1024" s="2">
        <v>0.56369999999999998</v>
      </c>
      <c r="I1024" s="2">
        <v>0.55620400000000003</v>
      </c>
      <c r="J1024" s="2">
        <v>0.51952799999999999</v>
      </c>
      <c r="K1024" s="2">
        <v>0.69097600000000003</v>
      </c>
      <c r="L1024" s="2">
        <f>AVERAGE(D1024:K1024)</f>
        <v>0.59743337500000004</v>
      </c>
      <c r="M1024" s="2">
        <f xml:space="preserve"> _xlfn.STDEV.S(D1024:K1024) / SQRT(COUNT(D1024:K1024))</f>
        <v>2.8625318067438912E-2</v>
      </c>
      <c r="N1024" s="2">
        <f>M1024*$N$2</f>
        <v>3.2036286017421735E-2</v>
      </c>
    </row>
    <row r="1025" spans="2:14" x14ac:dyDescent="0.55000000000000004">
      <c r="C1025" s="2" t="s">
        <v>25</v>
      </c>
      <c r="D1025" s="2">
        <v>4.4099999999999999E-3</v>
      </c>
      <c r="E1025" s="2">
        <v>5.4790000000000004E-3</v>
      </c>
      <c r="F1025" s="2">
        <v>1.0559000000000001E-2</v>
      </c>
      <c r="G1025" s="2">
        <v>1.5413E-2</v>
      </c>
      <c r="H1025" s="2">
        <v>1.0950000000000001E-3</v>
      </c>
      <c r="I1025" s="2">
        <v>4.7140000000000003E-3</v>
      </c>
      <c r="J1025" s="2">
        <v>5.9560000000000004E-3</v>
      </c>
      <c r="K1025" s="2">
        <v>1.634E-3</v>
      </c>
      <c r="L1025" s="2">
        <f>(1/COUNT(D1025:K1025))*SQRT(SUMSQ(D1025:K1025))</f>
        <v>2.681199894636728E-3</v>
      </c>
    </row>
    <row r="1026" spans="2:14" x14ac:dyDescent="0.55000000000000004">
      <c r="C1026" s="2" t="s">
        <v>26</v>
      </c>
      <c r="D1026" s="2">
        <v>0.44413399999999997</v>
      </c>
      <c r="E1026" s="2">
        <v>0.51293200000000005</v>
      </c>
      <c r="F1026" s="2">
        <v>0.40706500000000001</v>
      </c>
      <c r="G1026" s="2">
        <v>0.43927899999999998</v>
      </c>
      <c r="H1026" s="2">
        <v>0.48583599999999999</v>
      </c>
      <c r="I1026" s="2">
        <v>0.33100499999999999</v>
      </c>
      <c r="J1026" s="2">
        <v>0.45647900000000002</v>
      </c>
      <c r="K1026" s="2">
        <v>0.29547600000000002</v>
      </c>
      <c r="L1026" s="2">
        <f>AVERAGE(D1026:K1026)</f>
        <v>0.42152574999999992</v>
      </c>
      <c r="M1026" s="2">
        <f xml:space="preserve"> _xlfn.STDEV.S(D1026:K1026) / SQRT(COUNT(D1026:K1026))</f>
        <v>2.6332560737442126E-2</v>
      </c>
      <c r="N1026" s="2">
        <f>M1026*$N$2</f>
        <v>2.9470325722438406E-2</v>
      </c>
    </row>
    <row r="1027" spans="2:14" x14ac:dyDescent="0.55000000000000004">
      <c r="C1027" s="2" t="s">
        <v>27</v>
      </c>
      <c r="D1027" s="2">
        <v>5.0629999999999998E-3</v>
      </c>
      <c r="E1027" s="2">
        <v>4.5909999999999996E-3</v>
      </c>
      <c r="F1027" s="2">
        <v>5.9899999999999997E-3</v>
      </c>
      <c r="G1027" s="2">
        <v>1.5486E-2</v>
      </c>
      <c r="H1027" s="2">
        <v>7.9600000000000005E-4</v>
      </c>
      <c r="I1027" s="2">
        <v>4.0899999999999999E-3</v>
      </c>
      <c r="J1027" s="2">
        <v>6.391E-3</v>
      </c>
      <c r="K1027" s="2">
        <v>1.4430000000000001E-3</v>
      </c>
      <c r="L1027" s="2">
        <f>(1/COUNT(D1027:K1027))*SQRT(SUMSQ(D1027:K1027))</f>
        <v>2.4453284288618576E-3</v>
      </c>
    </row>
    <row r="1028" spans="2:14" x14ac:dyDescent="0.55000000000000004">
      <c r="C1028" s="2" t="s">
        <v>28</v>
      </c>
      <c r="D1028" s="2">
        <v>3.4450940000000001</v>
      </c>
      <c r="E1028" s="2">
        <v>3.801558</v>
      </c>
      <c r="F1028" s="2">
        <v>2.8388599999999999</v>
      </c>
      <c r="G1028" s="2">
        <v>4.58134</v>
      </c>
      <c r="H1028" s="2">
        <v>1.874897</v>
      </c>
      <c r="I1028" s="2">
        <v>5.7560880000000001</v>
      </c>
      <c r="J1028" s="2">
        <v>3.8551519999999999</v>
      </c>
      <c r="K1028" s="2">
        <v>3.0838510000000001</v>
      </c>
      <c r="L1028" s="2">
        <f>AVERAGE(D1028:K1028)</f>
        <v>3.6546050000000001</v>
      </c>
      <c r="M1028" s="2">
        <f xml:space="preserve"> _xlfn.STDEV.S(D1028:K1028) / SQRT(COUNT(D1028:K1028))</f>
        <v>0.41272912036956577</v>
      </c>
      <c r="N1028" s="2">
        <f>M1028*$N$2</f>
        <v>0.46190956260215571</v>
      </c>
    </row>
    <row r="1029" spans="2:14" x14ac:dyDescent="0.55000000000000004">
      <c r="C1029" s="2" t="s">
        <v>29</v>
      </c>
      <c r="D1029" s="2">
        <v>7.0292999999999994E-2</v>
      </c>
      <c r="E1029" s="2">
        <v>0.15715899999999999</v>
      </c>
      <c r="F1029" s="2">
        <v>8.3962999999999996E-2</v>
      </c>
      <c r="G1029" s="2">
        <v>0.37906899999999999</v>
      </c>
      <c r="H1029" s="2">
        <v>5.483E-3</v>
      </c>
      <c r="I1029" s="2">
        <v>0.22236400000000001</v>
      </c>
      <c r="J1029" s="2">
        <v>5.1975E-2</v>
      </c>
      <c r="K1029" s="2">
        <v>2.2217000000000001E-2</v>
      </c>
      <c r="L1029" s="2">
        <f>(1/COUNT(D1029:K1029))*SQRT(SUMSQ(D1029:K1029))</f>
        <v>6.034457783727859E-2</v>
      </c>
    </row>
    <row r="1030" spans="2:14" x14ac:dyDescent="0.55000000000000004">
      <c r="C1030" s="2" t="s">
        <v>30</v>
      </c>
      <c r="D1030" s="2">
        <v>16.223299000000001</v>
      </c>
      <c r="E1030" s="2">
        <v>18.464690000000001</v>
      </c>
      <c r="F1030" s="2">
        <v>15.064526000000001</v>
      </c>
      <c r="G1030" s="2">
        <v>17.626725</v>
      </c>
      <c r="H1030" s="2">
        <v>11.94256</v>
      </c>
      <c r="I1030" s="2">
        <v>21.149144</v>
      </c>
      <c r="J1030" s="2">
        <v>19.819542999999999</v>
      </c>
      <c r="K1030" s="2">
        <v>14.547561</v>
      </c>
      <c r="L1030" s="2">
        <f>AVERAGE(D1030:K1030)</f>
        <v>16.854755999999998</v>
      </c>
      <c r="M1030" s="2">
        <f xml:space="preserve"> _xlfn.STDEV.S(D1030:K1030) / SQRT(COUNT(D1030:K1030))</f>
        <v>1.0646598515943015</v>
      </c>
      <c r="N1030" s="2">
        <f>M1030*$N$2</f>
        <v>1.1915237915116177</v>
      </c>
    </row>
    <row r="1031" spans="2:14" x14ac:dyDescent="0.55000000000000004">
      <c r="C1031" s="2" t="s">
        <v>31</v>
      </c>
      <c r="D1031" s="2">
        <v>0.141647</v>
      </c>
      <c r="E1031" s="2">
        <v>0.41625099999999998</v>
      </c>
      <c r="F1031" s="2">
        <v>0.22891</v>
      </c>
      <c r="G1031" s="2">
        <v>0.74816000000000005</v>
      </c>
      <c r="H1031" s="2">
        <v>6.1295000000000002E-2</v>
      </c>
      <c r="I1031" s="2">
        <v>0.75857799999999997</v>
      </c>
      <c r="J1031" s="2">
        <v>4.4306999999999999E-2</v>
      </c>
      <c r="K1031" s="2">
        <v>9.2505000000000004E-2</v>
      </c>
      <c r="L1031" s="2">
        <f>(1/COUNT(D1031:K1031))*SQRT(SUMSQ(D1031:K1031))</f>
        <v>0.1476476954237794</v>
      </c>
    </row>
    <row r="1032" spans="2:14" x14ac:dyDescent="0.55000000000000004">
      <c r="B1032" s="2" t="s">
        <v>46</v>
      </c>
      <c r="C1032" s="2" t="s">
        <v>22</v>
      </c>
      <c r="L1032" s="2" t="e">
        <f>AVERAGE(D1032:K1032)</f>
        <v>#DIV/0!</v>
      </c>
      <c r="M1032" s="2" t="e">
        <f xml:space="preserve"> _xlfn.STDEV.S(D1032:K1032) / SQRT(COUNT(D1032:K1032))</f>
        <v>#DIV/0!</v>
      </c>
      <c r="N1032" s="2" t="e">
        <f>M1032*$N$2</f>
        <v>#DIV/0!</v>
      </c>
    </row>
    <row r="1033" spans="2:14" x14ac:dyDescent="0.55000000000000004">
      <c r="C1033" s="2" t="s">
        <v>23</v>
      </c>
      <c r="L1033" s="2" t="e">
        <f>(1/COUNT(D1033:K1033))*SQRT(SUMSQ(D1033:K1033))</f>
        <v>#DIV/0!</v>
      </c>
    </row>
    <row r="1034" spans="2:14" x14ac:dyDescent="0.55000000000000004">
      <c r="C1034" s="2" t="s">
        <v>24</v>
      </c>
      <c r="L1034" s="2" t="e">
        <f>AVERAGE(D1034:K1034)</f>
        <v>#DIV/0!</v>
      </c>
      <c r="M1034" s="2" t="e">
        <f xml:space="preserve"> _xlfn.STDEV.S(D1034:K1034) / SQRT(COUNT(D1034:K1034))</f>
        <v>#DIV/0!</v>
      </c>
      <c r="N1034" s="2" t="e">
        <f>M1034*$N$2</f>
        <v>#DIV/0!</v>
      </c>
    </row>
    <row r="1035" spans="2:14" x14ac:dyDescent="0.55000000000000004">
      <c r="C1035" s="2" t="s">
        <v>25</v>
      </c>
      <c r="L1035" s="2" t="e">
        <f>(1/COUNT(D1035:K1035))*SQRT(SUMSQ(D1035:K1035))</f>
        <v>#DIV/0!</v>
      </c>
    </row>
    <row r="1036" spans="2:14" x14ac:dyDescent="0.55000000000000004">
      <c r="C1036" s="2" t="s">
        <v>26</v>
      </c>
      <c r="L1036" s="2" t="e">
        <f>AVERAGE(D1036:K1036)</f>
        <v>#DIV/0!</v>
      </c>
      <c r="M1036" s="2" t="e">
        <f xml:space="preserve"> _xlfn.STDEV.S(D1036:K1036) / SQRT(COUNT(D1036:K1036))</f>
        <v>#DIV/0!</v>
      </c>
      <c r="N1036" s="2" t="e">
        <f>M1036*$N$2</f>
        <v>#DIV/0!</v>
      </c>
    </row>
    <row r="1037" spans="2:14" x14ac:dyDescent="0.55000000000000004">
      <c r="C1037" s="2" t="s">
        <v>27</v>
      </c>
      <c r="L1037" s="2" t="e">
        <f>(1/COUNT(D1037:K1037))*SQRT(SUMSQ(D1037:K1037))</f>
        <v>#DIV/0!</v>
      </c>
    </row>
    <row r="1038" spans="2:14" x14ac:dyDescent="0.55000000000000004">
      <c r="C1038" s="2" t="s">
        <v>28</v>
      </c>
      <c r="L1038" s="2" t="e">
        <f>AVERAGE(D1038:K1038)</f>
        <v>#DIV/0!</v>
      </c>
      <c r="M1038" s="2" t="e">
        <f xml:space="preserve"> _xlfn.STDEV.S(D1038:K1038) / SQRT(COUNT(D1038:K1038))</f>
        <v>#DIV/0!</v>
      </c>
      <c r="N1038" s="2" t="e">
        <f>M1038*$N$2</f>
        <v>#DIV/0!</v>
      </c>
    </row>
    <row r="1039" spans="2:14" x14ac:dyDescent="0.55000000000000004">
      <c r="C1039" s="2" t="s">
        <v>29</v>
      </c>
      <c r="L1039" s="2" t="e">
        <f>(1/COUNT(D1039:K1039))*SQRT(SUMSQ(D1039:K1039))</f>
        <v>#DIV/0!</v>
      </c>
    </row>
    <row r="1040" spans="2:14" x14ac:dyDescent="0.55000000000000004">
      <c r="C1040" s="2" t="s">
        <v>30</v>
      </c>
      <c r="L1040" s="2" t="e">
        <f>AVERAGE(D1040:K1040)</f>
        <v>#DIV/0!</v>
      </c>
      <c r="M1040" s="2" t="e">
        <f xml:space="preserve"> _xlfn.STDEV.S(D1040:K1040) / SQRT(COUNT(D1040:K1040))</f>
        <v>#DIV/0!</v>
      </c>
      <c r="N1040" s="2" t="e">
        <f>M1040*$N$2</f>
        <v>#DIV/0!</v>
      </c>
    </row>
    <row r="1041" spans="2:14" x14ac:dyDescent="0.55000000000000004">
      <c r="C1041" s="2" t="s">
        <v>31</v>
      </c>
      <c r="L1041" s="2" t="e">
        <f>(1/COUNT(D1041:K1041))*SQRT(SUMSQ(D1041:K1041))</f>
        <v>#DIV/0!</v>
      </c>
    </row>
    <row r="1042" spans="2:14" x14ac:dyDescent="0.55000000000000004">
      <c r="B1042" s="2" t="s">
        <v>36</v>
      </c>
      <c r="C1042" s="2" t="s">
        <v>22</v>
      </c>
      <c r="D1042" s="2">
        <v>0.77767500000000001</v>
      </c>
      <c r="E1042" s="2">
        <v>0.85458500000000004</v>
      </c>
      <c r="F1042" s="2">
        <v>0.70730800000000005</v>
      </c>
      <c r="G1042" s="2">
        <v>0.86441100000000004</v>
      </c>
      <c r="H1042" s="2">
        <v>0.82668600000000003</v>
      </c>
      <c r="I1042" s="2">
        <v>0.83502799999999999</v>
      </c>
      <c r="J1042" s="2">
        <v>0.84334600000000004</v>
      </c>
      <c r="K1042" s="2">
        <v>0.72772899999999996</v>
      </c>
      <c r="L1042" s="2">
        <f>AVERAGE(D1042:K1042)</f>
        <v>0.80459600000000009</v>
      </c>
      <c r="M1042" s="2">
        <f xml:space="preserve"> _xlfn.STDEV.S(D1042:K1042) / SQRT(COUNT(D1042:K1042))</f>
        <v>2.116710826292259E-2</v>
      </c>
      <c r="N1042" s="2">
        <f>M1042*$N$2</f>
        <v>2.3689362433463073E-2</v>
      </c>
    </row>
    <row r="1043" spans="2:14" x14ac:dyDescent="0.55000000000000004">
      <c r="C1043" s="2" t="s">
        <v>24</v>
      </c>
      <c r="D1043" s="2">
        <v>0.63140399999999997</v>
      </c>
      <c r="E1043" s="2">
        <v>0.510598</v>
      </c>
      <c r="F1043" s="2">
        <v>0.70499199999999995</v>
      </c>
      <c r="G1043" s="2">
        <v>0.49532100000000001</v>
      </c>
      <c r="H1043" s="2">
        <v>0.56221399999999999</v>
      </c>
      <c r="I1043" s="2">
        <v>0.55376099999999995</v>
      </c>
      <c r="J1043" s="2">
        <v>0.52620500000000003</v>
      </c>
      <c r="K1043" s="2">
        <v>0.69652800000000004</v>
      </c>
      <c r="L1043" s="2">
        <f t="shared" ref="L1043:L1060" si="33">AVERAGE(D1043:K1043)</f>
        <v>0.58512787499999996</v>
      </c>
      <c r="M1043" s="2">
        <f t="shared" ref="M1043:M1059" si="34" xml:space="preserve"> _xlfn.STDEV.S(D1043:K1043) / SQRT(COUNT(D1043:K1043))</f>
        <v>2.9130152773763025E-2</v>
      </c>
      <c r="N1043" s="2">
        <f t="shared" ref="N1043:N1059" si="35">M1043*$N$2</f>
        <v>3.2601276387317996E-2</v>
      </c>
    </row>
    <row r="1044" spans="2:14" x14ac:dyDescent="0.55000000000000004">
      <c r="C1044" s="2" t="s">
        <v>26</v>
      </c>
      <c r="D1044" s="2">
        <v>0.39774700000000002</v>
      </c>
      <c r="E1044" s="2">
        <v>0.52779600000000004</v>
      </c>
      <c r="F1044" s="2">
        <v>0.43156699999999998</v>
      </c>
      <c r="G1044" s="2">
        <v>0.52468300000000001</v>
      </c>
      <c r="H1044" s="2">
        <v>0.48713800000000002</v>
      </c>
      <c r="I1044" s="2">
        <v>0.33329799999999998</v>
      </c>
      <c r="J1044" s="2">
        <v>0.45140400000000003</v>
      </c>
      <c r="K1044" s="2">
        <v>0.28701199999999999</v>
      </c>
      <c r="L1044" s="2">
        <f t="shared" si="33"/>
        <v>0.43008062499999999</v>
      </c>
      <c r="M1044" s="2">
        <f t="shared" si="34"/>
        <v>3.079056987127347E-2</v>
      </c>
      <c r="N1044" s="2">
        <f t="shared" si="35"/>
        <v>3.4459547338884094E-2</v>
      </c>
    </row>
    <row r="1045" spans="2:14" x14ac:dyDescent="0.55000000000000004">
      <c r="C1045" s="2" t="s">
        <v>28</v>
      </c>
      <c r="D1045" s="2">
        <v>4.2409720000000002</v>
      </c>
      <c r="E1045" s="2">
        <v>3.2777280000000002</v>
      </c>
      <c r="F1045" s="2">
        <v>2.5878190000000001</v>
      </c>
      <c r="G1045" s="2">
        <v>3.2004800000000002</v>
      </c>
      <c r="H1045" s="2">
        <v>1.84144</v>
      </c>
      <c r="I1045" s="2">
        <v>5.194013</v>
      </c>
      <c r="J1045" s="2">
        <v>3.9160430000000002</v>
      </c>
      <c r="K1045" s="2">
        <v>3.462272</v>
      </c>
      <c r="L1045" s="2">
        <f t="shared" si="33"/>
        <v>3.4650958750000003</v>
      </c>
      <c r="M1045" s="2">
        <f t="shared" si="34"/>
        <v>0.36118606374383511</v>
      </c>
      <c r="N1045" s="2">
        <f t="shared" si="35"/>
        <v>0.40422468027582253</v>
      </c>
    </row>
    <row r="1046" spans="2:14" x14ac:dyDescent="0.55000000000000004">
      <c r="C1046" s="2" t="s">
        <v>30</v>
      </c>
      <c r="D1046" s="2">
        <v>16.591930000000001</v>
      </c>
      <c r="E1046" s="2">
        <v>17.560734</v>
      </c>
      <c r="F1046" s="2">
        <v>15.053061</v>
      </c>
      <c r="G1046" s="2">
        <v>15.371111000000001</v>
      </c>
      <c r="H1046" s="2">
        <v>11.840006000000001</v>
      </c>
      <c r="I1046" s="2">
        <v>18.751474999999999</v>
      </c>
      <c r="J1046" s="2">
        <v>19.905833999999999</v>
      </c>
      <c r="K1046" s="2">
        <v>15.849743999999999</v>
      </c>
      <c r="L1046" s="2">
        <f t="shared" si="33"/>
        <v>16.365486874999998</v>
      </c>
      <c r="M1046" s="2">
        <f t="shared" si="34"/>
        <v>0.8779450661922451</v>
      </c>
      <c r="N1046" s="2">
        <f t="shared" si="35"/>
        <v>0.98256023502887302</v>
      </c>
    </row>
    <row r="1047" spans="2:14" x14ac:dyDescent="0.55000000000000004">
      <c r="B1047" s="2" t="s">
        <v>37</v>
      </c>
      <c r="C1047" s="2" t="s">
        <v>22</v>
      </c>
      <c r="D1047" s="2">
        <v>0.73255899999999996</v>
      </c>
      <c r="E1047" s="2">
        <v>0.72028400000000004</v>
      </c>
      <c r="F1047" s="2">
        <v>0.54570200000000002</v>
      </c>
      <c r="G1047" s="2">
        <v>0.79980399999999996</v>
      </c>
      <c r="H1047" s="2">
        <v>0.69818599999999997</v>
      </c>
      <c r="I1047" s="2">
        <v>0.77076699999999998</v>
      </c>
      <c r="J1047" s="2">
        <v>0.75692000000000004</v>
      </c>
      <c r="K1047" s="2">
        <v>0.59300299999999995</v>
      </c>
      <c r="L1047" s="2">
        <f t="shared" si="33"/>
        <v>0.70215312499999993</v>
      </c>
      <c r="M1047" s="2">
        <f t="shared" si="34"/>
        <v>3.1311412819129143E-2</v>
      </c>
      <c r="N1047" s="2">
        <f t="shared" si="35"/>
        <v>3.5042453478419409E-2</v>
      </c>
    </row>
    <row r="1048" spans="2:14" x14ac:dyDescent="0.55000000000000004">
      <c r="C1048" s="2" t="s">
        <v>24</v>
      </c>
      <c r="D1048" s="2">
        <v>0.69738</v>
      </c>
      <c r="E1048" s="2">
        <v>0.70960000000000001</v>
      </c>
      <c r="F1048" s="2">
        <v>0.87378400000000001</v>
      </c>
      <c r="G1048" s="2">
        <v>0.59814100000000003</v>
      </c>
      <c r="H1048" s="2">
        <v>0.73397199999999996</v>
      </c>
      <c r="I1048" s="2">
        <v>0.652582</v>
      </c>
      <c r="J1048" s="2">
        <v>0.66433200000000003</v>
      </c>
      <c r="K1048" s="2">
        <v>0.84958299999999998</v>
      </c>
      <c r="L1048" s="2">
        <f t="shared" si="33"/>
        <v>0.72242174999999997</v>
      </c>
      <c r="M1048" s="2">
        <f t="shared" si="34"/>
        <v>3.3727670807487092E-2</v>
      </c>
      <c r="N1048" s="2">
        <f t="shared" si="35"/>
        <v>3.7746630662566276E-2</v>
      </c>
    </row>
    <row r="1049" spans="2:14" x14ac:dyDescent="0.55000000000000004">
      <c r="C1049" s="2" t="s">
        <v>26</v>
      </c>
      <c r="D1049" s="2">
        <v>0.33057599999999998</v>
      </c>
      <c r="E1049" s="2">
        <v>0.34045900000000001</v>
      </c>
      <c r="F1049" s="2">
        <v>0.32858799999999999</v>
      </c>
      <c r="G1049" s="2">
        <v>0.42904199999999998</v>
      </c>
      <c r="H1049" s="2">
        <v>0.33960600000000002</v>
      </c>
      <c r="I1049" s="2">
        <v>0.26680999999999999</v>
      </c>
      <c r="J1049" s="2">
        <v>0.31444299999999997</v>
      </c>
      <c r="K1049" s="2">
        <v>0.190246</v>
      </c>
      <c r="L1049" s="2">
        <f t="shared" si="33"/>
        <v>0.31747124999999998</v>
      </c>
      <c r="M1049" s="2">
        <f t="shared" si="34"/>
        <v>2.4099395907329638E-2</v>
      </c>
      <c r="N1049" s="2">
        <f t="shared" si="35"/>
        <v>2.697105891768246E-2</v>
      </c>
    </row>
    <row r="1050" spans="2:14" x14ac:dyDescent="0.55000000000000004">
      <c r="C1050" s="2" t="s">
        <v>28</v>
      </c>
      <c r="D1050" s="2">
        <v>5.1800569999999997</v>
      </c>
      <c r="E1050" s="2">
        <v>6.3372580000000003</v>
      </c>
      <c r="F1050" s="2">
        <v>3.9575490000000002</v>
      </c>
      <c r="G1050" s="2">
        <v>4.4555179999999996</v>
      </c>
      <c r="H1050" s="2">
        <v>3.3419850000000002</v>
      </c>
      <c r="I1050" s="2">
        <v>8.8274030000000003</v>
      </c>
      <c r="J1050" s="2">
        <v>6.0959589999999997</v>
      </c>
      <c r="K1050" s="2">
        <v>4.4244389999999996</v>
      </c>
      <c r="L1050" s="2">
        <f t="shared" si="33"/>
        <v>5.3275210000000008</v>
      </c>
      <c r="M1050" s="2">
        <f t="shared" si="34"/>
        <v>0.61638502915104487</v>
      </c>
      <c r="N1050" s="2">
        <f t="shared" si="35"/>
        <v>0.68983293195967732</v>
      </c>
    </row>
    <row r="1051" spans="2:14" x14ac:dyDescent="0.55000000000000004">
      <c r="C1051" s="2" t="s">
        <v>30</v>
      </c>
      <c r="D1051" s="2">
        <v>18.381269</v>
      </c>
      <c r="E1051" s="2">
        <v>21.104856000000002</v>
      </c>
      <c r="F1051" s="2">
        <v>19.307234999999999</v>
      </c>
      <c r="G1051" s="2">
        <v>16.990100000000002</v>
      </c>
      <c r="H1051" s="2">
        <v>18.769238999999999</v>
      </c>
      <c r="I1051" s="2">
        <v>25.739785000000001</v>
      </c>
      <c r="J1051" s="2">
        <v>23.661574999999999</v>
      </c>
      <c r="K1051" s="2">
        <v>20.964966</v>
      </c>
      <c r="L1051" s="2">
        <f t="shared" si="33"/>
        <v>20.614878125000001</v>
      </c>
      <c r="M1051" s="2">
        <f t="shared" si="34"/>
        <v>1.0277750992923336</v>
      </c>
      <c r="N1051" s="2">
        <f t="shared" si="35"/>
        <v>1.1502438842755223</v>
      </c>
    </row>
    <row r="1052" spans="2:14" x14ac:dyDescent="0.55000000000000004">
      <c r="B1052" s="2" t="s">
        <v>39</v>
      </c>
      <c r="C1052" s="2" t="s">
        <v>22</v>
      </c>
      <c r="D1052" s="2">
        <v>0.83732700000000004</v>
      </c>
      <c r="E1052" s="2">
        <v>0.907362</v>
      </c>
      <c r="F1052" s="2">
        <v>0.72198200000000001</v>
      </c>
      <c r="G1052" s="3">
        <v>0.82056099999999998</v>
      </c>
      <c r="H1052" s="2">
        <v>0.83790799999999999</v>
      </c>
      <c r="I1052" s="2">
        <v>0.87860799999999994</v>
      </c>
      <c r="J1052" s="2">
        <v>0.88814199999999999</v>
      </c>
      <c r="K1052" s="2">
        <v>0.72819999999999996</v>
      </c>
      <c r="L1052" s="2">
        <f t="shared" si="33"/>
        <v>0.82751125000000003</v>
      </c>
      <c r="M1052" s="2">
        <f t="shared" si="34"/>
        <v>2.460945023820698E-2</v>
      </c>
      <c r="N1052" s="2">
        <f t="shared" si="35"/>
        <v>2.7541890878044085E-2</v>
      </c>
    </row>
    <row r="1053" spans="2:14" x14ac:dyDescent="0.55000000000000004">
      <c r="C1053" s="2" t="s">
        <v>24</v>
      </c>
      <c r="D1053" s="2">
        <v>0.54705499999999996</v>
      </c>
      <c r="E1053" s="2">
        <v>0.41619600000000001</v>
      </c>
      <c r="F1053" s="2">
        <v>0.69596800000000003</v>
      </c>
      <c r="G1053" s="2">
        <v>0.57084599999999996</v>
      </c>
      <c r="H1053" s="2">
        <v>0.54657100000000003</v>
      </c>
      <c r="I1053" s="2">
        <v>0.48014000000000001</v>
      </c>
      <c r="J1053" s="2">
        <v>0.45373999999999998</v>
      </c>
      <c r="K1053" s="2">
        <v>0.70003800000000005</v>
      </c>
      <c r="L1053" s="2">
        <f t="shared" si="33"/>
        <v>0.55131924999999993</v>
      </c>
      <c r="M1053" s="2">
        <f t="shared" si="34"/>
        <v>3.6914244129734784E-2</v>
      </c>
      <c r="N1053" s="2">
        <f t="shared" si="35"/>
        <v>4.1312913284352576E-2</v>
      </c>
    </row>
    <row r="1054" spans="2:14" x14ac:dyDescent="0.55000000000000004">
      <c r="C1054" s="2" t="s">
        <v>26</v>
      </c>
      <c r="D1054" s="2">
        <v>0.483983</v>
      </c>
      <c r="E1054" s="2">
        <v>0.62683199999999994</v>
      </c>
      <c r="F1054" s="2">
        <v>0.43510100000000002</v>
      </c>
      <c r="G1054" s="2">
        <v>0.44979599999999997</v>
      </c>
      <c r="H1054" s="2">
        <v>0.49968499999999999</v>
      </c>
      <c r="I1054" s="2">
        <v>0.39648</v>
      </c>
      <c r="J1054" s="2">
        <v>0.51832699999999998</v>
      </c>
      <c r="K1054" s="2">
        <v>0.29679499999999998</v>
      </c>
      <c r="L1054" s="2">
        <f t="shared" si="33"/>
        <v>0.46337487499999991</v>
      </c>
      <c r="M1054" s="2">
        <f t="shared" si="34"/>
        <v>3.3987567227610531E-2</v>
      </c>
      <c r="N1054" s="2">
        <f t="shared" si="35"/>
        <v>3.8037496113575861E-2</v>
      </c>
    </row>
    <row r="1055" spans="2:14" x14ac:dyDescent="0.55000000000000004">
      <c r="C1055" s="2" t="s">
        <v>28</v>
      </c>
      <c r="D1055" s="2">
        <v>2.568756</v>
      </c>
      <c r="E1055" s="2">
        <v>2.4069020000000001</v>
      </c>
      <c r="F1055" s="2">
        <v>2.5100150000000001</v>
      </c>
      <c r="G1055" s="2">
        <v>4.17828</v>
      </c>
      <c r="H1055" s="2">
        <v>1.7467029999999999</v>
      </c>
      <c r="I1055" s="2">
        <v>3.73434</v>
      </c>
      <c r="J1055" s="2">
        <v>3.0768049999999998</v>
      </c>
      <c r="K1055" s="2">
        <v>3.0921439999999998</v>
      </c>
      <c r="L1055" s="2">
        <f t="shared" si="33"/>
        <v>2.914243125</v>
      </c>
      <c r="M1055" s="2">
        <f t="shared" si="34"/>
        <v>0.27489380681640602</v>
      </c>
      <c r="N1055" s="2">
        <f t="shared" si="35"/>
        <v>0.30764991322858615</v>
      </c>
    </row>
    <row r="1056" spans="2:14" x14ac:dyDescent="0.55000000000000004">
      <c r="C1056" s="2" t="s">
        <v>30</v>
      </c>
      <c r="D1056" s="2">
        <v>14.21799</v>
      </c>
      <c r="E1056" s="2">
        <v>16.464850999999999</v>
      </c>
      <c r="F1056" s="2">
        <v>15.345711</v>
      </c>
      <c r="G1056" s="2">
        <v>16.802831999999999</v>
      </c>
      <c r="H1056" s="2">
        <v>11.008744999999999</v>
      </c>
      <c r="I1056" s="2">
        <v>18.398074999999999</v>
      </c>
      <c r="J1056" s="2">
        <v>18.357147000000001</v>
      </c>
      <c r="K1056" s="2">
        <v>14.801136</v>
      </c>
      <c r="L1056" s="2">
        <f t="shared" si="33"/>
        <v>15.674560874999999</v>
      </c>
      <c r="M1056" s="2">
        <f t="shared" si="34"/>
        <v>0.85850577693949004</v>
      </c>
      <c r="N1056" s="2">
        <f t="shared" si="35"/>
        <v>0.96080457701279531</v>
      </c>
    </row>
    <row r="1057" spans="1:14" x14ac:dyDescent="0.55000000000000004">
      <c r="B1057" s="2" t="s">
        <v>61</v>
      </c>
      <c r="C1057" s="2" t="s">
        <v>22</v>
      </c>
      <c r="D1057" s="2">
        <v>0.70705600000000002</v>
      </c>
      <c r="E1057" s="2">
        <v>0.68816200000000005</v>
      </c>
      <c r="F1057" s="2">
        <v>0.51629499999999995</v>
      </c>
      <c r="G1057" s="2">
        <v>0.78073099999999995</v>
      </c>
      <c r="H1057" s="2">
        <v>0.64329999999999998</v>
      </c>
      <c r="I1057" s="2">
        <v>0.73750800000000005</v>
      </c>
      <c r="J1057" s="2">
        <v>0.73188399999999998</v>
      </c>
      <c r="K1057" s="2">
        <v>0.52532900000000005</v>
      </c>
      <c r="L1057" s="2">
        <f t="shared" si="33"/>
        <v>0.66628312500000009</v>
      </c>
      <c r="M1057" s="2">
        <f t="shared" si="34"/>
        <v>3.4720468759404016E-2</v>
      </c>
      <c r="N1057" s="2">
        <f t="shared" si="35"/>
        <v>3.8857729553072567E-2</v>
      </c>
    </row>
    <row r="1058" spans="1:14" x14ac:dyDescent="0.55000000000000004">
      <c r="C1058" s="2" t="s">
        <v>24</v>
      </c>
      <c r="D1058" s="2">
        <v>0.75453199999999998</v>
      </c>
      <c r="E1058" s="2">
        <v>0.76702999999999999</v>
      </c>
      <c r="F1058" s="2">
        <v>0.96609500000000004</v>
      </c>
      <c r="G1058" s="2">
        <v>0.62260400000000005</v>
      </c>
      <c r="H1058" s="2">
        <v>0.83227499999999999</v>
      </c>
      <c r="I1058" s="2">
        <v>0.71794500000000006</v>
      </c>
      <c r="J1058" s="2">
        <v>0.71494000000000002</v>
      </c>
      <c r="K1058" s="2">
        <v>0.96416100000000005</v>
      </c>
      <c r="L1058" s="2">
        <f t="shared" si="33"/>
        <v>0.79244775000000001</v>
      </c>
      <c r="M1058" s="2">
        <f t="shared" si="34"/>
        <v>4.3035221060258991E-2</v>
      </c>
      <c r="N1058" s="2">
        <f t="shared" si="35"/>
        <v>4.8163260490638064E-2</v>
      </c>
    </row>
    <row r="1059" spans="1:14" x14ac:dyDescent="0.55000000000000004">
      <c r="C1059" s="2" t="s">
        <v>26</v>
      </c>
      <c r="D1059" s="2">
        <v>0.34026400000000001</v>
      </c>
      <c r="E1059" s="2">
        <v>0.32886399999999999</v>
      </c>
      <c r="F1059" s="2">
        <v>0.33366400000000002</v>
      </c>
      <c r="G1059" s="2">
        <v>0.452268</v>
      </c>
      <c r="H1059" s="2">
        <v>0.30037199999999997</v>
      </c>
      <c r="I1059" s="2">
        <v>0.253807</v>
      </c>
      <c r="J1059" s="2">
        <v>0.317608</v>
      </c>
      <c r="K1059" s="2">
        <v>0.15143899999999999</v>
      </c>
      <c r="L1059" s="2">
        <f t="shared" si="33"/>
        <v>0.30978574999999997</v>
      </c>
      <c r="M1059" s="2">
        <f t="shared" si="34"/>
        <v>3.0036104971915528E-2</v>
      </c>
      <c r="N1059" s="2">
        <f t="shared" si="35"/>
        <v>3.3615181059739416E-2</v>
      </c>
    </row>
    <row r="1060" spans="1:14" x14ac:dyDescent="0.55000000000000004">
      <c r="A1060" s="2" t="s">
        <v>20</v>
      </c>
      <c r="B1060" s="2" t="s">
        <v>21</v>
      </c>
      <c r="C1060" s="2" t="s">
        <v>22</v>
      </c>
      <c r="D1060" s="2">
        <v>0.850545</v>
      </c>
      <c r="E1060" s="2">
        <v>0.90695199999999998</v>
      </c>
      <c r="F1060" s="2">
        <v>0.758494</v>
      </c>
      <c r="G1060" s="2">
        <v>0.87183999999999995</v>
      </c>
      <c r="H1060" s="2">
        <v>0.83904999999999996</v>
      </c>
      <c r="I1060" s="2">
        <v>0.87497499999999995</v>
      </c>
      <c r="J1060" s="2">
        <v>0.87710100000000002</v>
      </c>
      <c r="K1060" s="2">
        <v>0.72394499999999995</v>
      </c>
      <c r="L1060" s="2">
        <f t="shared" si="33"/>
        <v>0.83786274999999988</v>
      </c>
      <c r="M1060" s="2">
        <f xml:space="preserve"> _xlfn.STDEV.S(D1060:K1060) / SQRT(COUNT(D1060:K1060))</f>
        <v>2.2473650688679524E-2</v>
      </c>
      <c r="N1060" s="2">
        <f>M1060*$N$2</f>
        <v>2.5151591315840344E-2</v>
      </c>
    </row>
    <row r="1061" spans="1:14" x14ac:dyDescent="0.55000000000000004">
      <c r="A1061" s="2">
        <v>2.1669999999999998</v>
      </c>
      <c r="C1061" s="2" t="s">
        <v>23</v>
      </c>
      <c r="D1061" s="2">
        <v>3.48E-4</v>
      </c>
      <c r="E1061" s="2">
        <v>1.5219999999999999E-3</v>
      </c>
      <c r="F1061" s="2">
        <v>6.1279999999999998E-3</v>
      </c>
      <c r="G1061" s="2">
        <v>4.2230000000000002E-3</v>
      </c>
      <c r="H1061" s="2">
        <v>2.8200000000000002E-4</v>
      </c>
      <c r="I1061" s="2">
        <v>1.191E-3</v>
      </c>
      <c r="J1061" s="2">
        <v>1.1969999999999999E-3</v>
      </c>
      <c r="K1061" s="2">
        <v>5.6099999999999998E-4</v>
      </c>
      <c r="L1061" s="2">
        <f>(1/COUNT(D1061:K1061))*SQRT(SUMSQ(D1061:K1061))</f>
        <v>9.7683509995290393E-4</v>
      </c>
    </row>
    <row r="1062" spans="1:14" x14ac:dyDescent="0.55000000000000004">
      <c r="C1062" s="2" t="s">
        <v>24</v>
      </c>
      <c r="D1062" s="2">
        <v>0.52709700000000004</v>
      </c>
      <c r="E1062" s="2">
        <v>0.41770000000000002</v>
      </c>
      <c r="F1062" s="2">
        <v>0.65185999999999999</v>
      </c>
      <c r="G1062" s="2">
        <v>0.48960199999999998</v>
      </c>
      <c r="H1062" s="2">
        <v>0.54491100000000003</v>
      </c>
      <c r="I1062" s="2">
        <v>0.48677500000000001</v>
      </c>
      <c r="J1062" s="2">
        <v>0.47009400000000001</v>
      </c>
      <c r="K1062" s="2">
        <v>0.70528900000000005</v>
      </c>
      <c r="L1062" s="2">
        <f>AVERAGE(D1062:K1062)</f>
        <v>0.53666600000000009</v>
      </c>
      <c r="M1062" s="2">
        <f xml:space="preserve"> _xlfn.STDEV.S(D1062:K1062) / SQRT(COUNT(D1062:K1062))</f>
        <v>3.4109014274612139E-2</v>
      </c>
      <c r="N1062" s="2">
        <f>M1062*$N$2</f>
        <v>3.8173414684840243E-2</v>
      </c>
    </row>
    <row r="1063" spans="1:14" x14ac:dyDescent="0.55000000000000004">
      <c r="C1063" s="2" t="s">
        <v>25</v>
      </c>
      <c r="D1063" s="2">
        <v>4.3300000000000001E-4</v>
      </c>
      <c r="E1063" s="2">
        <v>3.3809999999999999E-3</v>
      </c>
      <c r="F1063" s="2">
        <v>7.1029999999999999E-3</v>
      </c>
      <c r="G1063" s="2">
        <v>6.4609999999999997E-3</v>
      </c>
      <c r="H1063" s="2">
        <v>3.8900000000000002E-4</v>
      </c>
      <c r="I1063" s="2">
        <v>2.356E-3</v>
      </c>
      <c r="J1063" s="2">
        <v>2.3860000000000001E-3</v>
      </c>
      <c r="K1063" s="2">
        <v>6.3900000000000003E-4</v>
      </c>
      <c r="L1063" s="2">
        <f>(1/COUNT(D1063:K1063))*SQRT(SUMSQ(D1063:K1063))</f>
        <v>1.3440793433610978E-3</v>
      </c>
    </row>
    <row r="1064" spans="1:14" x14ac:dyDescent="0.55000000000000004">
      <c r="C1064" s="2" t="s">
        <v>26</v>
      </c>
      <c r="D1064" s="2">
        <v>0.50378699999999998</v>
      </c>
      <c r="E1064" s="2">
        <v>0.62506499999999998</v>
      </c>
      <c r="F1064" s="2">
        <v>0.46409499999999998</v>
      </c>
      <c r="G1064" s="2">
        <v>0.52711600000000003</v>
      </c>
      <c r="H1064" s="2">
        <v>0.50276900000000002</v>
      </c>
      <c r="I1064" s="2">
        <v>0.38883699999999999</v>
      </c>
      <c r="J1064" s="2">
        <v>0.50113300000000005</v>
      </c>
      <c r="K1064" s="2">
        <v>0.28982400000000003</v>
      </c>
      <c r="L1064" s="2">
        <f>AVERAGE(D1064:K1064)</f>
        <v>0.47532824999999995</v>
      </c>
      <c r="M1064" s="2">
        <f xml:space="preserve"> _xlfn.STDEV.S(D1064:K1064) / SQRT(COUNT(D1064:K1064))</f>
        <v>3.5190957311883306E-2</v>
      </c>
      <c r="N1064" s="2">
        <f>M1064*$N$2</f>
        <v>3.9384281111369289E-2</v>
      </c>
    </row>
    <row r="1065" spans="1:14" x14ac:dyDescent="0.55000000000000004">
      <c r="C1065" s="2" t="s">
        <v>27</v>
      </c>
      <c r="D1065" s="2">
        <v>4.2000000000000002E-4</v>
      </c>
      <c r="E1065" s="2">
        <v>3.4129999999999998E-3</v>
      </c>
      <c r="F1065" s="2">
        <v>3.8249999999999998E-3</v>
      </c>
      <c r="G1065" s="2">
        <v>7.0870000000000004E-3</v>
      </c>
      <c r="H1065" s="2">
        <v>6.0899999999999995E-4</v>
      </c>
      <c r="I1065" s="2">
        <v>2.1120000000000002E-3</v>
      </c>
      <c r="J1065" s="2">
        <v>2.3159999999999999E-3</v>
      </c>
      <c r="K1065" s="2">
        <v>5.13E-4</v>
      </c>
      <c r="L1065" s="2">
        <f>(1/COUNT(D1065:K1065))*SQRT(SUMSQ(D1065:K1065))</f>
        <v>1.1668575119203716E-3</v>
      </c>
    </row>
    <row r="1066" spans="1:14" x14ac:dyDescent="0.55000000000000004">
      <c r="C1066" s="2" t="s">
        <v>28</v>
      </c>
      <c r="D1066" s="2">
        <v>2.3061210000000001</v>
      </c>
      <c r="E1066" s="2">
        <v>2.3530449999999998</v>
      </c>
      <c r="F1066" s="2">
        <v>2.2531840000000001</v>
      </c>
      <c r="G1066" s="2">
        <v>3.0471710000000001</v>
      </c>
      <c r="H1066" s="2">
        <v>1.720712</v>
      </c>
      <c r="I1066" s="2">
        <v>3.6286640000000001</v>
      </c>
      <c r="J1066" s="2">
        <v>3.2270490000000001</v>
      </c>
      <c r="K1066" s="2">
        <v>3.147421</v>
      </c>
      <c r="L1066" s="2">
        <f>AVERAGE(D1066:K1066)</f>
        <v>2.7104208750000005</v>
      </c>
      <c r="M1066" s="2">
        <f xml:space="preserve"> _xlfn.STDEV.S(D1066:K1066) / SQRT(COUNT(D1066:K1066))</f>
        <v>0.22733745897417895</v>
      </c>
      <c r="N1066" s="2">
        <f>M1066*$N$2</f>
        <v>0.25442679242942945</v>
      </c>
    </row>
    <row r="1067" spans="1:14" x14ac:dyDescent="0.55000000000000004">
      <c r="C1067" s="2" t="s">
        <v>29</v>
      </c>
      <c r="D1067" s="2">
        <v>5.8269999999999997E-3</v>
      </c>
      <c r="E1067" s="2">
        <v>2.2617999999999999E-2</v>
      </c>
      <c r="F1067" s="2">
        <v>3.2855000000000002E-2</v>
      </c>
      <c r="G1067" s="2">
        <v>0.117414</v>
      </c>
      <c r="H1067" s="2">
        <v>5.1180000000000002E-3</v>
      </c>
      <c r="I1067" s="2">
        <v>3.8726999999999998E-2</v>
      </c>
      <c r="J1067" s="2">
        <v>2.4915E-2</v>
      </c>
      <c r="K1067" s="2">
        <v>5.0790000000000002E-3</v>
      </c>
      <c r="L1067" s="2">
        <f>(1/COUNT(D1067:K1067))*SQRT(SUMSQ(D1067:K1067))</f>
        <v>1.6575374332594272E-2</v>
      </c>
    </row>
    <row r="1068" spans="1:14" x14ac:dyDescent="0.55000000000000004">
      <c r="C1068" s="2" t="s">
        <v>30</v>
      </c>
      <c r="D1068" s="2">
        <v>13.88308</v>
      </c>
      <c r="E1068" s="2">
        <v>16.072233000000001</v>
      </c>
      <c r="F1068" s="2">
        <v>13.980570999999999</v>
      </c>
      <c r="G1068" s="2">
        <v>15.730985</v>
      </c>
      <c r="H1068" s="2">
        <v>10.819315</v>
      </c>
      <c r="I1068" s="2">
        <v>16.337800000000001</v>
      </c>
      <c r="J1068" s="2">
        <v>18.166384999999998</v>
      </c>
      <c r="K1068" s="2">
        <v>14.919169</v>
      </c>
      <c r="L1068" s="2">
        <f>AVERAGE(D1068:K1068)</f>
        <v>14.988692250000001</v>
      </c>
      <c r="M1068" s="2">
        <f xml:space="preserve"> _xlfn.STDEV.S(D1068:K1068) / SQRT(COUNT(D1068:K1068))</f>
        <v>0.77078472368940154</v>
      </c>
      <c r="N1068" s="2">
        <f>M1068*$N$2</f>
        <v>0.86263075951848545</v>
      </c>
    </row>
    <row r="1069" spans="1:14" x14ac:dyDescent="0.55000000000000004">
      <c r="C1069" s="2" t="s">
        <v>31</v>
      </c>
      <c r="D1069" s="2">
        <v>2.3047000000000002E-2</v>
      </c>
      <c r="E1069" s="2">
        <v>1.8859999999999998E-2</v>
      </c>
      <c r="F1069" s="2">
        <v>9.3480999999999995E-2</v>
      </c>
      <c r="G1069" s="2">
        <v>0.42209799999999997</v>
      </c>
      <c r="H1069" s="2">
        <v>2.1128999999999998E-2</v>
      </c>
      <c r="I1069" s="2">
        <v>5.357E-2</v>
      </c>
      <c r="J1069" s="2">
        <v>3.6359000000000002E-2</v>
      </c>
      <c r="K1069" s="2">
        <v>1.7819999999999999E-2</v>
      </c>
      <c r="L1069" s="2">
        <f>(1/COUNT(D1069:K1069))*SQRT(SUMSQ(D1069:K1069))</f>
        <v>5.4878842632543737E-2</v>
      </c>
    </row>
    <row r="1070" spans="1:14" x14ac:dyDescent="0.55000000000000004">
      <c r="B1070" s="2" t="s">
        <v>32</v>
      </c>
      <c r="C1070" s="2" t="s">
        <v>22</v>
      </c>
      <c r="D1070" s="2">
        <v>0.83786899999999997</v>
      </c>
      <c r="E1070" s="2">
        <v>0.88884200000000002</v>
      </c>
      <c r="F1070" s="2">
        <v>0.74599800000000005</v>
      </c>
      <c r="G1070" s="2">
        <v>0.85554200000000002</v>
      </c>
      <c r="H1070" s="2">
        <v>0.83324900000000002</v>
      </c>
      <c r="I1070" s="2">
        <v>0.87333700000000003</v>
      </c>
      <c r="J1070" s="2">
        <v>0.88421899999999998</v>
      </c>
      <c r="K1070" s="2">
        <v>0.73561799999999999</v>
      </c>
      <c r="L1070" s="2">
        <f>AVERAGE(D1070:K1070)</f>
        <v>0.83183425</v>
      </c>
      <c r="M1070" s="2">
        <f xml:space="preserve"> _xlfn.STDEV.S(D1070:K1070) / SQRT(COUNT(D1070:K1070))</f>
        <v>2.1104514396679274E-2</v>
      </c>
      <c r="N1070" s="2">
        <f>M1070*$N$2</f>
        <v>2.3619309936677435E-2</v>
      </c>
    </row>
    <row r="1071" spans="1:14" x14ac:dyDescent="0.55000000000000004">
      <c r="C1071" s="2" t="s">
        <v>23</v>
      </c>
      <c r="D1071" s="2">
        <v>1.8029999999999999E-3</v>
      </c>
      <c r="E1071" s="2">
        <v>3.2360000000000002E-3</v>
      </c>
      <c r="F1071" s="2">
        <v>4.0140000000000002E-3</v>
      </c>
      <c r="G1071" s="2">
        <v>4.4219999999999997E-3</v>
      </c>
      <c r="H1071" s="2">
        <v>7.4899999999999999E-4</v>
      </c>
      <c r="I1071" s="2">
        <v>1.3159999999999999E-3</v>
      </c>
      <c r="J1071" s="2">
        <v>3.784E-3</v>
      </c>
      <c r="K1071" s="2">
        <v>1.005E-3</v>
      </c>
      <c r="L1071" s="2">
        <f>(1/COUNT(D1071:K1071))*SQRT(SUMSQ(D1071:K1071))</f>
        <v>1.0232479156465455E-3</v>
      </c>
    </row>
    <row r="1072" spans="1:14" x14ac:dyDescent="0.55000000000000004">
      <c r="C1072" s="2" t="s">
        <v>24</v>
      </c>
      <c r="D1072" s="2">
        <v>0.54875399999999996</v>
      </c>
      <c r="E1072" s="2">
        <v>0.45415499999999998</v>
      </c>
      <c r="F1072" s="2">
        <v>0.66644400000000004</v>
      </c>
      <c r="G1072" s="2">
        <v>0.51682499999999998</v>
      </c>
      <c r="H1072" s="2">
        <v>0.55419399999999996</v>
      </c>
      <c r="I1072" s="2">
        <v>0.48901899999999998</v>
      </c>
      <c r="J1072" s="2">
        <v>0.45569300000000001</v>
      </c>
      <c r="K1072" s="2">
        <v>0.69037300000000001</v>
      </c>
      <c r="L1072" s="2">
        <f>AVERAGE(D1072:K1072)</f>
        <v>0.54693212499999999</v>
      </c>
      <c r="M1072" s="2">
        <f xml:space="preserve"> _xlfn.STDEV.S(D1072:K1072) / SQRT(COUNT(D1072:K1072))</f>
        <v>3.1652964434877535E-2</v>
      </c>
      <c r="N1072" s="2">
        <f>M1072*$N$2</f>
        <v>3.5424704086990798E-2</v>
      </c>
    </row>
    <row r="1073" spans="2:14" x14ac:dyDescent="0.55000000000000004">
      <c r="C1073" s="2" t="s">
        <v>25</v>
      </c>
      <c r="D1073" s="2">
        <v>2.7030000000000001E-3</v>
      </c>
      <c r="E1073" s="2">
        <v>6.2620000000000002E-3</v>
      </c>
      <c r="F1073" s="2">
        <v>4.4730000000000004E-3</v>
      </c>
      <c r="G1073" s="2">
        <v>6.894E-3</v>
      </c>
      <c r="H1073" s="2">
        <v>1.1609999999999999E-3</v>
      </c>
      <c r="I1073" s="2">
        <v>2.2520000000000001E-3</v>
      </c>
      <c r="J1073" s="2">
        <v>6.1619999999999999E-3</v>
      </c>
      <c r="K1073" s="2">
        <v>1.3190000000000001E-3</v>
      </c>
      <c r="L1073" s="2">
        <f>(1/COUNT(D1073:K1073))*SQRT(SUMSQ(D1073:K1073))</f>
        <v>1.5820440101337258E-3</v>
      </c>
    </row>
    <row r="1074" spans="2:14" x14ac:dyDescent="0.55000000000000004">
      <c r="C1074" s="2" t="s">
        <v>26</v>
      </c>
      <c r="D1074" s="2">
        <v>0.49323600000000001</v>
      </c>
      <c r="E1074" s="2">
        <v>0.587538</v>
      </c>
      <c r="F1074" s="2">
        <v>0.45587699999999998</v>
      </c>
      <c r="G1074" s="2">
        <v>0.51365799999999995</v>
      </c>
      <c r="H1074" s="2">
        <v>0.49479099999999998</v>
      </c>
      <c r="I1074" s="2">
        <v>0.39027600000000001</v>
      </c>
      <c r="J1074" s="2">
        <v>0.51822699999999999</v>
      </c>
      <c r="K1074" s="2">
        <v>0.30119600000000002</v>
      </c>
      <c r="L1074" s="2">
        <f>AVERAGE(D1074:K1074)</f>
        <v>0.46934987499999997</v>
      </c>
      <c r="M1074" s="2">
        <f xml:space="preserve"> _xlfn.STDEV.S(D1074:K1074) / SQRT(COUNT(D1074:K1074))</f>
        <v>3.1124271573482843E-2</v>
      </c>
      <c r="N1074" s="2">
        <f>M1074*$N$2</f>
        <v>3.4833012645061438E-2</v>
      </c>
    </row>
    <row r="1075" spans="2:14" x14ac:dyDescent="0.55000000000000004">
      <c r="C1075" s="2" t="s">
        <v>27</v>
      </c>
      <c r="D1075" s="2">
        <v>3.101E-3</v>
      </c>
      <c r="E1075" s="2">
        <v>6.8019999999999999E-3</v>
      </c>
      <c r="F1075" s="2">
        <v>2.6519999999999998E-3</v>
      </c>
      <c r="G1075" s="2">
        <v>8.1329999999999996E-3</v>
      </c>
      <c r="H1075" s="2">
        <v>8.7399999999999999E-4</v>
      </c>
      <c r="I1075" s="2">
        <v>1.9449999999999999E-3</v>
      </c>
      <c r="J1075" s="2">
        <v>5.2589999999999998E-3</v>
      </c>
      <c r="K1075" s="2">
        <v>6.1700000000000004E-4</v>
      </c>
      <c r="L1075" s="2">
        <f>(1/COUNT(D1075:K1075))*SQRT(SUMSQ(D1075:K1075))</f>
        <v>1.589255274688431E-3</v>
      </c>
    </row>
    <row r="1076" spans="2:14" x14ac:dyDescent="0.55000000000000004">
      <c r="C1076" s="2" t="s">
        <v>28</v>
      </c>
      <c r="D1076" s="2">
        <v>2.5392830000000002</v>
      </c>
      <c r="E1076" s="2">
        <v>2.588047</v>
      </c>
      <c r="F1076" s="2">
        <v>2.3330039999999999</v>
      </c>
      <c r="G1076" s="2">
        <v>3.3810880000000001</v>
      </c>
      <c r="H1076" s="2">
        <v>1.776384</v>
      </c>
      <c r="I1076" s="2">
        <v>3.9062939999999999</v>
      </c>
      <c r="J1076" s="2">
        <v>3.2355580000000002</v>
      </c>
      <c r="K1076" s="2">
        <v>3.0689350000000002</v>
      </c>
      <c r="L1076" s="2">
        <f>AVERAGE(D1076:K1076)</f>
        <v>2.8535741250000002</v>
      </c>
      <c r="M1076" s="2">
        <f xml:space="preserve"> _xlfn.STDEV.S(D1076:K1076) / SQRT(COUNT(D1076:K1076))</f>
        <v>0.23827495359438935</v>
      </c>
      <c r="N1076" s="2">
        <f>M1076*$N$2</f>
        <v>0.26666758937504126</v>
      </c>
    </row>
    <row r="1077" spans="2:14" x14ac:dyDescent="0.55000000000000004">
      <c r="C1077" s="2" t="s">
        <v>29</v>
      </c>
      <c r="D1077" s="2">
        <v>4.0694000000000001E-2</v>
      </c>
      <c r="E1077" s="2">
        <v>4.4610999999999998E-2</v>
      </c>
      <c r="F1077" s="2">
        <v>2.5524999999999999E-2</v>
      </c>
      <c r="G1077" s="2">
        <v>0.10455299999999999</v>
      </c>
      <c r="H1077" s="2">
        <v>7.7609999999999997E-3</v>
      </c>
      <c r="I1077" s="2">
        <v>4.5892000000000002E-2</v>
      </c>
      <c r="J1077" s="2">
        <v>9.0567999999999996E-2</v>
      </c>
      <c r="K1077" s="2">
        <v>6.7070000000000003E-3</v>
      </c>
      <c r="L1077" s="2">
        <f>(1/COUNT(D1077:K1077))*SQRT(SUMSQ(D1077:K1077))</f>
        <v>2.0016732707053491E-2</v>
      </c>
    </row>
    <row r="1078" spans="2:14" x14ac:dyDescent="0.55000000000000004">
      <c r="C1078" s="2" t="s">
        <v>30</v>
      </c>
      <c r="D1078" s="2">
        <v>15.66296</v>
      </c>
      <c r="E1078" s="2">
        <v>16.289325000000002</v>
      </c>
      <c r="F1078" s="2">
        <v>14.069421999999999</v>
      </c>
      <c r="G1078" s="2">
        <v>16.220738000000001</v>
      </c>
      <c r="H1078" s="2">
        <v>11.223329</v>
      </c>
      <c r="I1078" s="2">
        <v>18.593215000000001</v>
      </c>
      <c r="J1078" s="2">
        <v>19.166672999999999</v>
      </c>
      <c r="K1078" s="2">
        <v>14.686159999999999</v>
      </c>
      <c r="L1078" s="2">
        <f>AVERAGE(D1078:K1078)</f>
        <v>15.738977750000002</v>
      </c>
      <c r="M1078" s="2">
        <f xml:space="preserve"> _xlfn.STDEV.S(D1078:K1078) / SQRT(COUNT(D1078:K1078))</f>
        <v>0.89366264796889328</v>
      </c>
      <c r="N1078" s="2">
        <f>M1078*$N$2</f>
        <v>1.0001507101499751</v>
      </c>
    </row>
    <row r="1079" spans="2:14" x14ac:dyDescent="0.55000000000000004">
      <c r="C1079" s="2" t="s">
        <v>31</v>
      </c>
      <c r="D1079" s="2">
        <v>4.0424000000000002E-2</v>
      </c>
      <c r="E1079" s="2">
        <v>5.1020000000000003E-2</v>
      </c>
      <c r="F1079" s="2">
        <v>6.2958E-2</v>
      </c>
      <c r="G1079" s="2">
        <v>0.20577899999999999</v>
      </c>
      <c r="H1079" s="2">
        <v>4.9696999999999998E-2</v>
      </c>
      <c r="I1079" s="2">
        <v>9.0196999999999999E-2</v>
      </c>
      <c r="J1079" s="2">
        <v>0.243339</v>
      </c>
      <c r="K1079" s="2">
        <v>2.1510999999999999E-2</v>
      </c>
      <c r="L1079" s="2">
        <f>(1/COUNT(D1079:K1079))*SQRT(SUMSQ(D1079:K1079))</f>
        <v>4.3450354112660863E-2</v>
      </c>
    </row>
    <row r="1080" spans="2:14" x14ac:dyDescent="0.55000000000000004">
      <c r="B1080" s="2" t="s">
        <v>33</v>
      </c>
      <c r="C1080" s="2" t="s">
        <v>22</v>
      </c>
      <c r="D1080" s="2">
        <v>0.84987299999999999</v>
      </c>
      <c r="E1080" s="2">
        <v>0.90376199999999995</v>
      </c>
      <c r="F1080" s="2">
        <v>0.75257799999999997</v>
      </c>
      <c r="G1080" s="2">
        <v>0.86043999999999998</v>
      </c>
      <c r="H1080" s="2">
        <v>0.83841699999999997</v>
      </c>
      <c r="I1080" s="2">
        <v>0.87776699999999996</v>
      </c>
      <c r="J1080" s="2">
        <v>0.86976799999999999</v>
      </c>
      <c r="K1080" s="2">
        <v>0.72387400000000002</v>
      </c>
      <c r="L1080" s="2">
        <f>AVERAGE(D1080:K1080)</f>
        <v>0.83455987499999995</v>
      </c>
      <c r="M1080" s="2">
        <f xml:space="preserve"> _xlfn.STDEV.S(D1080:K1080) / SQRT(COUNT(D1080:K1080))</f>
        <v>2.2275443981015036E-2</v>
      </c>
      <c r="N1080" s="2">
        <f>M1080*$N$2</f>
        <v>2.4929766469655178E-2</v>
      </c>
    </row>
    <row r="1081" spans="2:14" x14ac:dyDescent="0.55000000000000004">
      <c r="C1081" s="2" t="s">
        <v>23</v>
      </c>
      <c r="D1081" s="2">
        <v>2.2000000000000001E-4</v>
      </c>
      <c r="E1081" s="2">
        <v>3.1700000000000001E-4</v>
      </c>
      <c r="F1081" s="2">
        <v>6.3000000000000003E-4</v>
      </c>
      <c r="G1081" s="2">
        <v>6.8499999999999995E-4</v>
      </c>
      <c r="H1081" s="2">
        <v>2.9599999999999998E-4</v>
      </c>
      <c r="I1081" s="2">
        <v>2.2599999999999999E-4</v>
      </c>
      <c r="J1081" s="2">
        <v>6.8800000000000003E-4</v>
      </c>
      <c r="K1081" s="2">
        <v>1.47E-4</v>
      </c>
      <c r="L1081" s="2">
        <f>(1/COUNT(D1081:K1081))*SQRT(SUMSQ(D1081:K1081))</f>
        <v>1.6050014602797094E-4</v>
      </c>
    </row>
    <row r="1082" spans="2:14" x14ac:dyDescent="0.55000000000000004">
      <c r="C1082" s="2" t="s">
        <v>24</v>
      </c>
      <c r="D1082" s="2">
        <v>0.52810199999999996</v>
      </c>
      <c r="E1082" s="2">
        <v>0.424788</v>
      </c>
      <c r="F1082" s="2">
        <v>0.65885700000000003</v>
      </c>
      <c r="G1082" s="2">
        <v>0.50876600000000005</v>
      </c>
      <c r="H1082" s="2">
        <v>0.54597899999999999</v>
      </c>
      <c r="I1082" s="2">
        <v>0.48225600000000002</v>
      </c>
      <c r="J1082" s="2">
        <v>0.48754599999999998</v>
      </c>
      <c r="K1082" s="2">
        <v>0.705399</v>
      </c>
      <c r="L1082" s="2">
        <f>AVERAGE(D1082:K1082)</f>
        <v>0.54271162500000003</v>
      </c>
      <c r="M1082" s="2">
        <f xml:space="preserve"> _xlfn.STDEV.S(D1082:K1082) / SQRT(COUNT(D1082:K1082))</f>
        <v>3.3256970957195799E-2</v>
      </c>
      <c r="N1082" s="2">
        <f>M1082*$N$2</f>
        <v>3.7219842628394451E-2</v>
      </c>
    </row>
    <row r="1083" spans="2:14" x14ac:dyDescent="0.55000000000000004">
      <c r="C1083" s="2" t="s">
        <v>25</v>
      </c>
      <c r="D1083" s="2">
        <v>3.48E-4</v>
      </c>
      <c r="E1083" s="2">
        <v>7.0399999999999998E-4</v>
      </c>
      <c r="F1083" s="2">
        <v>7.3099999999999999E-4</v>
      </c>
      <c r="G1083" s="2">
        <v>1.1169999999999999E-3</v>
      </c>
      <c r="H1083" s="2">
        <v>4.4999999999999999E-4</v>
      </c>
      <c r="I1083" s="2">
        <v>4.5800000000000002E-4</v>
      </c>
      <c r="J1083" s="2">
        <v>1.284E-3</v>
      </c>
      <c r="K1083" s="2">
        <v>1.6200000000000001E-4</v>
      </c>
      <c r="L1083" s="2">
        <f>(1/COUNT(D1083:K1083))*SQRT(SUMSQ(D1083:K1083))</f>
        <v>2.6475029508954282E-4</v>
      </c>
    </row>
    <row r="1084" spans="2:14" x14ac:dyDescent="0.55000000000000004">
      <c r="C1084" s="2" t="s">
        <v>26</v>
      </c>
      <c r="D1084" s="2">
        <v>0.50281799999999999</v>
      </c>
      <c r="E1084" s="2">
        <v>0.61642200000000003</v>
      </c>
      <c r="F1084" s="2">
        <v>0.45986700000000003</v>
      </c>
      <c r="G1084" s="2">
        <v>0.50649599999999995</v>
      </c>
      <c r="H1084" s="2">
        <v>0.50146100000000005</v>
      </c>
      <c r="I1084" s="2">
        <v>0.39306799999999997</v>
      </c>
      <c r="J1084" s="2">
        <v>0.48225499999999999</v>
      </c>
      <c r="K1084" s="2">
        <v>0.28959600000000002</v>
      </c>
      <c r="L1084" s="2">
        <f>AVERAGE(D1084:K1084)</f>
        <v>0.46899787499999995</v>
      </c>
      <c r="M1084" s="2">
        <f xml:space="preserve"> _xlfn.STDEV.S(D1084:K1084) / SQRT(COUNT(D1084:K1084))</f>
        <v>3.3686352753556796E-2</v>
      </c>
      <c r="N1084" s="2">
        <f>M1084*$N$2</f>
        <v>3.770038918534406E-2</v>
      </c>
    </row>
    <row r="1085" spans="2:14" x14ac:dyDescent="0.55000000000000004">
      <c r="C1085" s="2" t="s">
        <v>27</v>
      </c>
      <c r="D1085" s="2">
        <v>4.0000000000000002E-4</v>
      </c>
      <c r="E1085" s="2">
        <v>7.1900000000000002E-4</v>
      </c>
      <c r="F1085" s="2">
        <v>3.9599999999999998E-4</v>
      </c>
      <c r="G1085" s="2">
        <v>1.3829999999999999E-3</v>
      </c>
      <c r="H1085" s="2">
        <v>3.1599999999999998E-4</v>
      </c>
      <c r="I1085" s="2">
        <v>4.4000000000000002E-4</v>
      </c>
      <c r="J1085" s="2">
        <v>1.194E-3</v>
      </c>
      <c r="K1085" s="2">
        <v>1.2899999999999999E-4</v>
      </c>
      <c r="L1085" s="2">
        <f>(1/COUNT(D1085:K1085))*SQRT(SUMSQ(D1085:K1085))</f>
        <v>2.6464005625566209E-4</v>
      </c>
    </row>
    <row r="1086" spans="2:14" x14ac:dyDescent="0.55000000000000004">
      <c r="C1086" s="2" t="s">
        <v>28</v>
      </c>
      <c r="D1086" s="2">
        <v>2.3203130000000001</v>
      </c>
      <c r="E1086" s="2">
        <v>2.3800759999999999</v>
      </c>
      <c r="F1086" s="2">
        <v>2.2849159999999999</v>
      </c>
      <c r="G1086" s="2">
        <v>3.2898079999999998</v>
      </c>
      <c r="H1086" s="2">
        <v>1.7331209999999999</v>
      </c>
      <c r="I1086" s="2">
        <v>3.5075560000000001</v>
      </c>
      <c r="J1086" s="2">
        <v>3.3451919999999999</v>
      </c>
      <c r="K1086" s="2">
        <v>3.1488299999999998</v>
      </c>
      <c r="L1086" s="2">
        <f>AVERAGE(D1086:K1086)</f>
        <v>2.7512265</v>
      </c>
      <c r="M1086" s="2">
        <f xml:space="preserve"> _xlfn.STDEV.S(D1086:K1086) / SQRT(COUNT(D1086:K1086))</f>
        <v>0.22953412961241423</v>
      </c>
      <c r="N1086" s="2">
        <f>M1086*$N$2</f>
        <v>0.25688521642621387</v>
      </c>
    </row>
    <row r="1087" spans="2:14" x14ac:dyDescent="0.55000000000000004">
      <c r="C1087" s="2" t="s">
        <v>29</v>
      </c>
      <c r="D1087" s="2">
        <v>4.1110000000000001E-3</v>
      </c>
      <c r="E1087" s="2">
        <v>4.2519999999999997E-3</v>
      </c>
      <c r="F1087" s="2">
        <v>3.7550000000000001E-3</v>
      </c>
      <c r="G1087" s="2">
        <v>1.4947E-2</v>
      </c>
      <c r="H1087" s="2">
        <v>2.333E-3</v>
      </c>
      <c r="I1087" s="2">
        <v>7.613E-3</v>
      </c>
      <c r="J1087" s="2">
        <v>1.1004E-2</v>
      </c>
      <c r="K1087" s="2">
        <v>1.4339999999999999E-3</v>
      </c>
      <c r="L1087" s="2">
        <f>(1/COUNT(D1087:K1087))*SQRT(SUMSQ(D1087:K1087))</f>
        <v>2.6781456066885161E-3</v>
      </c>
    </row>
    <row r="1088" spans="2:14" x14ac:dyDescent="0.55000000000000004">
      <c r="C1088" s="2" t="s">
        <v>30</v>
      </c>
      <c r="D1088" s="2">
        <v>13.915133000000001</v>
      </c>
      <c r="E1088" s="2">
        <v>15.876163999999999</v>
      </c>
      <c r="F1088" s="2">
        <v>14.002167999999999</v>
      </c>
      <c r="G1088" s="2">
        <v>16.156407000000002</v>
      </c>
      <c r="H1088" s="2">
        <v>10.878638</v>
      </c>
      <c r="I1088" s="2">
        <v>16.234359000000001</v>
      </c>
      <c r="J1088" s="2">
        <v>18.248588000000002</v>
      </c>
      <c r="K1088" s="2">
        <v>14.905773999999999</v>
      </c>
      <c r="L1088" s="2">
        <f>AVERAGE(D1088:K1088)</f>
        <v>15.027153874999998</v>
      </c>
      <c r="M1088" s="2">
        <f xml:space="preserve"> _xlfn.STDEV.S(D1088:K1088) / SQRT(COUNT(D1088:K1088))</f>
        <v>0.77162995801308465</v>
      </c>
      <c r="N1088" s="2">
        <f>M1088*$N$2</f>
        <v>0.86357671122743973</v>
      </c>
    </row>
    <row r="1089" spans="2:14" x14ac:dyDescent="0.55000000000000004">
      <c r="C1089" s="2" t="s">
        <v>31</v>
      </c>
      <c r="D1089" s="2">
        <v>8.2690000000000003E-3</v>
      </c>
      <c r="E1089" s="2">
        <v>8.4119999999999993E-3</v>
      </c>
      <c r="F1089" s="2">
        <v>1.5459000000000001E-2</v>
      </c>
      <c r="G1089" s="2">
        <v>5.8193000000000002E-2</v>
      </c>
      <c r="H1089" s="2">
        <v>1.2905E-2</v>
      </c>
      <c r="I1089" s="2">
        <v>1.444E-2</v>
      </c>
      <c r="J1089" s="2">
        <v>3.0561000000000001E-2</v>
      </c>
      <c r="K1089" s="2">
        <v>4.7470000000000004E-3</v>
      </c>
      <c r="L1089" s="2">
        <f>(1/COUNT(D1089:K1089))*SQRT(SUMSQ(D1089:K1089))</f>
        <v>8.9233764192008617E-3</v>
      </c>
    </row>
    <row r="1090" spans="2:14" x14ac:dyDescent="0.55000000000000004">
      <c r="B1090" s="2" t="s">
        <v>34</v>
      </c>
      <c r="C1090" s="2" t="s">
        <v>22</v>
      </c>
      <c r="D1090" s="2">
        <v>0.82543900000000003</v>
      </c>
      <c r="E1090" s="2">
        <v>0.90108500000000002</v>
      </c>
      <c r="F1090" s="2">
        <v>0.761208</v>
      </c>
      <c r="G1090" s="2">
        <v>0.83817799999999998</v>
      </c>
      <c r="H1090" s="2">
        <v>0.82869499999999996</v>
      </c>
      <c r="I1090" s="2">
        <v>0.87460300000000002</v>
      </c>
      <c r="J1090" s="2">
        <v>0.88441599999999998</v>
      </c>
      <c r="K1090" s="2">
        <v>0.72753699999999999</v>
      </c>
      <c r="L1090" s="2">
        <f>AVERAGE(D1090:K1090)</f>
        <v>0.83014512500000004</v>
      </c>
      <c r="M1090" s="2">
        <f xml:space="preserve"> _xlfn.STDEV.S(D1090:K1090) / SQRT(COUNT(D1090:K1090))</f>
        <v>2.1265258581812246E-2</v>
      </c>
      <c r="N1090" s="2">
        <f>M1090*$N$2</f>
        <v>2.3799208258800008E-2</v>
      </c>
    </row>
    <row r="1091" spans="2:14" x14ac:dyDescent="0.55000000000000004">
      <c r="C1091" s="2" t="s">
        <v>23</v>
      </c>
      <c r="D1091" s="2">
        <v>6.0289999999999996E-3</v>
      </c>
      <c r="E1091" s="2">
        <v>1.341E-3</v>
      </c>
      <c r="F1091" s="2">
        <v>2.8709999999999999E-3</v>
      </c>
      <c r="G1091" s="2">
        <v>8.4620000000000008E-3</v>
      </c>
      <c r="H1091" s="2">
        <v>1.23E-3</v>
      </c>
      <c r="I1091" s="2">
        <v>1.776E-3</v>
      </c>
      <c r="J1091" s="2">
        <v>6.0980000000000001E-3</v>
      </c>
      <c r="K1091" s="2">
        <v>1.0989999999999999E-3</v>
      </c>
      <c r="L1091" s="2">
        <f>(1/COUNT(D1091:K1091))*SQRT(SUMSQ(D1091:K1091))</f>
        <v>1.5863464706677415E-3</v>
      </c>
    </row>
    <row r="1092" spans="2:14" x14ac:dyDescent="0.55000000000000004">
      <c r="C1092" s="2" t="s">
        <v>24</v>
      </c>
      <c r="D1092" s="2">
        <v>0.56725999999999999</v>
      </c>
      <c r="E1092" s="2">
        <v>0.43018400000000001</v>
      </c>
      <c r="F1092" s="2">
        <v>0.64900500000000005</v>
      </c>
      <c r="G1092" s="2">
        <v>0.54450900000000002</v>
      </c>
      <c r="H1092" s="2">
        <v>0.560666</v>
      </c>
      <c r="I1092" s="2">
        <v>0.48597800000000002</v>
      </c>
      <c r="J1092" s="2">
        <v>0.45890199999999998</v>
      </c>
      <c r="K1092" s="2">
        <v>0.70054700000000003</v>
      </c>
      <c r="L1092" s="2">
        <f>AVERAGE(D1092:K1092)</f>
        <v>0.54963137500000003</v>
      </c>
      <c r="M1092" s="2">
        <f xml:space="preserve"> _xlfn.STDEV.S(D1092:K1092) / SQRT(COUNT(D1092:K1092))</f>
        <v>3.2639989807605969E-2</v>
      </c>
      <c r="N1092" s="2">
        <f>M1092*$N$2</f>
        <v>3.65293425428041E-2</v>
      </c>
    </row>
    <row r="1093" spans="2:14" x14ac:dyDescent="0.55000000000000004">
      <c r="C1093" s="2" t="s">
        <v>25</v>
      </c>
      <c r="D1093" s="2">
        <v>8.5699999999999995E-3</v>
      </c>
      <c r="E1093" s="2">
        <v>2.7829999999999999E-3</v>
      </c>
      <c r="F1093" s="2">
        <v>3.3990000000000001E-3</v>
      </c>
      <c r="G1093" s="2">
        <v>1.244E-2</v>
      </c>
      <c r="H1093" s="2">
        <v>1.7799999999999999E-3</v>
      </c>
      <c r="I1093" s="2">
        <v>3.2429999999999998E-3</v>
      </c>
      <c r="J1093" s="2">
        <v>1.0531E-2</v>
      </c>
      <c r="K1093" s="2">
        <v>1.3359999999999999E-3</v>
      </c>
      <c r="L1093" s="2">
        <f>(1/COUNT(D1093:K1093))*SQRT(SUMSQ(D1093:K1093))</f>
        <v>2.4169618584081957E-3</v>
      </c>
    </row>
    <row r="1094" spans="2:14" x14ac:dyDescent="0.55000000000000004">
      <c r="C1094" s="2" t="s">
        <v>26</v>
      </c>
      <c r="D1094" s="2">
        <v>0.47149200000000002</v>
      </c>
      <c r="E1094" s="2">
        <v>0.61345099999999997</v>
      </c>
      <c r="F1094" s="2">
        <v>0.46515699999999999</v>
      </c>
      <c r="G1094" s="2">
        <v>0.46525100000000003</v>
      </c>
      <c r="H1094" s="2">
        <v>0.48891899999999999</v>
      </c>
      <c r="I1094" s="2">
        <v>0.38816099999999998</v>
      </c>
      <c r="J1094" s="2">
        <v>0.51232900000000003</v>
      </c>
      <c r="K1094" s="2">
        <v>0.29647099999999998</v>
      </c>
      <c r="L1094" s="2">
        <f>AVERAGE(D1094:K1094)</f>
        <v>0.46265387500000005</v>
      </c>
      <c r="M1094" s="2">
        <f xml:space="preserve"> _xlfn.STDEV.S(D1094:K1094) / SQRT(COUNT(D1094:K1094))</f>
        <v>3.2501183291336458E-2</v>
      </c>
      <c r="N1094" s="2">
        <f>M1094*$N$2</f>
        <v>3.6373995963045039E-2</v>
      </c>
    </row>
    <row r="1095" spans="2:14" x14ac:dyDescent="0.55000000000000004">
      <c r="C1095" s="2" t="s">
        <v>27</v>
      </c>
      <c r="D1095" s="2">
        <v>9.6570000000000007E-3</v>
      </c>
      <c r="E1095" s="2">
        <v>2.882E-3</v>
      </c>
      <c r="F1095" s="2">
        <v>2.091E-3</v>
      </c>
      <c r="G1095" s="2">
        <v>1.2295E-2</v>
      </c>
      <c r="H1095" s="2">
        <v>1.415E-3</v>
      </c>
      <c r="I1095" s="2">
        <v>3.032E-3</v>
      </c>
      <c r="J1095" s="2">
        <v>1.0030000000000001E-2</v>
      </c>
      <c r="K1095" s="2">
        <v>8.5499999999999997E-4</v>
      </c>
      <c r="L1095" s="2">
        <f>(1/COUNT(D1095:K1095))*SQRT(SUMSQ(D1095:K1095))</f>
        <v>2.403220667796655E-3</v>
      </c>
    </row>
    <row r="1096" spans="2:14" x14ac:dyDescent="0.55000000000000004">
      <c r="C1096" s="2" t="s">
        <v>28</v>
      </c>
      <c r="D1096" s="2">
        <v>2.8281610000000001</v>
      </c>
      <c r="E1096" s="2">
        <v>2.4825710000000001</v>
      </c>
      <c r="F1096" s="2">
        <v>2.2546539999999999</v>
      </c>
      <c r="G1096" s="2">
        <v>3.9528180000000002</v>
      </c>
      <c r="H1096" s="2">
        <v>1.841161</v>
      </c>
      <c r="I1096" s="2">
        <v>3.531793</v>
      </c>
      <c r="J1096" s="2">
        <v>3.1681349999999999</v>
      </c>
      <c r="K1096" s="2">
        <v>3.1103480000000001</v>
      </c>
      <c r="L1096" s="2">
        <f>AVERAGE(D1096:K1096)</f>
        <v>2.8962051249999998</v>
      </c>
      <c r="M1096" s="2">
        <f xml:space="preserve"> _xlfn.STDEV.S(D1096:K1096) / SQRT(COUNT(D1096:K1096))</f>
        <v>0.24424208154626331</v>
      </c>
      <c r="N1096" s="2">
        <f>M1096*$N$2</f>
        <v>0.27334575509248121</v>
      </c>
    </row>
    <row r="1097" spans="2:14" x14ac:dyDescent="0.55000000000000004">
      <c r="C1097" s="2" t="s">
        <v>29</v>
      </c>
      <c r="D1097" s="2">
        <v>0.141513</v>
      </c>
      <c r="E1097" s="2">
        <v>1.8577E-2</v>
      </c>
      <c r="F1097" s="2">
        <v>1.5685999999999999E-2</v>
      </c>
      <c r="G1097" s="2">
        <v>0.23841300000000001</v>
      </c>
      <c r="H1097" s="2">
        <v>1.2448000000000001E-2</v>
      </c>
      <c r="I1097" s="2">
        <v>6.6113000000000005E-2</v>
      </c>
      <c r="J1097" s="2">
        <v>0.12343899999999999</v>
      </c>
      <c r="K1097" s="2">
        <v>8.0059999999999992E-3</v>
      </c>
      <c r="L1097" s="2">
        <f>(1/COUNT(D1097:K1097))*SQRT(SUMSQ(D1097:K1097))</f>
        <v>3.8988180799802971E-2</v>
      </c>
    </row>
    <row r="1098" spans="2:14" x14ac:dyDescent="0.55000000000000004">
      <c r="C1098" s="2" t="s">
        <v>30</v>
      </c>
      <c r="D1098" s="2">
        <v>15.806047</v>
      </c>
      <c r="E1098" s="2">
        <v>16.613465000000001</v>
      </c>
      <c r="F1098" s="2">
        <v>14.245238000000001</v>
      </c>
      <c r="G1098" s="2">
        <v>18.400231999999999</v>
      </c>
      <c r="H1098" s="2">
        <v>11.489806</v>
      </c>
      <c r="I1098" s="2">
        <v>16.250444000000002</v>
      </c>
      <c r="J1098" s="2">
        <v>18.648737000000001</v>
      </c>
      <c r="K1098" s="2">
        <v>14.861174999999999</v>
      </c>
      <c r="L1098" s="2">
        <f>AVERAGE(D1098:K1098)</f>
        <v>15.789393</v>
      </c>
      <c r="M1098" s="2">
        <f xml:space="preserve"> _xlfn.STDEV.S(D1098:K1098) / SQRT(COUNT(D1098:K1098))</f>
        <v>0.81958961993483426</v>
      </c>
      <c r="N1098" s="2">
        <f>M1098*$N$2</f>
        <v>0.91725120466029075</v>
      </c>
    </row>
    <row r="1099" spans="2:14" x14ac:dyDescent="0.55000000000000004">
      <c r="C1099" s="2" t="s">
        <v>31</v>
      </c>
      <c r="D1099" s="2">
        <v>0.108866</v>
      </c>
      <c r="E1099" s="2">
        <v>3.7033999999999997E-2</v>
      </c>
      <c r="F1099" s="2">
        <v>3.6864000000000001E-2</v>
      </c>
      <c r="G1099" s="2">
        <v>0.65812199999999998</v>
      </c>
      <c r="H1099" s="2">
        <v>8.1143999999999994E-2</v>
      </c>
      <c r="I1099" s="2">
        <v>7.4200000000000002E-2</v>
      </c>
      <c r="J1099" s="2">
        <v>0.23929900000000001</v>
      </c>
      <c r="K1099" s="2">
        <v>2.1655000000000001E-2</v>
      </c>
      <c r="L1099" s="2">
        <f>(1/COUNT(D1099:K1099))*SQRT(SUMSQ(D1099:K1099))</f>
        <v>8.9924428658700678E-2</v>
      </c>
    </row>
    <row r="1100" spans="2:14" x14ac:dyDescent="0.55000000000000004">
      <c r="B1100" s="2" t="s">
        <v>35</v>
      </c>
      <c r="C1100" s="2" t="s">
        <v>22</v>
      </c>
      <c r="D1100" s="2">
        <v>0.72952499999999998</v>
      </c>
      <c r="E1100" s="2">
        <v>0.86983699999999997</v>
      </c>
      <c r="F1100" s="2">
        <v>0.714889</v>
      </c>
      <c r="G1100" s="2">
        <v>0.83430000000000004</v>
      </c>
      <c r="H1100" s="2">
        <v>0.81270100000000001</v>
      </c>
      <c r="I1100" s="2">
        <v>0.85506899999999997</v>
      </c>
      <c r="J1100" s="2">
        <v>0.85511899999999996</v>
      </c>
      <c r="K1100" s="2">
        <v>0.72952499999999998</v>
      </c>
      <c r="L1100" s="2">
        <f>AVERAGE(D1100:K1100)</f>
        <v>0.80012062500000003</v>
      </c>
      <c r="M1100" s="2">
        <f xml:space="preserve"> _xlfn.STDEV.S(D1100:K1100) / SQRT(COUNT(D1100:K1100))</f>
        <v>2.2937386846694427E-2</v>
      </c>
      <c r="N1100" s="2">
        <f>M1100*$N$2</f>
        <v>2.567058587023395E-2</v>
      </c>
    </row>
    <row r="1101" spans="2:14" x14ac:dyDescent="0.55000000000000004">
      <c r="C1101" s="2" t="s">
        <v>23</v>
      </c>
      <c r="D1101" s="2">
        <v>4.4200000000000001E-4</v>
      </c>
      <c r="E1101" s="2">
        <v>9.4499999999999998E-4</v>
      </c>
      <c r="F1101" s="2">
        <v>1.103E-3</v>
      </c>
      <c r="G1101" s="2">
        <v>1.0039999999999999E-3</v>
      </c>
      <c r="H1101" s="2">
        <v>9.5799999999999998E-4</v>
      </c>
      <c r="I1101" s="2">
        <v>9.4300000000000004E-4</v>
      </c>
      <c r="J1101" s="2">
        <v>9.41E-4</v>
      </c>
      <c r="K1101" s="2">
        <v>4.4200000000000001E-4</v>
      </c>
      <c r="L1101" s="2">
        <f>(1/COUNT(D1101:K1101))*SQRT(SUMSQ(D1101:K1101))</f>
        <v>3.1126937690688431E-4</v>
      </c>
    </row>
    <row r="1102" spans="2:14" x14ac:dyDescent="0.55000000000000004">
      <c r="C1102" s="2" t="s">
        <v>24</v>
      </c>
      <c r="D1102" s="2">
        <v>0.69749300000000003</v>
      </c>
      <c r="E1102" s="2">
        <v>0.48612</v>
      </c>
      <c r="F1102" s="2">
        <v>0.69936399999999999</v>
      </c>
      <c r="G1102" s="2">
        <v>0.55148200000000003</v>
      </c>
      <c r="H1102" s="2">
        <v>0.58324100000000001</v>
      </c>
      <c r="I1102" s="2">
        <v>0.52307199999999998</v>
      </c>
      <c r="J1102" s="2">
        <v>0.50861299999999998</v>
      </c>
      <c r="K1102" s="2">
        <v>0.69749300000000003</v>
      </c>
      <c r="L1102" s="2">
        <f>AVERAGE(D1102:K1102)</f>
        <v>0.59335974999999996</v>
      </c>
      <c r="M1102" s="2">
        <f xml:space="preserve"> _xlfn.STDEV.S(D1102:K1102) / SQRT(COUNT(D1102:K1102))</f>
        <v>3.2294196457695434E-2</v>
      </c>
      <c r="N1102" s="2">
        <f>M1102*$N$2</f>
        <v>3.6142344758725069E-2</v>
      </c>
    </row>
    <row r="1103" spans="2:14" x14ac:dyDescent="0.55000000000000004">
      <c r="C1103" s="2" t="s">
        <v>25</v>
      </c>
      <c r="D1103" s="2">
        <v>5.9500000000000004E-4</v>
      </c>
      <c r="E1103" s="2">
        <v>1.8990000000000001E-3</v>
      </c>
      <c r="F1103" s="2">
        <v>1.2199999999999999E-3</v>
      </c>
      <c r="G1103" s="2">
        <v>1.681E-3</v>
      </c>
      <c r="H1103" s="2">
        <v>1.32E-3</v>
      </c>
      <c r="I1103" s="2">
        <v>1.6440000000000001E-3</v>
      </c>
      <c r="J1103" s="2">
        <v>1.714E-3</v>
      </c>
      <c r="K1103" s="2">
        <v>5.9500000000000004E-4</v>
      </c>
      <c r="L1103" s="2">
        <f>(1/COUNT(D1103:K1103))*SQRT(SUMSQ(D1103:K1103))</f>
        <v>5.0017721859357009E-4</v>
      </c>
    </row>
    <row r="1104" spans="2:14" x14ac:dyDescent="0.55000000000000004">
      <c r="C1104" s="2" t="s">
        <v>26</v>
      </c>
      <c r="D1104" s="2">
        <v>0.289744</v>
      </c>
      <c r="E1104" s="2">
        <v>0.55473499999999998</v>
      </c>
      <c r="F1104" s="2">
        <v>0.43617800000000001</v>
      </c>
      <c r="G1104" s="2">
        <v>0.46035700000000002</v>
      </c>
      <c r="H1104" s="2">
        <v>0.46993800000000002</v>
      </c>
      <c r="I1104" s="2">
        <v>0.35561700000000002</v>
      </c>
      <c r="J1104" s="2">
        <v>0.460866</v>
      </c>
      <c r="K1104" s="2">
        <v>0.289744</v>
      </c>
      <c r="L1104" s="2">
        <f>AVERAGE(D1104:K1104)</f>
        <v>0.41464737499999993</v>
      </c>
      <c r="M1104" s="2">
        <f xml:space="preserve"> _xlfn.STDEV.S(D1104:K1104) / SQRT(COUNT(D1104:K1104))</f>
        <v>3.3289044252006808E-2</v>
      </c>
      <c r="N1104" s="2">
        <f>M1104*$N$2</f>
        <v>3.7255737749058812E-2</v>
      </c>
    </row>
    <row r="1105" spans="2:14" x14ac:dyDescent="0.55000000000000004">
      <c r="C1105" s="2" t="s">
        <v>27</v>
      </c>
      <c r="D1105" s="2">
        <v>3.8299999999999999E-4</v>
      </c>
      <c r="E1105" s="2">
        <v>2.0760000000000002E-3</v>
      </c>
      <c r="F1105" s="2">
        <v>7.2999999999999996E-4</v>
      </c>
      <c r="G1105" s="2">
        <v>1.9940000000000001E-3</v>
      </c>
      <c r="H1105" s="2">
        <v>1.0859999999999999E-3</v>
      </c>
      <c r="I1105" s="2">
        <v>1.3849999999999999E-3</v>
      </c>
      <c r="J1105" s="2">
        <v>1.735E-3</v>
      </c>
      <c r="K1105" s="2">
        <v>3.8299999999999999E-4</v>
      </c>
      <c r="L1105" s="2">
        <f>(1/COUNT(D1105:K1105))*SQRT(SUMSQ(D1105:K1105))</f>
        <v>4.8765920477316944E-4</v>
      </c>
    </row>
    <row r="1106" spans="2:14" x14ac:dyDescent="0.55000000000000004">
      <c r="C1106" s="2" t="s">
        <v>28</v>
      </c>
      <c r="D1106" s="2">
        <v>3.1657489999999999</v>
      </c>
      <c r="E1106" s="2">
        <v>2.9007459999999998</v>
      </c>
      <c r="F1106" s="2">
        <v>2.533887</v>
      </c>
      <c r="G1106" s="2">
        <v>3.9167529999999999</v>
      </c>
      <c r="H1106" s="2">
        <v>2.0115210000000001</v>
      </c>
      <c r="I1106" s="2">
        <v>4.3069230000000003</v>
      </c>
      <c r="J1106" s="2">
        <v>3.666747</v>
      </c>
      <c r="K1106" s="2">
        <v>3.1657489999999999</v>
      </c>
      <c r="L1106" s="2">
        <f>AVERAGE(D1106:K1106)</f>
        <v>3.2085093750000002</v>
      </c>
      <c r="M1106" s="2">
        <f xml:space="preserve"> _xlfn.STDEV.S(D1106:K1106) / SQRT(COUNT(D1106:K1106))</f>
        <v>0.2640473090041911</v>
      </c>
      <c r="N1106" s="2">
        <f>M1106*$N$2</f>
        <v>0.29551095619129425</v>
      </c>
    </row>
    <row r="1107" spans="2:14" x14ac:dyDescent="0.55000000000000004">
      <c r="C1107" s="2" t="s">
        <v>29</v>
      </c>
      <c r="D1107" s="2">
        <v>2.3040000000000001E-3</v>
      </c>
      <c r="E1107" s="2">
        <v>1.3492000000000001E-2</v>
      </c>
      <c r="F1107" s="2">
        <v>6.9300000000000004E-3</v>
      </c>
      <c r="G1107" s="2">
        <v>2.6518E-2</v>
      </c>
      <c r="H1107" s="2">
        <v>9.5379999999999996E-3</v>
      </c>
      <c r="I1107" s="2">
        <v>3.0148000000000001E-2</v>
      </c>
      <c r="J1107" s="2">
        <v>1.7734E-2</v>
      </c>
      <c r="K1107" s="2">
        <v>2.3040000000000001E-3</v>
      </c>
      <c r="L1107" s="2">
        <f>(1/COUNT(D1107:K1107))*SQRT(SUMSQ(D1107:K1107))</f>
        <v>5.9401312906365968E-3</v>
      </c>
    </row>
    <row r="1108" spans="2:14" x14ac:dyDescent="0.55000000000000004">
      <c r="C1108" s="2" t="s">
        <v>30</v>
      </c>
      <c r="D1108" s="2">
        <v>14.836126</v>
      </c>
      <c r="E1108" s="2">
        <v>16.639333000000001</v>
      </c>
      <c r="F1108" s="2">
        <v>14.536324</v>
      </c>
      <c r="G1108" s="2">
        <v>16.625442</v>
      </c>
      <c r="H1108" s="2">
        <v>12.60615</v>
      </c>
      <c r="I1108" s="2">
        <v>17.869292000000002</v>
      </c>
      <c r="J1108" s="2">
        <v>19.145804999999999</v>
      </c>
      <c r="K1108" s="2">
        <v>14.836126</v>
      </c>
      <c r="L1108" s="2">
        <f>AVERAGE(D1108:K1108)</f>
        <v>15.886824749999999</v>
      </c>
      <c r="M1108" s="2">
        <f xml:space="preserve"> _xlfn.STDEV.S(D1108:K1108) / SQRT(COUNT(D1108:K1108))</f>
        <v>0.7374856850071928</v>
      </c>
      <c r="N1108" s="2">
        <f>M1108*$N$2</f>
        <v>0.82536383641163336</v>
      </c>
    </row>
    <row r="1109" spans="2:14" x14ac:dyDescent="0.55000000000000004">
      <c r="C1109" s="2" t="s">
        <v>31</v>
      </c>
      <c r="D1109" s="2">
        <v>1.136E-2</v>
      </c>
      <c r="E1109" s="2">
        <v>2.8201E-2</v>
      </c>
      <c r="F1109" s="2">
        <v>3.168E-2</v>
      </c>
      <c r="G1109" s="2">
        <v>8.6156999999999997E-2</v>
      </c>
      <c r="H1109" s="2">
        <v>4.0583000000000001E-2</v>
      </c>
      <c r="I1109" s="2">
        <v>5.7914E-2</v>
      </c>
      <c r="J1109" s="2">
        <v>3.6405E-2</v>
      </c>
      <c r="K1109" s="2">
        <v>1.136E-2</v>
      </c>
      <c r="L1109" s="2">
        <f>(1/COUNT(D1109:K1109))*SQRT(SUMSQ(D1109:K1109))</f>
        <v>1.5715429301326769E-2</v>
      </c>
    </row>
    <row r="1110" spans="2:14" x14ac:dyDescent="0.55000000000000004">
      <c r="B1110" s="2" t="s">
        <v>45</v>
      </c>
      <c r="C1110" s="2" t="s">
        <v>22</v>
      </c>
      <c r="D1110" s="2">
        <v>0.80765600000000004</v>
      </c>
      <c r="E1110" s="2">
        <v>0.84427600000000003</v>
      </c>
      <c r="F1110" s="2">
        <v>0.64723900000000001</v>
      </c>
      <c r="G1110" s="2">
        <v>0.80062</v>
      </c>
      <c r="H1110" s="2">
        <v>0.82331900000000002</v>
      </c>
      <c r="I1110" s="2">
        <v>0.82453200000000004</v>
      </c>
      <c r="J1110" s="2">
        <v>0.84694199999999997</v>
      </c>
      <c r="K1110" s="2">
        <v>0.72958599999999996</v>
      </c>
      <c r="L1110" s="2">
        <f>AVERAGE(D1110:K1110)</f>
        <v>0.79052125000000006</v>
      </c>
      <c r="M1110" s="2">
        <f xml:space="preserve"> _xlfn.STDEV.S(D1110:K1110) / SQRT(COUNT(D1110:K1110))</f>
        <v>2.4254524602012776E-2</v>
      </c>
      <c r="N1110" s="2">
        <f>M1110*$N$2</f>
        <v>2.7144672612407876E-2</v>
      </c>
    </row>
    <row r="1111" spans="2:14" x14ac:dyDescent="0.55000000000000004">
      <c r="C1111" s="2" t="s">
        <v>23</v>
      </c>
      <c r="D1111" s="2">
        <v>2.7850000000000001E-3</v>
      </c>
      <c r="E1111" s="2">
        <v>3.6749999999999999E-3</v>
      </c>
      <c r="F1111" s="2">
        <v>1.9015000000000001E-2</v>
      </c>
      <c r="G1111" s="2">
        <v>1.1553000000000001E-2</v>
      </c>
      <c r="H1111" s="2">
        <v>1.3799999999999999E-3</v>
      </c>
      <c r="I1111" s="2">
        <v>3.565E-3</v>
      </c>
      <c r="J1111" s="2">
        <v>2.5860000000000002E-3</v>
      </c>
      <c r="K1111" s="2">
        <v>3.3530000000000001E-3</v>
      </c>
      <c r="L1111" s="2">
        <f>(1/COUNT(D1111:K1111))*SQRT(SUMSQ(D1111:K1111))</f>
        <v>2.9284368537241842E-3</v>
      </c>
    </row>
    <row r="1112" spans="2:14" x14ac:dyDescent="0.55000000000000004">
      <c r="C1112" s="2" t="s">
        <v>24</v>
      </c>
      <c r="D1112" s="2">
        <v>0.58847700000000003</v>
      </c>
      <c r="E1112" s="2">
        <v>0.52321799999999996</v>
      </c>
      <c r="F1112" s="2">
        <v>0.77212099999999995</v>
      </c>
      <c r="G1112" s="2">
        <v>0.59421199999999996</v>
      </c>
      <c r="H1112" s="2">
        <v>0.56638999999999995</v>
      </c>
      <c r="I1112" s="2">
        <v>0.56843399999999999</v>
      </c>
      <c r="J1112" s="2">
        <v>0.51908699999999997</v>
      </c>
      <c r="K1112" s="2">
        <v>0.69316500000000003</v>
      </c>
      <c r="L1112" s="2">
        <f>AVERAGE(D1112:K1112)</f>
        <v>0.60313799999999995</v>
      </c>
      <c r="M1112" s="2">
        <f xml:space="preserve"> _xlfn.STDEV.S(D1112:K1112) / SQRT(COUNT(D1112:K1112))</f>
        <v>3.0752843520094726E-2</v>
      </c>
      <c r="N1112" s="2">
        <f>M1112*$N$2</f>
        <v>3.4417325548582636E-2</v>
      </c>
    </row>
    <row r="1113" spans="2:14" x14ac:dyDescent="0.55000000000000004">
      <c r="C1113" s="2" t="s">
        <v>25</v>
      </c>
      <c r="D1113" s="2">
        <v>4.1229999999999999E-3</v>
      </c>
      <c r="E1113" s="2">
        <v>5.8760000000000001E-3</v>
      </c>
      <c r="F1113" s="2">
        <v>2.0643999999999999E-2</v>
      </c>
      <c r="G1113" s="2">
        <v>1.5921999999999999E-2</v>
      </c>
      <c r="H1113" s="2">
        <v>1.9740000000000001E-3</v>
      </c>
      <c r="I1113" s="2">
        <v>4.9379999999999997E-3</v>
      </c>
      <c r="J1113" s="2">
        <v>5.0309999999999999E-3</v>
      </c>
      <c r="K1113" s="2">
        <v>3.7100000000000002E-3</v>
      </c>
      <c r="L1113" s="2">
        <f>(1/COUNT(D1113:K1113))*SQRT(SUMSQ(D1113:K1113))</f>
        <v>3.5323657662040039E-3</v>
      </c>
    </row>
    <row r="1114" spans="2:14" x14ac:dyDescent="0.55000000000000004">
      <c r="C1114" s="2" t="s">
        <v>26</v>
      </c>
      <c r="D1114" s="2">
        <v>0.44714500000000001</v>
      </c>
      <c r="E1114" s="2">
        <v>0.51968899999999996</v>
      </c>
      <c r="F1114" s="2">
        <v>0.39409</v>
      </c>
      <c r="G1114" s="2">
        <v>0.424238</v>
      </c>
      <c r="H1114" s="2">
        <v>0.48331800000000003</v>
      </c>
      <c r="I1114" s="2">
        <v>0.32105499999999998</v>
      </c>
      <c r="J1114" s="2">
        <v>0.461449</v>
      </c>
      <c r="K1114" s="2">
        <v>0.29362500000000002</v>
      </c>
      <c r="L1114" s="2">
        <f>AVERAGE(D1114:K1114)</f>
        <v>0.41807612500000002</v>
      </c>
      <c r="M1114" s="2">
        <f xml:space="preserve"> _xlfn.STDEV.S(D1114:K1114) / SQRT(COUNT(D1114:K1114))</f>
        <v>2.7652941107100475E-2</v>
      </c>
      <c r="N1114" s="2">
        <f>M1114*$N$2</f>
        <v>3.0948041466050701E-2</v>
      </c>
    </row>
    <row r="1115" spans="2:14" x14ac:dyDescent="0.55000000000000004">
      <c r="C1115" s="2" t="s">
        <v>27</v>
      </c>
      <c r="D1115" s="2">
        <v>4.9259999999999998E-3</v>
      </c>
      <c r="E1115" s="2">
        <v>5.6439999999999997E-3</v>
      </c>
      <c r="F1115" s="2">
        <v>1.162E-2</v>
      </c>
      <c r="G1115" s="2">
        <v>1.5921999999999999E-2</v>
      </c>
      <c r="H1115" s="2">
        <v>1.539E-3</v>
      </c>
      <c r="I1115" s="2">
        <v>3.9500000000000004E-3</v>
      </c>
      <c r="J1115" s="2">
        <v>5.1900000000000002E-3</v>
      </c>
      <c r="K1115" s="2">
        <v>2.506E-3</v>
      </c>
      <c r="L1115" s="2">
        <f>(1/COUNT(D1115:K1115))*SQRT(SUMSQ(D1115:K1115))</f>
        <v>2.7834383329121914E-3</v>
      </c>
    </row>
    <row r="1116" spans="2:14" x14ac:dyDescent="0.55000000000000004">
      <c r="C1116" s="2" t="s">
        <v>28</v>
      </c>
      <c r="D1116" s="2">
        <v>3.3916849999999998</v>
      </c>
      <c r="E1116" s="2">
        <v>3.6761659999999998</v>
      </c>
      <c r="F1116" s="2">
        <v>2.9978210000000001</v>
      </c>
      <c r="G1116" s="2">
        <v>4.967187</v>
      </c>
      <c r="H1116" s="2">
        <v>1.8978330000000001</v>
      </c>
      <c r="I1116" s="2">
        <v>6.3991660000000001</v>
      </c>
      <c r="J1116" s="2">
        <v>3.8765329999999998</v>
      </c>
      <c r="K1116" s="2">
        <v>3.1197819999999998</v>
      </c>
      <c r="L1116" s="2">
        <f>AVERAGE(D1116:K1116)</f>
        <v>3.7907716249999996</v>
      </c>
      <c r="M1116" s="2">
        <f xml:space="preserve"> _xlfn.STDEV.S(D1116:K1116) / SQRT(COUNT(D1116:K1116))</f>
        <v>0.48236116351176828</v>
      </c>
      <c r="N1116" s="2">
        <f>M1116*$N$2</f>
        <v>0.53983889931120399</v>
      </c>
    </row>
    <row r="1117" spans="2:14" x14ac:dyDescent="0.55000000000000004">
      <c r="C1117" s="2" t="s">
        <v>29</v>
      </c>
      <c r="D1117" s="2">
        <v>7.1798000000000001E-2</v>
      </c>
      <c r="E1117" s="2">
        <v>5.1449000000000002E-2</v>
      </c>
      <c r="F1117" s="2">
        <v>0.156865</v>
      </c>
      <c r="G1117" s="2">
        <v>0.399121</v>
      </c>
      <c r="H1117" s="2">
        <v>1.0581999999999999E-2</v>
      </c>
      <c r="I1117" s="2">
        <v>0.302236</v>
      </c>
      <c r="J1117" s="2">
        <v>5.7912999999999999E-2</v>
      </c>
      <c r="K1117" s="2">
        <v>3.6563999999999999E-2</v>
      </c>
      <c r="L1117" s="2">
        <f>(1/COUNT(D1117:K1117))*SQRT(SUMSQ(D1117:K1117))</f>
        <v>6.7065217018119752E-2</v>
      </c>
    </row>
    <row r="1118" spans="2:14" x14ac:dyDescent="0.55000000000000004">
      <c r="C1118" s="2" t="s">
        <v>30</v>
      </c>
      <c r="D1118" s="2">
        <v>16.210943</v>
      </c>
      <c r="E1118" s="2">
        <v>18.386869999999998</v>
      </c>
      <c r="F1118" s="2">
        <v>15.385444</v>
      </c>
      <c r="G1118" s="2">
        <v>18.462510000000002</v>
      </c>
      <c r="H1118" s="2">
        <v>12.089275000000001</v>
      </c>
      <c r="I1118" s="2">
        <v>22.491897999999999</v>
      </c>
      <c r="J1118" s="2">
        <v>19.950514999999999</v>
      </c>
      <c r="K1118" s="2">
        <v>14.698771000000001</v>
      </c>
      <c r="L1118" s="2">
        <f>AVERAGE(D1118:K1118)</f>
        <v>17.209528249999998</v>
      </c>
      <c r="M1118" s="2">
        <f xml:space="preserve"> _xlfn.STDEV.S(D1118:K1118) / SQRT(COUNT(D1118:K1118))</f>
        <v>1.1589549369297574</v>
      </c>
      <c r="N1118" s="2">
        <f>M1118*$N$2</f>
        <v>1.2970549970244067</v>
      </c>
    </row>
    <row r="1119" spans="2:14" x14ac:dyDescent="0.55000000000000004">
      <c r="C1119" s="2" t="s">
        <v>31</v>
      </c>
      <c r="D1119" s="2">
        <v>9.0406E-2</v>
      </c>
      <c r="E1119" s="2">
        <v>6.7099000000000006E-2</v>
      </c>
      <c r="F1119" s="2">
        <v>0.30730800000000003</v>
      </c>
      <c r="G1119" s="2">
        <v>0.87174499999999999</v>
      </c>
      <c r="H1119" s="2">
        <v>2.7504000000000001E-2</v>
      </c>
      <c r="I1119" s="2">
        <v>0.56443299999999996</v>
      </c>
      <c r="J1119" s="2">
        <v>0.15704199999999999</v>
      </c>
      <c r="K1119" s="2">
        <v>0.142374</v>
      </c>
      <c r="L1119" s="2">
        <f>(1/COUNT(D1119:K1119))*SQRT(SUMSQ(D1119:K1119))</f>
        <v>0.13870645148066968</v>
      </c>
    </row>
    <row r="1120" spans="2:14" x14ac:dyDescent="0.55000000000000004">
      <c r="B1120" s="2" t="s">
        <v>46</v>
      </c>
      <c r="C1120" s="2" t="s">
        <v>22</v>
      </c>
      <c r="L1120" s="2" t="e">
        <f>AVERAGE(D1120:K1120)</f>
        <v>#DIV/0!</v>
      </c>
      <c r="M1120" s="2" t="e">
        <f xml:space="preserve"> _xlfn.STDEV.S(D1120:K1120) / SQRT(COUNT(D1120:K1120))</f>
        <v>#DIV/0!</v>
      </c>
      <c r="N1120" s="2" t="e">
        <f>M1120*$N$2</f>
        <v>#DIV/0!</v>
      </c>
    </row>
    <row r="1121" spans="2:14" x14ac:dyDescent="0.55000000000000004">
      <c r="C1121" s="2" t="s">
        <v>23</v>
      </c>
      <c r="L1121" s="2" t="e">
        <f>(1/COUNT(D1121:K1121))*SQRT(SUMSQ(D1121:K1121))</f>
        <v>#DIV/0!</v>
      </c>
    </row>
    <row r="1122" spans="2:14" x14ac:dyDescent="0.55000000000000004">
      <c r="C1122" s="2" t="s">
        <v>24</v>
      </c>
      <c r="L1122" s="2" t="e">
        <f>AVERAGE(D1122:K1122)</f>
        <v>#DIV/0!</v>
      </c>
      <c r="M1122" s="2" t="e">
        <f xml:space="preserve"> _xlfn.STDEV.S(D1122:K1122) / SQRT(COUNT(D1122:K1122))</f>
        <v>#DIV/0!</v>
      </c>
      <c r="N1122" s="2" t="e">
        <f>M1122*$N$2</f>
        <v>#DIV/0!</v>
      </c>
    </row>
    <row r="1123" spans="2:14" x14ac:dyDescent="0.55000000000000004">
      <c r="C1123" s="2" t="s">
        <v>25</v>
      </c>
      <c r="L1123" s="2" t="e">
        <f>(1/COUNT(D1123:K1123))*SQRT(SUMSQ(D1123:K1123))</f>
        <v>#DIV/0!</v>
      </c>
    </row>
    <row r="1124" spans="2:14" x14ac:dyDescent="0.55000000000000004">
      <c r="C1124" s="2" t="s">
        <v>26</v>
      </c>
      <c r="L1124" s="2" t="e">
        <f>AVERAGE(D1124:K1124)</f>
        <v>#DIV/0!</v>
      </c>
      <c r="M1124" s="2" t="e">
        <f xml:space="preserve"> _xlfn.STDEV.S(D1124:K1124) / SQRT(COUNT(D1124:K1124))</f>
        <v>#DIV/0!</v>
      </c>
      <c r="N1124" s="2" t="e">
        <f>M1124*$N$2</f>
        <v>#DIV/0!</v>
      </c>
    </row>
    <row r="1125" spans="2:14" x14ac:dyDescent="0.55000000000000004">
      <c r="C1125" s="2" t="s">
        <v>27</v>
      </c>
      <c r="L1125" s="2" t="e">
        <f>(1/COUNT(D1125:K1125))*SQRT(SUMSQ(D1125:K1125))</f>
        <v>#DIV/0!</v>
      </c>
    </row>
    <row r="1126" spans="2:14" x14ac:dyDescent="0.55000000000000004">
      <c r="C1126" s="2" t="s">
        <v>28</v>
      </c>
      <c r="L1126" s="2" t="e">
        <f>AVERAGE(D1126:K1126)</f>
        <v>#DIV/0!</v>
      </c>
      <c r="M1126" s="2" t="e">
        <f xml:space="preserve"> _xlfn.STDEV.S(D1126:K1126) / SQRT(COUNT(D1126:K1126))</f>
        <v>#DIV/0!</v>
      </c>
      <c r="N1126" s="2" t="e">
        <f>M1126*$N$2</f>
        <v>#DIV/0!</v>
      </c>
    </row>
    <row r="1127" spans="2:14" x14ac:dyDescent="0.55000000000000004">
      <c r="C1127" s="2" t="s">
        <v>29</v>
      </c>
      <c r="L1127" s="2" t="e">
        <f>(1/COUNT(D1127:K1127))*SQRT(SUMSQ(D1127:K1127))</f>
        <v>#DIV/0!</v>
      </c>
    </row>
    <row r="1128" spans="2:14" x14ac:dyDescent="0.55000000000000004">
      <c r="C1128" s="2" t="s">
        <v>30</v>
      </c>
      <c r="L1128" s="2" t="e">
        <f>AVERAGE(D1128:K1128)</f>
        <v>#DIV/0!</v>
      </c>
      <c r="M1128" s="2" t="e">
        <f xml:space="preserve"> _xlfn.STDEV.S(D1128:K1128) / SQRT(COUNT(D1128:K1128))</f>
        <v>#DIV/0!</v>
      </c>
      <c r="N1128" s="2" t="e">
        <f>M1128*$N$2</f>
        <v>#DIV/0!</v>
      </c>
    </row>
    <row r="1129" spans="2:14" x14ac:dyDescent="0.55000000000000004">
      <c r="C1129" s="2" t="s">
        <v>31</v>
      </c>
      <c r="L1129" s="2" t="e">
        <f>(1/COUNT(D1129:K1129))*SQRT(SUMSQ(D1129:K1129))</f>
        <v>#DIV/0!</v>
      </c>
    </row>
    <row r="1130" spans="2:14" x14ac:dyDescent="0.55000000000000004">
      <c r="B1130" s="2" t="s">
        <v>36</v>
      </c>
      <c r="C1130" s="2" t="s">
        <v>22</v>
      </c>
      <c r="D1130" s="2">
        <v>0.77661899999999995</v>
      </c>
      <c r="E1130" s="2">
        <v>0.856124</v>
      </c>
      <c r="F1130" s="2">
        <v>0.70380500000000001</v>
      </c>
      <c r="G1130" s="2">
        <v>0.86436500000000005</v>
      </c>
      <c r="H1130" s="2">
        <v>0.82855100000000004</v>
      </c>
      <c r="I1130" s="2">
        <v>0.83415499999999998</v>
      </c>
      <c r="J1130" s="2">
        <v>0.84123800000000004</v>
      </c>
      <c r="K1130" s="2">
        <v>0.72631699999999999</v>
      </c>
      <c r="L1130" s="2">
        <f>AVERAGE(D1130:K1130)</f>
        <v>0.80389674999999994</v>
      </c>
      <c r="M1130" s="2">
        <f xml:space="preserve"> _xlfn.STDEV.S(D1130:K1130) / SQRT(COUNT(D1130:K1130))</f>
        <v>2.1581618030455919E-2</v>
      </c>
      <c r="N1130" s="2">
        <f>M1130*$N$2</f>
        <v>2.4153264823592945E-2</v>
      </c>
    </row>
    <row r="1131" spans="2:14" x14ac:dyDescent="0.55000000000000004">
      <c r="C1131" s="2" t="s">
        <v>24</v>
      </c>
      <c r="D1131" s="2">
        <v>0.63277300000000003</v>
      </c>
      <c r="E1131" s="2">
        <v>0.50756900000000005</v>
      </c>
      <c r="F1131" s="2">
        <v>0.708735</v>
      </c>
      <c r="G1131" s="2">
        <v>0.49540699999999999</v>
      </c>
      <c r="H1131" s="2">
        <v>0.55955200000000005</v>
      </c>
      <c r="I1131" s="2">
        <v>0.55498199999999998</v>
      </c>
      <c r="J1131" s="2">
        <v>0.53056199999999998</v>
      </c>
      <c r="K1131" s="2">
        <v>0.69817300000000004</v>
      </c>
      <c r="L1131" s="2">
        <f t="shared" ref="L1131:L1148" si="36">AVERAGE(D1131:K1131)</f>
        <v>0.58596912499999998</v>
      </c>
      <c r="M1131" s="2">
        <f t="shared" ref="M1131:M1147" si="37" xml:space="preserve"> _xlfn.STDEV.S(D1131:K1131) / SQRT(COUNT(D1131:K1131))</f>
        <v>2.9558618014184738E-2</v>
      </c>
      <c r="N1131" s="2">
        <f t="shared" ref="N1131:N1147" si="38">M1131*$N$2</f>
        <v>3.3080797172321506E-2</v>
      </c>
    </row>
    <row r="1132" spans="2:14" x14ac:dyDescent="0.55000000000000004">
      <c r="C1132" s="2" t="s">
        <v>26</v>
      </c>
      <c r="D1132" s="2">
        <v>0.39732299999999998</v>
      </c>
      <c r="E1132" s="2">
        <v>0.531003</v>
      </c>
      <c r="F1132" s="2">
        <v>0.42944700000000002</v>
      </c>
      <c r="G1132" s="2">
        <v>0.52457799999999999</v>
      </c>
      <c r="H1132" s="2">
        <v>0.48894799999999999</v>
      </c>
      <c r="I1132" s="2">
        <v>0.33275399999999999</v>
      </c>
      <c r="J1132" s="2">
        <v>0.44740400000000002</v>
      </c>
      <c r="K1132" s="2">
        <v>0.28568700000000002</v>
      </c>
      <c r="L1132" s="2">
        <f t="shared" si="36"/>
        <v>0.429643</v>
      </c>
      <c r="M1132" s="2">
        <f t="shared" si="37"/>
        <v>3.1131767492615738E-2</v>
      </c>
      <c r="N1132" s="2">
        <f t="shared" si="38"/>
        <v>3.4841401771384478E-2</v>
      </c>
    </row>
    <row r="1133" spans="2:14" x14ac:dyDescent="0.55000000000000004">
      <c r="C1133" s="2" t="s">
        <v>28</v>
      </c>
      <c r="D1133" s="2">
        <v>4.2730050000000004</v>
      </c>
      <c r="E1133" s="2">
        <v>3.2535630000000002</v>
      </c>
      <c r="F1133" s="2">
        <v>2.5664479999999998</v>
      </c>
      <c r="G1133" s="2">
        <v>3.1971039999999999</v>
      </c>
      <c r="H1133" s="2">
        <v>1.836492</v>
      </c>
      <c r="I1133" s="2">
        <v>5.234343</v>
      </c>
      <c r="J1133" s="2">
        <v>3.9590049999999999</v>
      </c>
      <c r="K1133" s="2">
        <v>3.4630890000000001</v>
      </c>
      <c r="L1133" s="2">
        <f t="shared" si="36"/>
        <v>3.4728811250000002</v>
      </c>
      <c r="M1133" s="2">
        <f t="shared" si="37"/>
        <v>0.36846453359862391</v>
      </c>
      <c r="N1133" s="2">
        <f t="shared" si="38"/>
        <v>0.41237044625431246</v>
      </c>
    </row>
    <row r="1134" spans="2:14" x14ac:dyDescent="0.55000000000000004">
      <c r="C1134" s="2" t="s">
        <v>30</v>
      </c>
      <c r="D1134" s="2">
        <v>16.793156</v>
      </c>
      <c r="E1134" s="2">
        <v>17.570796999999999</v>
      </c>
      <c r="F1134" s="2">
        <v>14.427262000000001</v>
      </c>
      <c r="G1134" s="2">
        <v>15.317012</v>
      </c>
      <c r="H1134" s="2">
        <v>11.912319</v>
      </c>
      <c r="I1134" s="2">
        <v>19.150137000000001</v>
      </c>
      <c r="J1134" s="2">
        <v>20.110453</v>
      </c>
      <c r="K1134" s="2">
        <v>15.837464000000001</v>
      </c>
      <c r="L1134" s="2">
        <f t="shared" si="36"/>
        <v>16.389825000000002</v>
      </c>
      <c r="M1134" s="2">
        <f t="shared" si="37"/>
        <v>0.92943444524429442</v>
      </c>
      <c r="N1134" s="2">
        <f t="shared" si="38"/>
        <v>1.0401850436086324</v>
      </c>
    </row>
    <row r="1135" spans="2:14" ht="14.25" customHeight="1" x14ac:dyDescent="0.55000000000000004">
      <c r="B1135" s="2" t="s">
        <v>37</v>
      </c>
      <c r="C1135" s="2" t="s">
        <v>22</v>
      </c>
      <c r="D1135" s="2">
        <v>0.73803700000000005</v>
      </c>
      <c r="E1135" s="2">
        <v>0.71221199999999996</v>
      </c>
      <c r="F1135" s="2">
        <v>0.54884900000000003</v>
      </c>
      <c r="G1135" s="2">
        <v>0.80541399999999996</v>
      </c>
      <c r="H1135" s="2">
        <v>0.70895699999999995</v>
      </c>
      <c r="I1135" s="2">
        <v>0.773088</v>
      </c>
      <c r="J1135" s="2">
        <v>0.75271399999999999</v>
      </c>
      <c r="K1135" s="2">
        <v>0.59148100000000003</v>
      </c>
      <c r="L1135" s="2">
        <f t="shared" si="36"/>
        <v>0.70384400000000003</v>
      </c>
      <c r="M1135" s="2">
        <f t="shared" si="37"/>
        <v>3.1456799904222406E-2</v>
      </c>
      <c r="N1135" s="2">
        <f t="shared" si="38"/>
        <v>3.5205164761847388E-2</v>
      </c>
    </row>
    <row r="1136" spans="2:14" x14ac:dyDescent="0.55000000000000004">
      <c r="C1136" s="2" t="s">
        <v>24</v>
      </c>
      <c r="D1136" s="2">
        <v>0.69003300000000001</v>
      </c>
      <c r="E1136" s="2">
        <v>0.72069700000000003</v>
      </c>
      <c r="F1136" s="2">
        <v>0.86997199999999997</v>
      </c>
      <c r="G1136" s="2">
        <v>0.58983099999999999</v>
      </c>
      <c r="H1136" s="2">
        <v>0.72221400000000002</v>
      </c>
      <c r="I1136" s="2">
        <v>0.64924599999999999</v>
      </c>
      <c r="J1136" s="2">
        <v>0.67066499999999996</v>
      </c>
      <c r="K1136" s="2">
        <v>0.85075100000000003</v>
      </c>
      <c r="L1136" s="2">
        <f t="shared" si="36"/>
        <v>0.72042612499999992</v>
      </c>
      <c r="M1136" s="2">
        <f t="shared" si="37"/>
        <v>3.4036068085634287E-2</v>
      </c>
      <c r="N1136" s="2">
        <f t="shared" si="38"/>
        <v>3.8091776291566508E-2</v>
      </c>
    </row>
    <row r="1137" spans="1:14" x14ac:dyDescent="0.55000000000000004">
      <c r="C1137" s="2" t="s">
        <v>26</v>
      </c>
      <c r="D1137" s="2">
        <v>0.33773199999999998</v>
      </c>
      <c r="E1137" s="2">
        <v>0.32952799999999999</v>
      </c>
      <c r="F1137" s="2">
        <v>0.330127</v>
      </c>
      <c r="G1137" s="2">
        <v>0.43830599999999997</v>
      </c>
      <c r="H1137" s="2">
        <v>0.34960799999999997</v>
      </c>
      <c r="I1137" s="2">
        <v>0.26927200000000001</v>
      </c>
      <c r="J1137" s="2">
        <v>0.30902099999999999</v>
      </c>
      <c r="K1137" s="2">
        <v>0.188994</v>
      </c>
      <c r="L1137" s="2">
        <f t="shared" si="36"/>
        <v>0.31907350000000001</v>
      </c>
      <c r="M1137" s="2">
        <f t="shared" si="37"/>
        <v>2.5082107766294204E-2</v>
      </c>
      <c r="N1137" s="2">
        <f t="shared" si="38"/>
        <v>2.8070869865191622E-2</v>
      </c>
    </row>
    <row r="1138" spans="1:14" x14ac:dyDescent="0.55000000000000004">
      <c r="C1138" s="2" t="s">
        <v>28</v>
      </c>
      <c r="D1138" s="2">
        <v>5.0406610000000001</v>
      </c>
      <c r="E1138" s="2">
        <v>6.5281589999999996</v>
      </c>
      <c r="F1138" s="2">
        <v>3.9195679999999999</v>
      </c>
      <c r="G1138" s="2">
        <v>4.3274679999999996</v>
      </c>
      <c r="H1138" s="2">
        <v>3.1754250000000002</v>
      </c>
      <c r="I1138" s="2">
        <v>8.6956249999999997</v>
      </c>
      <c r="J1138" s="2">
        <v>6.2204240000000004</v>
      </c>
      <c r="K1138" s="2">
        <v>4.41744</v>
      </c>
      <c r="L1138" s="2">
        <f t="shared" si="36"/>
        <v>5.2905962499999992</v>
      </c>
      <c r="M1138" s="2">
        <f t="shared" si="37"/>
        <v>0.62815653423847451</v>
      </c>
      <c r="N1138" s="2">
        <f t="shared" si="38"/>
        <v>0.70300711933282645</v>
      </c>
    </row>
    <row r="1139" spans="1:14" x14ac:dyDescent="0.55000000000000004">
      <c r="C1139" s="2" t="s">
        <v>30</v>
      </c>
      <c r="D1139" s="2">
        <v>18.266029</v>
      </c>
      <c r="E1139" s="2">
        <v>21.394245999999999</v>
      </c>
      <c r="F1139" s="2">
        <v>19.121860000000002</v>
      </c>
      <c r="G1139" s="2">
        <v>16.736936</v>
      </c>
      <c r="H1139" s="2">
        <v>17.976811000000001</v>
      </c>
      <c r="I1139" s="2">
        <v>25.865551</v>
      </c>
      <c r="J1139" s="2">
        <v>24.108302999999999</v>
      </c>
      <c r="K1139" s="2">
        <v>21.006121</v>
      </c>
      <c r="L1139" s="2">
        <f t="shared" si="36"/>
        <v>20.559482124999999</v>
      </c>
      <c r="M1139" s="2">
        <f t="shared" si="37"/>
        <v>1.1200569751872063</v>
      </c>
      <c r="N1139" s="2">
        <f t="shared" si="38"/>
        <v>1.2535219880655797</v>
      </c>
    </row>
    <row r="1140" spans="1:14" x14ac:dyDescent="0.55000000000000004">
      <c r="B1140" s="2" t="s">
        <v>39</v>
      </c>
      <c r="C1140" s="2" t="s">
        <v>22</v>
      </c>
      <c r="D1140" s="2">
        <v>0.83918899999999996</v>
      </c>
      <c r="E1140" s="2">
        <v>0.90535100000000002</v>
      </c>
      <c r="F1140" s="2">
        <v>0.72629999999999995</v>
      </c>
      <c r="G1140" s="2">
        <v>0.82062800000000002</v>
      </c>
      <c r="H1140" s="2">
        <v>0.83892999999999995</v>
      </c>
      <c r="I1140" s="2">
        <v>0.87822</v>
      </c>
      <c r="J1140" s="2">
        <v>0.88643499999999997</v>
      </c>
      <c r="K1140" s="2">
        <v>0.72864600000000002</v>
      </c>
      <c r="L1140" s="2">
        <f t="shared" si="36"/>
        <v>0.82796237499999992</v>
      </c>
      <c r="M1140" s="2">
        <f t="shared" si="37"/>
        <v>2.4065749157952305E-2</v>
      </c>
      <c r="N1140" s="2">
        <f t="shared" si="38"/>
        <v>2.6933402850977131E-2</v>
      </c>
    </row>
    <row r="1141" spans="1:14" x14ac:dyDescent="0.55000000000000004">
      <c r="C1141" s="2" t="s">
        <v>24</v>
      </c>
      <c r="D1141" s="2">
        <v>0.544014</v>
      </c>
      <c r="E1141" s="2">
        <v>0.42046499999999998</v>
      </c>
      <c r="F1141" s="2">
        <v>0.69098800000000005</v>
      </c>
      <c r="G1141" s="2">
        <v>0.57063799999999998</v>
      </c>
      <c r="H1141" s="2">
        <v>0.545045</v>
      </c>
      <c r="I1141" s="2">
        <v>0.48096</v>
      </c>
      <c r="J1141" s="2">
        <v>0.45758599999999999</v>
      </c>
      <c r="K1141" s="2">
        <v>0.69917499999999999</v>
      </c>
      <c r="L1141" s="2">
        <f t="shared" si="36"/>
        <v>0.55110887500000005</v>
      </c>
      <c r="M1141" s="2">
        <f t="shared" si="37"/>
        <v>3.6029119280915879E-2</v>
      </c>
      <c r="N1141" s="2">
        <f t="shared" si="38"/>
        <v>4.0322317730057428E-2</v>
      </c>
    </row>
    <row r="1142" spans="1:14" x14ac:dyDescent="0.55000000000000004">
      <c r="C1142" s="2" t="s">
        <v>26</v>
      </c>
      <c r="D1142" s="2">
        <v>0.48701100000000003</v>
      </c>
      <c r="E1142" s="2">
        <v>0.62237100000000001</v>
      </c>
      <c r="F1142" s="2">
        <v>0.43829099999999999</v>
      </c>
      <c r="G1142" s="2">
        <v>0.44985399999999998</v>
      </c>
      <c r="H1142" s="2">
        <v>0.50133899999999998</v>
      </c>
      <c r="I1142" s="2">
        <v>0.39565299999999998</v>
      </c>
      <c r="J1142" s="2">
        <v>0.51434199999999997</v>
      </c>
      <c r="K1142" s="2">
        <v>0.29724800000000001</v>
      </c>
      <c r="L1142" s="2">
        <f t="shared" si="36"/>
        <v>0.46326362500000001</v>
      </c>
      <c r="M1142" s="2">
        <f t="shared" si="37"/>
        <v>3.3507372209036414E-2</v>
      </c>
      <c r="N1142" s="2">
        <f t="shared" si="38"/>
        <v>3.7500081475144983E-2</v>
      </c>
    </row>
    <row r="1143" spans="1:14" x14ac:dyDescent="0.55000000000000004">
      <c r="C1143" s="2" t="s">
        <v>28</v>
      </c>
      <c r="D1143" s="2">
        <v>2.535765</v>
      </c>
      <c r="E1143" s="2">
        <v>2.4327040000000002</v>
      </c>
      <c r="F1143" s="2">
        <v>2.4861770000000001</v>
      </c>
      <c r="G1143" s="2">
        <v>4.1930509999999996</v>
      </c>
      <c r="H1143" s="2">
        <v>1.7372179999999999</v>
      </c>
      <c r="I1143" s="2">
        <v>3.7356950000000002</v>
      </c>
      <c r="J1143" s="2">
        <v>3.1020080000000001</v>
      </c>
      <c r="K1143" s="2">
        <v>3.0943149999999999</v>
      </c>
      <c r="L1143" s="2">
        <f t="shared" si="36"/>
        <v>2.9146166250000007</v>
      </c>
      <c r="M1143" s="2">
        <f t="shared" si="37"/>
        <v>0.27779641661777388</v>
      </c>
      <c r="N1143" s="2">
        <f t="shared" si="38"/>
        <v>0.31089839548385817</v>
      </c>
    </row>
    <row r="1144" spans="1:14" x14ac:dyDescent="0.55000000000000004">
      <c r="C1144" s="2" t="s">
        <v>30</v>
      </c>
      <c r="D1144" s="2">
        <v>14.207786</v>
      </c>
      <c r="E1144" s="2">
        <v>16.482786999999998</v>
      </c>
      <c r="F1144" s="2">
        <v>15.304180000000001</v>
      </c>
      <c r="G1144" s="2">
        <v>16.846465999999999</v>
      </c>
      <c r="H1144" s="2">
        <v>11.014995000000001</v>
      </c>
      <c r="I1144" s="2">
        <v>18.370100000000001</v>
      </c>
      <c r="J1144" s="2">
        <v>18.400238999999999</v>
      </c>
      <c r="K1144" s="2">
        <v>14.851524</v>
      </c>
      <c r="L1144" s="2">
        <f t="shared" si="36"/>
        <v>15.684759625</v>
      </c>
      <c r="M1144" s="2">
        <f t="shared" si="37"/>
        <v>0.85980236265378585</v>
      </c>
      <c r="N1144" s="2">
        <f t="shared" si="38"/>
        <v>0.96225566275065233</v>
      </c>
    </row>
    <row r="1145" spans="1:14" x14ac:dyDescent="0.55000000000000004">
      <c r="B1145" s="2" t="s">
        <v>61</v>
      </c>
      <c r="C1145" s="2" t="s">
        <v>22</v>
      </c>
      <c r="D1145" s="2">
        <v>0.71729500000000002</v>
      </c>
      <c r="E1145" s="2">
        <v>0.68101599999999995</v>
      </c>
      <c r="F1145" s="2">
        <v>0.52254800000000001</v>
      </c>
      <c r="G1145" s="2">
        <v>0.79828399999999999</v>
      </c>
      <c r="H1145" s="2">
        <v>0.66259500000000005</v>
      </c>
      <c r="I1145" s="2">
        <v>0.73951900000000004</v>
      </c>
      <c r="J1145" s="2">
        <v>0.72622100000000001</v>
      </c>
      <c r="K1145" s="2">
        <v>0.52324000000000004</v>
      </c>
      <c r="L1145" s="2">
        <f t="shared" si="36"/>
        <v>0.67133975000000001</v>
      </c>
      <c r="M1145" s="2">
        <f t="shared" si="37"/>
        <v>3.5388080778778475E-2</v>
      </c>
      <c r="N1145" s="2">
        <f t="shared" si="38"/>
        <v>3.9604893638759256E-2</v>
      </c>
    </row>
    <row r="1146" spans="1:14" x14ac:dyDescent="0.55000000000000004">
      <c r="C1146" s="2" t="s">
        <v>24</v>
      </c>
      <c r="D1146" s="2">
        <v>0.73857600000000001</v>
      </c>
      <c r="E1146" s="2">
        <v>0.77489300000000005</v>
      </c>
      <c r="F1146" s="2">
        <v>0.95849499999999999</v>
      </c>
      <c r="G1146" s="2">
        <v>0.58868799999999999</v>
      </c>
      <c r="H1146" s="2">
        <v>0.80966800000000005</v>
      </c>
      <c r="I1146" s="2">
        <v>0.71456600000000003</v>
      </c>
      <c r="J1146" s="2">
        <v>0.72373200000000004</v>
      </c>
      <c r="K1146" s="2">
        <v>0.96642099999999997</v>
      </c>
      <c r="L1146" s="2">
        <f t="shared" si="36"/>
        <v>0.78437987500000017</v>
      </c>
      <c r="M1146" s="2">
        <f t="shared" si="37"/>
        <v>4.4946393625961416E-2</v>
      </c>
      <c r="N1146" s="2">
        <f t="shared" si="38"/>
        <v>5.0302166713417744E-2</v>
      </c>
    </row>
    <row r="1147" spans="1:14" x14ac:dyDescent="0.55000000000000004">
      <c r="C1147" s="2" t="s">
        <v>26</v>
      </c>
      <c r="D1147" s="2">
        <v>0.35117599999999999</v>
      </c>
      <c r="E1147" s="2">
        <v>0.31778899999999999</v>
      </c>
      <c r="F1147" s="2">
        <v>0.33890700000000001</v>
      </c>
      <c r="G1147" s="2">
        <v>0.47572399999999998</v>
      </c>
      <c r="H1147" s="2">
        <v>0.31739200000000001</v>
      </c>
      <c r="I1147" s="2">
        <v>0.25727499999999998</v>
      </c>
      <c r="J1147" s="2">
        <v>0.30991099999999999</v>
      </c>
      <c r="K1147" s="2">
        <v>0.15156900000000001</v>
      </c>
      <c r="L1147" s="2">
        <f t="shared" si="36"/>
        <v>0.31496787500000001</v>
      </c>
      <c r="M1147" s="2">
        <f t="shared" si="37"/>
        <v>3.2125231804854271E-2</v>
      </c>
      <c r="N1147" s="2">
        <f t="shared" si="38"/>
        <v>3.5953246425127476E-2</v>
      </c>
    </row>
    <row r="1148" spans="1:14" x14ac:dyDescent="0.55000000000000004">
      <c r="A1148" s="2" t="s">
        <v>40</v>
      </c>
      <c r="B1148" s="2" t="s">
        <v>21</v>
      </c>
      <c r="C1148" s="2" t="s">
        <v>22</v>
      </c>
      <c r="D1148" s="2">
        <f t="shared" ref="D1148:K1148" si="39">AVERAGE(D4,D92,D180,D268,D356,D444,D532,D620,D708,D796,D884,D972,D1060)</f>
        <v>0.85280992307692316</v>
      </c>
      <c r="E1148" s="2">
        <f t="shared" si="39"/>
        <v>0.9078566923076925</v>
      </c>
      <c r="F1148" s="2">
        <f t="shared" si="39"/>
        <v>0.75382153846153865</v>
      </c>
      <c r="G1148" s="2">
        <f t="shared" si="39"/>
        <v>0.8494781538461541</v>
      </c>
      <c r="H1148" s="2">
        <f t="shared" si="39"/>
        <v>0.84102338461538462</v>
      </c>
      <c r="I1148" s="2">
        <f t="shared" si="39"/>
        <v>0.87736884615384614</v>
      </c>
      <c r="J1148" s="2">
        <f t="shared" si="39"/>
        <v>0.88385692307692298</v>
      </c>
      <c r="K1148" s="2">
        <f t="shared" si="39"/>
        <v>0.73938276923076929</v>
      </c>
      <c r="L1148" s="2">
        <f t="shared" si="36"/>
        <v>0.83819977884615393</v>
      </c>
      <c r="M1148" s="2">
        <f xml:space="preserve"> _xlfn.STDEV.S(D1148:K1148) / SQRT(COUNT(D1148:K1148))</f>
        <v>2.1424283573789213E-2</v>
      </c>
      <c r="N1148" s="2">
        <f>M1148*$N$2</f>
        <v>2.3977182530208623E-2</v>
      </c>
    </row>
    <row r="1149" spans="1:14" x14ac:dyDescent="0.55000000000000004">
      <c r="C1149" s="2" t="s">
        <v>23</v>
      </c>
      <c r="D1149" s="2">
        <f t="shared" ref="D1149:K1149" si="40">(1/COUNT(D5,D93,D181,D269,D357,D445,D533,D621,D709,D797,D885,D973,D1061))*SQRT(SUMSQ(D5,D93,D181,D269,D357,D445,D533,D621,D709,D797,D885,D973,D1061))</f>
        <v>1.0510341483820062E-4</v>
      </c>
      <c r="E1149" s="2">
        <f t="shared" si="40"/>
        <v>3.9284640237373717E-4</v>
      </c>
      <c r="F1149" s="2">
        <f t="shared" si="40"/>
        <v>4.0975474227465392E-3</v>
      </c>
      <c r="G1149" s="2">
        <f t="shared" si="40"/>
        <v>7.7192989533610471E-4</v>
      </c>
      <c r="H1149" s="2">
        <f t="shared" si="40"/>
        <v>1.5727362805899862E-4</v>
      </c>
      <c r="I1149" s="2">
        <f t="shared" si="40"/>
        <v>2.5518407325419735E-4</v>
      </c>
      <c r="J1149" s="2">
        <f t="shared" si="40"/>
        <v>3.9445169044469126E-4</v>
      </c>
      <c r="K1149" s="2">
        <f t="shared" si="40"/>
        <v>1.2383420869292762E-4</v>
      </c>
      <c r="L1149" s="2">
        <f>(1/COUNT(D1149:K1149))*SQRT(SUMSQ(D1149:K1149))</f>
        <v>5.2755222818014929E-4</v>
      </c>
    </row>
    <row r="1150" spans="1:14" x14ac:dyDescent="0.55000000000000004">
      <c r="C1150" s="2" t="s">
        <v>24</v>
      </c>
      <c r="D1150" s="2">
        <f t="shared" ref="D1150:K1150" si="41">AVERAGE(D6,D94,D182,D270,D358,D446,D534,D622,D710,D798,D886,D974,D1062)</f>
        <v>0.52350538461538465</v>
      </c>
      <c r="E1150" s="2">
        <f t="shared" si="41"/>
        <v>0.4160509230769231</v>
      </c>
      <c r="F1150" s="2">
        <f t="shared" si="41"/>
        <v>0.65690530769230771</v>
      </c>
      <c r="G1150" s="2">
        <f t="shared" si="41"/>
        <v>0.5249148461538462</v>
      </c>
      <c r="H1150" s="2">
        <f t="shared" si="41"/>
        <v>0.54186946153846149</v>
      </c>
      <c r="I1150" s="2">
        <f t="shared" si="41"/>
        <v>0.48241061538461538</v>
      </c>
      <c r="J1150" s="2">
        <f t="shared" si="41"/>
        <v>0.45969161538461545</v>
      </c>
      <c r="K1150" s="2">
        <f t="shared" si="41"/>
        <v>0.68537838461538481</v>
      </c>
      <c r="L1150" s="2">
        <f>AVERAGE(D1150:K1150)</f>
        <v>0.53634081730769234</v>
      </c>
      <c r="M1150" s="2">
        <f xml:space="preserve"> _xlfn.STDEV.S(D1150:K1150) / SQRT(COUNT(D1150:K1150))</f>
        <v>3.2821782117295591E-2</v>
      </c>
      <c r="N1150" s="2">
        <f>M1150*$N$2</f>
        <v>3.6732797065659135E-2</v>
      </c>
    </row>
    <row r="1151" spans="1:14" x14ac:dyDescent="0.55000000000000004">
      <c r="C1151" s="2" t="s">
        <v>25</v>
      </c>
      <c r="D1151" s="2">
        <f t="shared" ref="D1151:K1151" si="42">(1/COUNT(D7,D95,D183,D271,D359,D447,D535,D623,D711,D799,D887,D975,D1063))*SQRT(SUMSQ(D7,D95,D183,D271,D359,D447,D535,D623,D711,D799,D887,D975,D1063))</f>
        <v>1.6805435511223552E-4</v>
      </c>
      <c r="E1151" s="2">
        <f t="shared" si="42"/>
        <v>8.8400569625196276E-4</v>
      </c>
      <c r="F1151" s="2">
        <f t="shared" si="42"/>
        <v>4.3984499898952444E-3</v>
      </c>
      <c r="G1151" s="2">
        <f t="shared" si="42"/>
        <v>1.1308814884099935E-3</v>
      </c>
      <c r="H1151" s="2">
        <f t="shared" si="42"/>
        <v>2.5000599992800176E-4</v>
      </c>
      <c r="I1151" s="2">
        <f t="shared" si="42"/>
        <v>5.0152184375489939E-4</v>
      </c>
      <c r="J1151" s="2">
        <f t="shared" si="42"/>
        <v>7.6184738101056886E-4</v>
      </c>
      <c r="K1151" s="2">
        <f t="shared" si="42"/>
        <v>1.5112792888005171E-4</v>
      </c>
      <c r="L1151" s="2">
        <f>(1/COUNT(D1151:K1151))*SQRT(SUMSQ(D1151:K1151))</f>
        <v>5.9097696965384593E-4</v>
      </c>
    </row>
    <row r="1152" spans="1:14" x14ac:dyDescent="0.55000000000000004">
      <c r="C1152" s="2" t="s">
        <v>26</v>
      </c>
      <c r="D1152" s="2">
        <f t="shared" ref="D1152:K1152" si="43">AVERAGE(D8,D96,D184,D272,D360,D448,D536,D624,D712,D800,D888,D976,D1064)</f>
        <v>0.50749646153846151</v>
      </c>
      <c r="E1152" s="2">
        <f t="shared" si="43"/>
        <v>0.62741315384615381</v>
      </c>
      <c r="F1152" s="2">
        <f t="shared" si="43"/>
        <v>0.46057753846153848</v>
      </c>
      <c r="G1152" s="2">
        <f t="shared" si="43"/>
        <v>0.50337476923076929</v>
      </c>
      <c r="H1152" s="2">
        <f t="shared" si="43"/>
        <v>0.50478492307692302</v>
      </c>
      <c r="I1152" s="2">
        <f t="shared" si="43"/>
        <v>0.39217969230769228</v>
      </c>
      <c r="J1152" s="2">
        <f t="shared" si="43"/>
        <v>0.510671923076923</v>
      </c>
      <c r="K1152" s="2">
        <f t="shared" si="43"/>
        <v>0.31062184615384614</v>
      </c>
      <c r="L1152" s="2">
        <f>AVERAGE(D1152:K1152)</f>
        <v>0.47714003846153841</v>
      </c>
      <c r="M1152" s="2">
        <f xml:space="preserve"> _xlfn.STDEV.S(D1152:K1152) / SQRT(COUNT(D1152:K1152))</f>
        <v>3.3085736798901921E-2</v>
      </c>
      <c r="N1152" s="2">
        <f>M1152*$N$2</f>
        <v>3.7028204357052577E-2</v>
      </c>
    </row>
    <row r="1153" spans="2:14" x14ac:dyDescent="0.55000000000000004">
      <c r="C1153" s="2" t="s">
        <v>27</v>
      </c>
      <c r="D1153" s="2">
        <f t="shared" ref="D1153:K1153" si="44">(1/COUNT(D9,D97,D185,D273,D361,D449,D537,D625,D713,D801,D889,D977,D1065))*SQRT(SUMSQ(D9,D97,D185,D273,D361,D449,D537,D625,D713,D801,D889,D977,D1065))</f>
        <v>1.8445638986848249E-4</v>
      </c>
      <c r="E1153" s="2">
        <f t="shared" si="44"/>
        <v>8.6376653513489101E-4</v>
      </c>
      <c r="F1153" s="2">
        <f t="shared" si="44"/>
        <v>2.7623719976234986E-3</v>
      </c>
      <c r="G1153" s="2">
        <f t="shared" si="44"/>
        <v>1.1722857685210221E-3</v>
      </c>
      <c r="H1153" s="2">
        <f t="shared" si="44"/>
        <v>2.0955596899638017E-4</v>
      </c>
      <c r="I1153" s="2">
        <f t="shared" si="44"/>
        <v>4.797736275868138E-4</v>
      </c>
      <c r="J1153" s="2">
        <f t="shared" si="44"/>
        <v>7.2256341831781416E-4</v>
      </c>
      <c r="K1153" s="2">
        <f t="shared" si="44"/>
        <v>1.3607724920602744E-4</v>
      </c>
      <c r="L1153" s="2">
        <f>(1/COUNT(D1153:K1153))*SQRT(SUMSQ(D1153:K1153))</f>
        <v>4.0696631295680585E-4</v>
      </c>
    </row>
    <row r="1154" spans="2:14" x14ac:dyDescent="0.55000000000000004">
      <c r="C1154" s="2" t="s">
        <v>28</v>
      </c>
      <c r="D1154" s="2">
        <f t="shared" ref="D1154:K1154" si="45">AVERAGE(D10,D98,D186,D274,D362,D450,D538,D626,D714,D802,D890,D978,D1066)</f>
        <v>2.2669943076923076</v>
      </c>
      <c r="E1154" s="2">
        <f t="shared" si="45"/>
        <v>2.3356437692307699</v>
      </c>
      <c r="F1154" s="2">
        <f t="shared" si="45"/>
        <v>2.3004871538461535</v>
      </c>
      <c r="G1154" s="2">
        <f t="shared" si="45"/>
        <v>3.3025121538461542</v>
      </c>
      <c r="H1154" s="2">
        <f t="shared" si="45"/>
        <v>1.7099535384615383</v>
      </c>
      <c r="I1154" s="2">
        <f t="shared" si="45"/>
        <v>3.4352721538461539</v>
      </c>
      <c r="J1154" s="2">
        <f t="shared" si="45"/>
        <v>3.109589769230769</v>
      </c>
      <c r="K1154" s="2">
        <f t="shared" si="45"/>
        <v>2.8507223076923074</v>
      </c>
      <c r="L1154" s="2">
        <f>AVERAGE(D1154:K1154)</f>
        <v>2.6638968942307693</v>
      </c>
      <c r="M1154" s="2">
        <f xml:space="preserve"> _xlfn.STDEV.S(D1154:K1154) / SQRT(COUNT(D1154:K1154))</f>
        <v>0.21312938129543654</v>
      </c>
      <c r="N1154" s="2">
        <f>M1154*$N$2</f>
        <v>0.23852569259879755</v>
      </c>
    </row>
    <row r="1155" spans="2:14" x14ac:dyDescent="0.55000000000000004">
      <c r="C1155" s="2" t="s">
        <v>29</v>
      </c>
      <c r="D1155" s="2">
        <f t="shared" ref="D1155:K1155" si="46">(1/COUNT(D11,D99,D187,D275,D363,D451,D539,D627,D715,D803,D891,D979,D1067))*SQRT(SUMSQ(D11,D99,D187,D275,D363,D451,D539,D627,D715,D803,D891,D979,D1067))</f>
        <v>1.9394036645228082E-3</v>
      </c>
      <c r="E1155" s="2">
        <f t="shared" si="46"/>
        <v>5.3018521755254806E-3</v>
      </c>
      <c r="F1155" s="2">
        <f t="shared" si="46"/>
        <v>2.7988714935270088E-2</v>
      </c>
      <c r="G1155" s="2">
        <f t="shared" si="46"/>
        <v>1.7003914850660738E-2</v>
      </c>
      <c r="H1155" s="2">
        <f t="shared" si="46"/>
        <v>1.8360279000342403E-3</v>
      </c>
      <c r="I1155" s="2">
        <f t="shared" si="46"/>
        <v>8.0841243816353707E-3</v>
      </c>
      <c r="J1155" s="2">
        <f t="shared" si="46"/>
        <v>7.113439245915119E-3</v>
      </c>
      <c r="K1155" s="2">
        <f t="shared" si="46"/>
        <v>1.4100529680764003E-3</v>
      </c>
      <c r="L1155" s="2">
        <f>(1/COUNT(D1155:K1155))*SQRT(SUMSQ(D1155:K1155))</f>
        <v>4.3762240069689764E-3</v>
      </c>
    </row>
    <row r="1156" spans="2:14" x14ac:dyDescent="0.55000000000000004">
      <c r="C1156" s="2" t="s">
        <v>30</v>
      </c>
      <c r="D1156" s="2">
        <f t="shared" ref="D1156:K1156" si="47">AVERAGE(D12,D100,D188,D276,D364,D452,D540,D628,D716,D804,D892,D980,D1068)</f>
        <v>13.777396692307692</v>
      </c>
      <c r="E1156" s="2">
        <f t="shared" si="47"/>
        <v>16.091468999999996</v>
      </c>
      <c r="F1156" s="2">
        <f t="shared" si="47"/>
        <v>14.261637538461535</v>
      </c>
      <c r="G1156" s="2">
        <f t="shared" si="47"/>
        <v>15.951824615384616</v>
      </c>
      <c r="H1156" s="2">
        <f t="shared" si="47"/>
        <v>10.736796769230768</v>
      </c>
      <c r="I1156" s="2">
        <f t="shared" si="47"/>
        <v>16.015152230769232</v>
      </c>
      <c r="J1156" s="2">
        <f t="shared" si="47"/>
        <v>17.936560999999998</v>
      </c>
      <c r="K1156" s="2">
        <f t="shared" si="47"/>
        <v>13.946513461538464</v>
      </c>
      <c r="L1156" s="2">
        <f>AVERAGE(D1156:K1156)</f>
        <v>14.839668913461537</v>
      </c>
      <c r="M1156" s="2">
        <f xml:space="preserve"> _xlfn.STDEV.S(D1156:K1156) / SQRT(COUNT(D1156:K1156))</f>
        <v>0.76613856009064629</v>
      </c>
      <c r="N1156" s="2">
        <f>M1156*$N$2</f>
        <v>0.85743096311507816</v>
      </c>
    </row>
    <row r="1157" spans="2:14" x14ac:dyDescent="0.55000000000000004">
      <c r="C1157" s="2" t="s">
        <v>31</v>
      </c>
      <c r="D1157" s="2">
        <f t="shared" ref="D1157:K1157" si="48">(1/COUNT(D13,D101,D189,D277,D365,D453,D541,D629,D717,D805,D893,D981,D1069))*SQRT(SUMSQ(D13,D101,D189,D277,D365,D453,D541,D629,D717,D805,D893,D981,D1069))</f>
        <v>4.8323285632493234E-3</v>
      </c>
      <c r="E1157" s="2">
        <f t="shared" si="48"/>
        <v>5.9883193105979638E-3</v>
      </c>
      <c r="F1157" s="2">
        <f t="shared" si="48"/>
        <v>7.224530361084025E-2</v>
      </c>
      <c r="G1157" s="2">
        <f t="shared" si="48"/>
        <v>5.5731868712571138E-2</v>
      </c>
      <c r="H1157" s="2">
        <f t="shared" si="48"/>
        <v>1.0626691355807679E-2</v>
      </c>
      <c r="I1157" s="2">
        <f t="shared" si="48"/>
        <v>1.2015790047330988E-2</v>
      </c>
      <c r="J1157" s="2">
        <f t="shared" si="48"/>
        <v>1.3766153056763843E-2</v>
      </c>
      <c r="K1157" s="2">
        <f t="shared" si="48"/>
        <v>6.7721849406098241E-3</v>
      </c>
      <c r="L1157" s="2">
        <f>(1/COUNT(D1157:K1157))*SQRT(SUMSQ(D1157:K1157))</f>
        <v>1.1777435848113754E-2</v>
      </c>
    </row>
    <row r="1158" spans="2:14" x14ac:dyDescent="0.55000000000000004">
      <c r="B1158" s="2" t="s">
        <v>32</v>
      </c>
      <c r="C1158" s="2" t="s">
        <v>22</v>
      </c>
      <c r="D1158" s="2">
        <f>AVERAGE(D14,D102,D190,D278,D366,D454,D542,D630,D718,D806,D894,D982,D1070)</f>
        <v>0.83594023076923074</v>
      </c>
      <c r="E1158" s="2">
        <f t="shared" ref="E1158:K1158" si="49">AVERAGE(E14,E102,E190,E278,E366,E454,E542,E630,E718,E806,E894,E982,E1070)</f>
        <v>0.88397246153846176</v>
      </c>
      <c r="F1158" s="2">
        <f t="shared" si="49"/>
        <v>0.75169007692307699</v>
      </c>
      <c r="G1158" s="2">
        <f t="shared" si="49"/>
        <v>0.85192669230769225</v>
      </c>
      <c r="H1158" s="2">
        <f t="shared" si="49"/>
        <v>0.82864999999999989</v>
      </c>
      <c r="I1158" s="2">
        <f t="shared" si="49"/>
        <v>0.87284384615384603</v>
      </c>
      <c r="J1158" s="2">
        <f t="shared" si="49"/>
        <v>0.89038630769230764</v>
      </c>
      <c r="K1158" s="2">
        <f t="shared" si="49"/>
        <v>0.73873284615384616</v>
      </c>
      <c r="L1158" s="2">
        <f>AVERAGE(D1158:K1158)</f>
        <v>0.83176780769230774</v>
      </c>
      <c r="M1158" s="2">
        <f xml:space="preserve"> _xlfn.STDEV.S(D1158:K1158) / SQRT(COUNT(D1158:K1158))</f>
        <v>2.0419770209472238E-2</v>
      </c>
      <c r="N1158" s="2">
        <f>M1158*$N$2</f>
        <v>2.2852972228972299E-2</v>
      </c>
    </row>
    <row r="1159" spans="2:14" x14ac:dyDescent="0.55000000000000004">
      <c r="C1159" s="2" t="s">
        <v>23</v>
      </c>
      <c r="D1159" s="2">
        <f>(1/COUNT(D15,D103,D191,D279,D367,D455,D543,D631,D719,D807,D895,D983,D1071))*SQRT(SUMSQ(D15,D103,D191,D279,D367,D455,D543,D631,D719,D807,D895,D983,D1071))</f>
        <v>5.0042816578648537E-4</v>
      </c>
      <c r="E1159" s="2">
        <f t="shared" ref="E1159:K1159" si="50">(1/COUNT(E15,E103,E191,E279,E367,E455,E543,E631,E719,E807,E895,E983,E1071))*SQRT(SUMSQ(E15,E103,E191,E279,E367,E455,E543,E631,E719,E807,E895,E983,E1071))</f>
        <v>1.1192045119838335E-3</v>
      </c>
      <c r="F1159" s="2">
        <f t="shared" si="50"/>
        <v>8.8659874315326381E-4</v>
      </c>
      <c r="G1159" s="2">
        <f t="shared" si="50"/>
        <v>1.0973037504310552E-3</v>
      </c>
      <c r="H1159" s="2">
        <f t="shared" si="50"/>
        <v>2.1234177541359784E-4</v>
      </c>
      <c r="I1159" s="2">
        <f t="shared" si="50"/>
        <v>4.3506340420733326E-4</v>
      </c>
      <c r="J1159" s="2">
        <f t="shared" si="50"/>
        <v>8.0793401511575506E-4</v>
      </c>
      <c r="K1159" s="2">
        <f t="shared" si="50"/>
        <v>2.4420047056155568E-4</v>
      </c>
      <c r="L1159" s="2">
        <f>(1/COUNT(D1159:K1159))*SQRT(SUMSQ(D1159:K1159))</f>
        <v>2.6338957537677871E-4</v>
      </c>
    </row>
    <row r="1160" spans="2:14" x14ac:dyDescent="0.55000000000000004">
      <c r="C1160" s="2" t="s">
        <v>24</v>
      </c>
      <c r="D1160" s="2">
        <f>AVERAGE(D16,D104,D192,D280,D368,D456,D544,D632,D720,D808,D896,D984,D1072)</f>
        <v>0.55130607692307698</v>
      </c>
      <c r="E1160" s="2">
        <f t="shared" ref="E1160:K1160" si="51">AVERAGE(E16,E104,E192,E280,E368,E456,E544,E632,E720,E808,E896,E984,E1072)</f>
        <v>0.46379507692307698</v>
      </c>
      <c r="F1160" s="2">
        <f t="shared" si="51"/>
        <v>0.65966915384615388</v>
      </c>
      <c r="G1160" s="2">
        <f t="shared" si="51"/>
        <v>0.52265607692307692</v>
      </c>
      <c r="H1160" s="2">
        <f t="shared" si="51"/>
        <v>0.56052876923076933</v>
      </c>
      <c r="I1160" s="2">
        <f t="shared" si="51"/>
        <v>0.49023692307692307</v>
      </c>
      <c r="J1160" s="2">
        <f t="shared" si="51"/>
        <v>0.44822553846153856</v>
      </c>
      <c r="K1160" s="2">
        <f t="shared" si="51"/>
        <v>0.68629238461538455</v>
      </c>
      <c r="L1160" s="2">
        <f>AVERAGE(D1160:K1160)</f>
        <v>0.54783875000000015</v>
      </c>
      <c r="M1160" s="2">
        <f xml:space="preserve"> _xlfn.STDEV.S(D1160:K1160) / SQRT(COUNT(D1160:K1160))</f>
        <v>3.0702133328656699E-2</v>
      </c>
      <c r="N1160" s="2">
        <f>M1160*$N$2</f>
        <v>3.4360572774933811E-2</v>
      </c>
    </row>
    <row r="1161" spans="2:14" x14ac:dyDescent="0.55000000000000004">
      <c r="C1161" s="2" t="s">
        <v>25</v>
      </c>
      <c r="D1161" s="2">
        <f>(1/COUNT(D17,D105,D193,D281,D369,D457,D545,D633,D721,D809,D897,D985,D1073))*SQRT(SUMSQ(D17,D105,D193,D281,D369,D457,D545,D633,D721,D809,D897,D985,D1073))</f>
        <v>7.0254922546479507E-4</v>
      </c>
      <c r="E1161" s="2">
        <f t="shared" ref="E1161:K1161" si="52">(1/COUNT(E17,E105,E193,E281,E369,E457,E545,E633,E721,E809,E897,E985,E1073))*SQRT(SUMSQ(E17,E105,E193,E281,E369,E457,E545,E633,E721,E809,E897,E985,E1073))</f>
        <v>2.0587425256651808E-3</v>
      </c>
      <c r="F1161" s="2">
        <f t="shared" si="52"/>
        <v>1.0099370857433465E-3</v>
      </c>
      <c r="G1161" s="2">
        <f t="shared" si="52"/>
        <v>1.7008139419374354E-3</v>
      </c>
      <c r="H1161" s="2">
        <f t="shared" si="52"/>
        <v>3.1943232747221989E-4</v>
      </c>
      <c r="I1161" s="2">
        <f t="shared" si="52"/>
        <v>7.816265054889325E-4</v>
      </c>
      <c r="J1161" s="2">
        <f t="shared" si="52"/>
        <v>1.4634917413238373E-3</v>
      </c>
      <c r="K1161" s="2">
        <f t="shared" si="52"/>
        <v>3.1577425274747286E-4</v>
      </c>
      <c r="L1161" s="2">
        <f>(1/COUNT(D1161:K1161))*SQRT(SUMSQ(D1161:K1161))</f>
        <v>4.2572063251933507E-4</v>
      </c>
    </row>
    <row r="1162" spans="2:14" x14ac:dyDescent="0.55000000000000004">
      <c r="C1162" s="2" t="s">
        <v>26</v>
      </c>
      <c r="D1162" s="2">
        <f>AVERAGE(D18,D106,D194,D282,D370,D458,D546,D634,D722,D810,D898,D986,D1074)</f>
        <v>0.49079530769230761</v>
      </c>
      <c r="E1162" s="2">
        <f t="shared" ref="E1162:K1162" si="53">AVERAGE(E18,E106,E194,E282,E370,E458,E546,E634,E722,E810,E898,E986,E1074)</f>
        <v>0.57914476923076919</v>
      </c>
      <c r="F1162" s="2">
        <f t="shared" si="53"/>
        <v>0.45893692307692313</v>
      </c>
      <c r="G1162" s="2">
        <f t="shared" si="53"/>
        <v>0.5060133846153847</v>
      </c>
      <c r="H1162" s="2">
        <f t="shared" si="53"/>
        <v>0.48917999999999995</v>
      </c>
      <c r="I1162" s="2">
        <f t="shared" si="53"/>
        <v>0.38743307692307688</v>
      </c>
      <c r="J1162" s="2">
        <f t="shared" si="53"/>
        <v>0.52236738461538457</v>
      </c>
      <c r="K1162" s="2">
        <f t="shared" si="53"/>
        <v>0.30787300000000006</v>
      </c>
      <c r="L1162" s="2">
        <f>AVERAGE(D1162:K1162)</f>
        <v>0.46771798076923077</v>
      </c>
      <c r="M1162" s="2">
        <f xml:space="preserve"> _xlfn.STDEV.S(D1162:K1162) / SQRT(COUNT(D1162:K1162))</f>
        <v>2.9861404978310864E-2</v>
      </c>
      <c r="N1162" s="2">
        <f>M1162*$N$2</f>
        <v>3.3419663967172081E-2</v>
      </c>
    </row>
    <row r="1163" spans="2:14" x14ac:dyDescent="0.55000000000000004">
      <c r="C1163" s="2" t="s">
        <v>27</v>
      </c>
      <c r="D1163" s="2">
        <f>(1/COUNT(D19,D107,D195,D283,D371,D459,D547,D635,D723,D811,D899,D987,D1075))*SQRT(SUMSQ(D19,D107,D195,D283,D371,D459,D547,D635,D723,D811,D899,D987,D1075))</f>
        <v>7.7382852480301892E-4</v>
      </c>
      <c r="E1163" s="2">
        <f t="shared" ref="E1163:K1163" si="54">(1/COUNT(E19,E107,E195,E283,E371,E459,E547,E635,E723,E811,E899,E987,E1075))*SQRT(SUMSQ(E19,E107,E195,E283,E371,E459,E547,E635,E723,E811,E899,E987,E1075))</f>
        <v>2.2162179575806523E-3</v>
      </c>
      <c r="F1163" s="2">
        <f t="shared" si="54"/>
        <v>5.7782045592895111E-4</v>
      </c>
      <c r="G1163" s="2">
        <f t="shared" si="54"/>
        <v>2.00650236472449E-3</v>
      </c>
      <c r="H1163" s="2">
        <f t="shared" si="54"/>
        <v>2.4570033944773816E-4</v>
      </c>
      <c r="I1163" s="2">
        <f t="shared" si="54"/>
        <v>7.0397438512437554E-4</v>
      </c>
      <c r="J1163" s="2">
        <f t="shared" si="54"/>
        <v>1.4070110520503088E-3</v>
      </c>
      <c r="K1163" s="2">
        <f t="shared" si="54"/>
        <v>1.855431495772064E-4</v>
      </c>
      <c r="L1163" s="2">
        <f>(1/COUNT(D1163:K1163))*SQRT(SUMSQ(D1163:K1163))</f>
        <v>4.4088717010597314E-4</v>
      </c>
    </row>
    <row r="1164" spans="2:14" ht="14.5" customHeight="1" x14ac:dyDescent="0.55000000000000004">
      <c r="C1164" s="2" t="s">
        <v>28</v>
      </c>
      <c r="D1164" s="2">
        <f>AVERAGE(D20,D108,D196,D284,D372,D460,D548,D636,D724,D812,D900,D988,D1076)</f>
        <v>2.623367</v>
      </c>
      <c r="E1164" s="2">
        <f t="shared" ref="E1164:K1164" si="55">AVERAGE(E20,E108,E196,E284,E372,E460,E548,E636,E724,E812,E900,E988,E1076)</f>
        <v>2.7096192307692308</v>
      </c>
      <c r="F1164" s="2">
        <f t="shared" si="55"/>
        <v>2.3396502307692306</v>
      </c>
      <c r="G1164" s="2">
        <f t="shared" si="55"/>
        <v>3.4563439230769228</v>
      </c>
      <c r="H1164" s="2">
        <f t="shared" si="55"/>
        <v>1.8213981538461537</v>
      </c>
      <c r="I1164" s="2">
        <f t="shared" si="55"/>
        <v>3.6973427692307701</v>
      </c>
      <c r="J1164" s="2">
        <f t="shared" si="55"/>
        <v>3.0622566153846149</v>
      </c>
      <c r="K1164" s="2">
        <f t="shared" si="55"/>
        <v>2.9330956923076923</v>
      </c>
      <c r="L1164" s="2">
        <f>AVERAGE(D1164:K1164)</f>
        <v>2.8303842019230769</v>
      </c>
      <c r="M1164" s="2">
        <f xml:space="preserve"> _xlfn.STDEV.S(D1164:K1164) / SQRT(COUNT(D1164:K1164))</f>
        <v>0.21230327751847561</v>
      </c>
      <c r="N1164" s="2">
        <f>M1164*$N$2</f>
        <v>0.23760115101583792</v>
      </c>
    </row>
    <row r="1165" spans="2:14" x14ac:dyDescent="0.55000000000000004">
      <c r="C1165" s="2" t="s">
        <v>29</v>
      </c>
      <c r="D1165" s="2">
        <f>(1/COUNT(D21,D109,D197,D285,D373,D461,D549,D637,D725,D813,D901,D989,D1077))*SQRT(SUMSQ(D21,D109,D197,D285,D373,D461,D549,D637,D725,D813,D901,D989,D1077))</f>
        <v>1.5467008518228681E-2</v>
      </c>
      <c r="E1165" s="2">
        <f t="shared" ref="E1165:K1165" si="56">(1/COUNT(E21,E109,E197,E285,E373,E461,E549,E637,E725,E813,E901,E989,E1077))*SQRT(SUMSQ(E21,E109,E197,E285,E373,E461,E549,E637,E725,E813,E901,E989,E1077))</f>
        <v>1.7561640972274011E-2</v>
      </c>
      <c r="F1165" s="2">
        <f t="shared" si="56"/>
        <v>5.6102945697853804E-3</v>
      </c>
      <c r="G1165" s="2">
        <f t="shared" si="56"/>
        <v>2.8045141777279226E-2</v>
      </c>
      <c r="H1165" s="2">
        <f t="shared" si="56"/>
        <v>2.0288613969533104E-3</v>
      </c>
      <c r="I1165" s="2">
        <f t="shared" si="56"/>
        <v>1.4487366119991397E-2</v>
      </c>
      <c r="J1165" s="2">
        <f t="shared" si="56"/>
        <v>1.5714581872076687E-2</v>
      </c>
      <c r="K1165" s="2">
        <f t="shared" si="56"/>
        <v>1.8287146794123531E-3</v>
      </c>
      <c r="L1165" s="2">
        <f>(1/COUNT(D1165:K1165))*SQRT(SUMSQ(D1165:K1165))</f>
        <v>5.3472208100696587E-3</v>
      </c>
    </row>
    <row r="1166" spans="2:14" x14ac:dyDescent="0.55000000000000004">
      <c r="C1166" s="2" t="s">
        <v>30</v>
      </c>
      <c r="D1166" s="2">
        <f>AVERAGE(D22,D110,D198,D286,D374,D462,D550,D638,D726,D814,D902,D990,D1078)</f>
        <v>15.724496384615385</v>
      </c>
      <c r="E1166" s="2">
        <f t="shared" ref="E1166:K1166" si="57">AVERAGE(E22,E110,E198,E286,E374,E462,E550,E638,E726,E814,E902,E990,E1078)</f>
        <v>16.639699538461539</v>
      </c>
      <c r="F1166" s="2">
        <f t="shared" si="57"/>
        <v>14.629221076923075</v>
      </c>
      <c r="G1166" s="2">
        <f t="shared" si="57"/>
        <v>16.426709692307693</v>
      </c>
      <c r="H1166" s="2">
        <f t="shared" si="57"/>
        <v>11.441755923076924</v>
      </c>
      <c r="I1166" s="2">
        <f t="shared" si="57"/>
        <v>16.880405307692307</v>
      </c>
      <c r="J1166" s="2">
        <f t="shared" si="57"/>
        <v>18.545328230769233</v>
      </c>
      <c r="K1166" s="2">
        <f t="shared" si="57"/>
        <v>14.192992000000002</v>
      </c>
      <c r="L1166" s="2">
        <f>AVERAGE(D1166:K1166)</f>
        <v>15.56007601923077</v>
      </c>
      <c r="M1166" s="2">
        <f xml:space="preserve"> _xlfn.STDEV.S(D1166:K1166) / SQRT(COUNT(D1166:K1166))</f>
        <v>0.75940114062290398</v>
      </c>
      <c r="N1166" s="2">
        <f>M1166*$N$2</f>
        <v>0.84989071861615484</v>
      </c>
    </row>
    <row r="1167" spans="2:14" x14ac:dyDescent="0.55000000000000004">
      <c r="C1167" s="2" t="s">
        <v>31</v>
      </c>
      <c r="D1167" s="2">
        <f>(1/COUNT(D23,D111,D199,D287,D375,D463,D551,D639,D727,D815,D903,D991,D1079))*SQRT(SUMSQ(D23,D111,D199,D287,D375,D463,D551,D639,D727,D815,D903,D991,D1079))</f>
        <v>1.9597948959222341E-2</v>
      </c>
      <c r="E1167" s="2">
        <f t="shared" ref="E1167:K1167" si="58">(1/COUNT(E23,E111,E199,E287,E375,E463,E551,E639,E727,E815,E903,E991,E1079))*SQRT(SUMSQ(E23,E111,E199,E287,E375,E463,E551,E639,E727,E815,E903,E991,E1079))</f>
        <v>1.8609574160096152E-2</v>
      </c>
      <c r="F1167" s="2">
        <f t="shared" si="58"/>
        <v>1.3408915770120176E-2</v>
      </c>
      <c r="G1167" s="2">
        <f t="shared" si="58"/>
        <v>5.7627477394229965E-2</v>
      </c>
      <c r="H1167" s="2">
        <f t="shared" si="58"/>
        <v>1.2044041429627344E-2</v>
      </c>
      <c r="I1167" s="2">
        <f t="shared" si="58"/>
        <v>2.4355089254925442E-2</v>
      </c>
      <c r="J1167" s="2">
        <f t="shared" si="58"/>
        <v>3.25922555230969E-2</v>
      </c>
      <c r="K1167" s="2">
        <f t="shared" si="58"/>
        <v>6.8069928019586709E-3</v>
      </c>
      <c r="L1167" s="2">
        <f>(1/COUNT(D1167:K1167))*SQRT(SUMSQ(D1167:K1167))</f>
        <v>9.7451435055844193E-3</v>
      </c>
    </row>
    <row r="1168" spans="2:14" x14ac:dyDescent="0.55000000000000004">
      <c r="B1168" s="2" t="s">
        <v>33</v>
      </c>
      <c r="C1168" s="2" t="s">
        <v>22</v>
      </c>
      <c r="D1168" s="2">
        <f>AVERAGE(D24,D112,D200,D288,D376,D464,D552,D640,D728,D816,D904,D992,D1080)</f>
        <v>0.85256561538461539</v>
      </c>
      <c r="E1168" s="2">
        <f t="shared" ref="E1168:K1168" si="59">AVERAGE(E24,E112,E200,E288,E376,E464,E552,E640,E728,E816,E904,E992,E1080)</f>
        <v>0.90635061538461537</v>
      </c>
      <c r="F1168" s="2">
        <f t="shared" si="59"/>
        <v>0.75592192307692307</v>
      </c>
      <c r="G1168" s="2">
        <f t="shared" si="59"/>
        <v>0.85606576923076916</v>
      </c>
      <c r="H1168" s="2">
        <f t="shared" si="59"/>
        <v>0.84045269230769237</v>
      </c>
      <c r="I1168" s="2">
        <f t="shared" si="59"/>
        <v>0.87911923076923082</v>
      </c>
      <c r="J1168" s="2">
        <f t="shared" si="59"/>
        <v>0.879081</v>
      </c>
      <c r="K1168" s="2">
        <f t="shared" si="59"/>
        <v>0.74171184615384611</v>
      </c>
      <c r="L1168" s="2">
        <f>AVERAGE(D1168:K1168)</f>
        <v>0.83890858653846145</v>
      </c>
      <c r="M1168" s="2">
        <f xml:space="preserve"> _xlfn.STDEV.S(D1168:K1168) / SQRT(COUNT(D1168:K1168))</f>
        <v>2.0957612936167977E-2</v>
      </c>
      <c r="N1168" s="2">
        <f>M1168*$N$2</f>
        <v>2.3454903826176599E-2</v>
      </c>
    </row>
    <row r="1169" spans="2:14" x14ac:dyDescent="0.55000000000000004">
      <c r="C1169" s="2" t="s">
        <v>23</v>
      </c>
      <c r="D1169" s="2">
        <f>(1/COUNT(D25,D113,D201,D289,D377,D465,D553,D641,D729,D817,D905,D993,D1081))*SQRT(SUMSQ(D25,D113,D201,D289,D377,D465,D553,D641,D729,D817,D905,D993,D1081))</f>
        <v>5.2484937258734099E-5</v>
      </c>
      <c r="E1169" s="2">
        <f t="shared" ref="E1169:K1169" si="60">(1/COUNT(E25,E113,E201,E289,E377,E465,E553,E641,E729,E817,E905,E993,E1081))*SQRT(SUMSQ(E25,E113,E201,E289,E377,E465,E553,E641,E729,E817,E905,E993,E1081))</f>
        <v>9.5355671787323873E-5</v>
      </c>
      <c r="F1169" s="2">
        <f t="shared" si="60"/>
        <v>1.413510255570702E-4</v>
      </c>
      <c r="G1169" s="2">
        <f t="shared" si="60"/>
        <v>1.4839067659192166E-4</v>
      </c>
      <c r="H1169" s="2">
        <f t="shared" si="60"/>
        <v>6.2913625395100465E-5</v>
      </c>
      <c r="I1169" s="2">
        <f t="shared" si="60"/>
        <v>5.0227588543424762E-5</v>
      </c>
      <c r="J1169" s="2">
        <f t="shared" si="60"/>
        <v>1.5159294217853019E-4</v>
      </c>
      <c r="K1169" s="2">
        <f t="shared" si="60"/>
        <v>5.0455850992806412E-5</v>
      </c>
      <c r="L1169" s="2">
        <f>(1/COUNT(D1169:K1169))*SQRT(SUMSQ(D1169:K1169))</f>
        <v>3.6626157412493242E-5</v>
      </c>
    </row>
    <row r="1170" spans="2:14" x14ac:dyDescent="0.55000000000000004">
      <c r="C1170" s="2" t="s">
        <v>24</v>
      </c>
      <c r="D1170" s="2">
        <f>AVERAGE(D26,D114,D202,D290,D378,D466,D554,D642,D730,D818,D906,D994,D1082)</f>
        <v>0.52385300000000001</v>
      </c>
      <c r="E1170" s="2">
        <f t="shared" ref="E1170:K1170" si="61">AVERAGE(E26,E114,E202,E290,E378,E466,E554,E642,E730,E818,E906,E994,E1082)</f>
        <v>0.41913253846153853</v>
      </c>
      <c r="F1170" s="2">
        <f t="shared" si="61"/>
        <v>0.65456753846153848</v>
      </c>
      <c r="G1170" s="2">
        <f t="shared" si="61"/>
        <v>0.5158776923076922</v>
      </c>
      <c r="H1170" s="2">
        <f t="shared" si="61"/>
        <v>0.5427496153846153</v>
      </c>
      <c r="I1170" s="2">
        <f t="shared" si="61"/>
        <v>0.47909269230769225</v>
      </c>
      <c r="J1170" s="2">
        <f t="shared" si="61"/>
        <v>0.46922584615384622</v>
      </c>
      <c r="K1170" s="2">
        <f t="shared" si="61"/>
        <v>0.6822761538461537</v>
      </c>
      <c r="L1170" s="2">
        <f>AVERAGE(D1170:K1170)</f>
        <v>0.53584688461538454</v>
      </c>
      <c r="M1170" s="2">
        <f xml:space="preserve"> _xlfn.STDEV.S(D1170:K1170) / SQRT(COUNT(D1170:K1170))</f>
        <v>3.201786160184901E-2</v>
      </c>
      <c r="N1170" s="2">
        <f>M1170*$N$2</f>
        <v>3.5833082082320125E-2</v>
      </c>
    </row>
    <row r="1171" spans="2:14" x14ac:dyDescent="0.55000000000000004">
      <c r="C1171" s="2" t="s">
        <v>25</v>
      </c>
      <c r="D1171" s="2">
        <f>(1/COUNT(D27,D115,D203,D291,D379,D467,D555,D643,D731,D819,D907,D995,D1083))*SQRT(SUMSQ(D27,D115,D203,D291,D379,D467,D555,D643,D731,D819,D907,D995,D1083))</f>
        <v>8.3654686114262243E-5</v>
      </c>
      <c r="E1171" s="2">
        <f t="shared" ref="E1171:K1171" si="62">(1/COUNT(E27,E115,E203,E291,E379,E467,E555,E643,E731,E819,E907,E995,E1083))*SQRT(SUMSQ(E27,E115,E203,E291,E379,E467,E555,E643,E731,E819,E907,E995,E1083))</f>
        <v>2.1410149393253196E-4</v>
      </c>
      <c r="F1171" s="2">
        <f t="shared" si="62"/>
        <v>1.6743180188967587E-4</v>
      </c>
      <c r="G1171" s="2">
        <f t="shared" si="62"/>
        <v>2.4463998424928646E-4</v>
      </c>
      <c r="H1171" s="2">
        <f t="shared" si="62"/>
        <v>9.8266152292590211E-5</v>
      </c>
      <c r="I1171" s="2">
        <f t="shared" si="62"/>
        <v>9.7700241955209655E-5</v>
      </c>
      <c r="J1171" s="2">
        <f t="shared" si="62"/>
        <v>2.7892850773278004E-4</v>
      </c>
      <c r="K1171" s="2">
        <f t="shared" si="62"/>
        <v>6.1901333975359482E-5</v>
      </c>
      <c r="L1171" s="2">
        <f>(1/COUNT(D1171:K1171))*SQRT(SUMSQ(D1171:K1171))</f>
        <v>6.1435198065852548E-5</v>
      </c>
    </row>
    <row r="1172" spans="2:14" x14ac:dyDescent="0.55000000000000004">
      <c r="C1172" s="2" t="s">
        <v>26</v>
      </c>
      <c r="D1172" s="2">
        <f>AVERAGE(D28,D116,D204,D292,D380,D468,D556,D644,D732,D820,D908,D996,D1084)</f>
        <v>0.50717423076923085</v>
      </c>
      <c r="E1172" s="2">
        <f t="shared" ref="E1172:K1172" si="63">AVERAGE(E28,E116,E204,E292,E380,E468,E556,E644,E732,E820,E908,E996,E1084)</f>
        <v>0.62376584615384623</v>
      </c>
      <c r="F1172" s="2">
        <f t="shared" si="63"/>
        <v>0.46256007692307688</v>
      </c>
      <c r="G1172" s="2">
        <f t="shared" si="63"/>
        <v>0.50221446153846161</v>
      </c>
      <c r="H1172" s="2">
        <f t="shared" si="63"/>
        <v>0.50428146153846154</v>
      </c>
      <c r="I1172" s="2">
        <f t="shared" si="63"/>
        <v>0.39500600000000002</v>
      </c>
      <c r="J1172" s="2">
        <f t="shared" si="63"/>
        <v>0.5005487692307693</v>
      </c>
      <c r="K1172" s="2">
        <f t="shared" si="63"/>
        <v>0.31449100000000008</v>
      </c>
      <c r="L1172" s="2">
        <f>AVERAGE(D1172:K1172)</f>
        <v>0.47625523076923082</v>
      </c>
      <c r="M1172" s="2">
        <f xml:space="preserve"> _xlfn.STDEV.S(D1172:K1172) / SQRT(COUNT(D1172:K1172))</f>
        <v>3.2105171643981543E-2</v>
      </c>
      <c r="N1172" s="2">
        <f>M1172*$N$2</f>
        <v>3.5930795912970361E-2</v>
      </c>
    </row>
    <row r="1173" spans="2:14" x14ac:dyDescent="0.55000000000000004">
      <c r="C1173" s="2" t="s">
        <v>27</v>
      </c>
      <c r="D1173" s="2">
        <f>(1/COUNT(D29,D117,D205,D293,D381,D469,D557,D645,D733,D821,D909,D997,D1085))*SQRT(SUMSQ(D29,D117,D205,D293,D381,D469,D557,D645,D733,D821,D909,D997,D1085))</f>
        <v>9.4663277434676616E-5</v>
      </c>
      <c r="E1173" s="2">
        <f t="shared" ref="E1173:K1173" si="64">(1/COUNT(E29,E117,E205,E293,E381,E469,E557,E645,E733,E821,E909,E997,E1085))*SQRT(SUMSQ(E29,E117,E205,E293,E381,E469,E557,E645,E733,E821,E909,E997,E1085))</f>
        <v>2.1342332298251616E-4</v>
      </c>
      <c r="F1173" s="2">
        <f t="shared" si="64"/>
        <v>9.4534862546503934E-5</v>
      </c>
      <c r="G1173" s="2">
        <f t="shared" si="64"/>
        <v>2.8850264322520335E-4</v>
      </c>
      <c r="H1173" s="2">
        <f t="shared" si="64"/>
        <v>7.4485295002420674E-5</v>
      </c>
      <c r="I1173" s="2">
        <f t="shared" si="64"/>
        <v>9.264786678027136E-5</v>
      </c>
      <c r="J1173" s="2">
        <f t="shared" si="64"/>
        <v>2.6852672781363097E-4</v>
      </c>
      <c r="K1173" s="2">
        <f t="shared" si="64"/>
        <v>5.1475736801817039E-5</v>
      </c>
      <c r="L1173" s="2">
        <f>(1/COUNT(D1173:K1173))*SQRT(SUMSQ(D1173:K1173))</f>
        <v>6.066935332350517E-5</v>
      </c>
    </row>
    <row r="1174" spans="2:14" ht="14.5" customHeight="1" x14ac:dyDescent="0.55000000000000004">
      <c r="C1174" s="2" t="s">
        <v>28</v>
      </c>
      <c r="D1174" s="2">
        <f>AVERAGE(D30,D118,D206,D294,D382,D470,D558,D646,D734,D822,D910,D998,D1086)</f>
        <v>2.2728500769230768</v>
      </c>
      <c r="E1174" s="2">
        <f t="shared" ref="E1174:K1174" si="65">AVERAGE(E30,E118,E206,E294,E382,E470,E558,E646,E734,E822,E910,E998,E1086)</f>
        <v>2.352648846153846</v>
      </c>
      <c r="F1174" s="2">
        <f t="shared" si="65"/>
        <v>2.2591653076923075</v>
      </c>
      <c r="G1174" s="2">
        <f t="shared" si="65"/>
        <v>3.4564903846153845</v>
      </c>
      <c r="H1174" s="2">
        <f t="shared" si="65"/>
        <v>1.7113036153846155</v>
      </c>
      <c r="I1174" s="2">
        <f t="shared" si="65"/>
        <v>3.3753553846153848</v>
      </c>
      <c r="J1174" s="2">
        <f t="shared" si="65"/>
        <v>3.1938710769230765</v>
      </c>
      <c r="K1174" s="2">
        <f t="shared" si="65"/>
        <v>2.8061226923076918</v>
      </c>
      <c r="L1174" s="2">
        <f>AVERAGE(D1174:K1174)</f>
        <v>2.6784759230769231</v>
      </c>
      <c r="M1174" s="2">
        <f xml:space="preserve"> _xlfn.STDEV.S(D1174:K1174) / SQRT(COUNT(D1174:K1174))</f>
        <v>0.22179513651781751</v>
      </c>
      <c r="N1174" s="2">
        <f>M1174*$N$2</f>
        <v>0.24822405166007039</v>
      </c>
    </row>
    <row r="1175" spans="2:14" x14ac:dyDescent="0.55000000000000004">
      <c r="C1175" s="2" t="s">
        <v>29</v>
      </c>
      <c r="D1175" s="2">
        <f>(1/COUNT(D31,D119,D207,D295,D383,D471,D559,D647,D735,D823,D911,D999,D1087))*SQRT(SUMSQ(D31,D119,D207,D295,D383,D471,D559,D647,D735,D823,D911,D999,D1087))</f>
        <v>9.9892454892142372E-4</v>
      </c>
      <c r="E1175" s="2">
        <f t="shared" ref="E1175:K1175" si="66">(1/COUNT(E31,E119,E207,E295,E383,E471,E559,E647,E735,E823,E911,E999,E1087))*SQRT(SUMSQ(E31,E119,E207,E295,E383,E471,E559,E647,E735,E823,E911,E999,E1087))</f>
        <v>1.269700500490862E-3</v>
      </c>
      <c r="F1175" s="2">
        <f t="shared" si="66"/>
        <v>8.5188931692093892E-4</v>
      </c>
      <c r="G1175" s="2">
        <f t="shared" si="66"/>
        <v>3.4634309852152548E-3</v>
      </c>
      <c r="H1175" s="2">
        <f t="shared" si="66"/>
        <v>5.7054004832751411E-4</v>
      </c>
      <c r="I1175" s="2">
        <f t="shared" si="66"/>
        <v>1.6005721868893596E-3</v>
      </c>
      <c r="J1175" s="2">
        <f t="shared" si="66"/>
        <v>2.487401874012367E-3</v>
      </c>
      <c r="K1175" s="2">
        <f t="shared" si="66"/>
        <v>5.18723233429358E-4</v>
      </c>
      <c r="L1175" s="2">
        <f>(1/COUNT(D1175:K1175))*SQRT(SUMSQ(D1175:K1175))</f>
        <v>6.2091978599477149E-4</v>
      </c>
    </row>
    <row r="1176" spans="2:14" x14ac:dyDescent="0.55000000000000004">
      <c r="C1176" s="2" t="s">
        <v>30</v>
      </c>
      <c r="D1176" s="2">
        <f>AVERAGE(D32,D120,D208,D296,D384,D472,D560,D648,D736,D824,D912,D1000,D1088)</f>
        <v>13.797267846153845</v>
      </c>
      <c r="E1176" s="2">
        <f t="shared" ref="E1176:K1176" si="67">AVERAGE(E32,E120,E208,E296,E384,E472,E560,E648,E736,E824,E912,E1000,E1088)</f>
        <v>16.057516230769231</v>
      </c>
      <c r="F1176" s="2">
        <f t="shared" si="67"/>
        <v>13.84889823076923</v>
      </c>
      <c r="G1176" s="2">
        <f t="shared" si="67"/>
        <v>16.212989923076922</v>
      </c>
      <c r="H1176" s="2">
        <f t="shared" si="67"/>
        <v>10.714364153846153</v>
      </c>
      <c r="I1176" s="2">
        <f t="shared" si="67"/>
        <v>15.971412307692308</v>
      </c>
      <c r="J1176" s="2">
        <f t="shared" si="67"/>
        <v>18.057294615384613</v>
      </c>
      <c r="K1176" s="2">
        <f t="shared" si="67"/>
        <v>13.794384076923079</v>
      </c>
      <c r="L1176" s="2">
        <f>AVERAGE(D1176:K1176)</f>
        <v>14.80676592307692</v>
      </c>
      <c r="M1176" s="2">
        <f xml:space="preserve"> _xlfn.STDEV.S(D1176:K1176) / SQRT(COUNT(D1176:K1176))</f>
        <v>0.79252587133960484</v>
      </c>
      <c r="N1176" s="2">
        <f>M1176*$N$2</f>
        <v>0.88696256337226265</v>
      </c>
    </row>
    <row r="1177" spans="2:14" x14ac:dyDescent="0.55000000000000004">
      <c r="C1177" s="2" t="s">
        <v>31</v>
      </c>
      <c r="D1177" s="2">
        <f>(1/COUNT(D33,D121,D209,D297,D385,D473,D561,D649,D737,D825,D913,D1001,D1089))*SQRT(SUMSQ(D33,D121,D209,D297,D385,D473,D561,D649,D737,D825,D913,D1001,D1089))</f>
        <v>2.0850467549707852E-3</v>
      </c>
      <c r="E1177" s="2">
        <f t="shared" ref="E1177:K1177" si="68">(1/COUNT(E33,E121,E209,E297,E385,E473,E561,E649,E737,E825,E913,E1001,E1089))*SQRT(SUMSQ(E33,E121,E209,E297,E385,E473,E561,E649,E737,E825,E913,E1001,E1089))</f>
        <v>1.7097594159281679E-3</v>
      </c>
      <c r="F1177" s="2">
        <f t="shared" si="68"/>
        <v>3.1961988101993164E-3</v>
      </c>
      <c r="G1177" s="2">
        <f t="shared" si="68"/>
        <v>1.3092405454529691E-2</v>
      </c>
      <c r="H1177" s="2">
        <f t="shared" si="68"/>
        <v>3.2664713684928313E-3</v>
      </c>
      <c r="I1177" s="2">
        <f t="shared" si="68"/>
        <v>2.8968501696369185E-3</v>
      </c>
      <c r="J1177" s="2">
        <f t="shared" si="68"/>
        <v>5.6391164180509129E-3</v>
      </c>
      <c r="K1177" s="2">
        <f t="shared" si="68"/>
        <v>2.3463144270392546E-3</v>
      </c>
      <c r="L1177" s="2">
        <f>(1/COUNT(D1177:K1177))*SQRT(SUMSQ(D1177:K1177))</f>
        <v>1.957612808548097E-3</v>
      </c>
    </row>
    <row r="1178" spans="2:14" x14ac:dyDescent="0.55000000000000004">
      <c r="B1178" s="2" t="s">
        <v>34</v>
      </c>
      <c r="C1178" s="2" t="s">
        <v>22</v>
      </c>
      <c r="D1178" s="2">
        <f>AVERAGE(D34,D122,D210,D298,D386,D474,D562,D650,D738,D826,D914,D1002,D1090)</f>
        <v>0.82613830769230756</v>
      </c>
      <c r="E1178" s="2">
        <f t="shared" ref="E1178:K1178" si="69">AVERAGE(E34,E122,E210,E298,E386,E474,E562,E650,E738,E826,E914,E1002,E1090)</f>
        <v>0.89539138461538448</v>
      </c>
      <c r="F1178" s="2">
        <f t="shared" si="69"/>
        <v>0.75714246153846154</v>
      </c>
      <c r="G1178" s="2">
        <f t="shared" si="69"/>
        <v>0.84253546153846159</v>
      </c>
      <c r="H1178" s="2">
        <f t="shared" si="69"/>
        <v>0.82469646153846143</v>
      </c>
      <c r="I1178" s="2">
        <f t="shared" si="69"/>
        <v>0.87646407692307693</v>
      </c>
      <c r="J1178" s="2">
        <f t="shared" si="69"/>
        <v>0.88947699999999996</v>
      </c>
      <c r="K1178" s="2">
        <f t="shared" si="69"/>
        <v>0.73936976923076914</v>
      </c>
      <c r="L1178" s="2">
        <f>AVERAGE(D1178:K1178)</f>
        <v>0.83140186538461536</v>
      </c>
      <c r="M1178" s="2">
        <f xml:space="preserve"> _xlfn.STDEV.S(D1178:K1178) / SQRT(COUNT(D1178:K1178))</f>
        <v>2.0563044593922108E-2</v>
      </c>
      <c r="N1178" s="2">
        <f>M1178*$N$2</f>
        <v>2.3013319064189724E-2</v>
      </c>
    </row>
    <row r="1179" spans="2:14" x14ac:dyDescent="0.55000000000000004">
      <c r="C1179" s="2" t="s">
        <v>23</v>
      </c>
      <c r="D1179" s="2">
        <f>(1/COUNT(D35,D123,D211,D299,D387,D475,D563,D651,D739,D827,D915,D1003,D1091))*SQRT(SUMSQ(D35,D123,D211,D299,D387,D475,D563,D651,D739,D827,D915,D1003,D1091))</f>
        <v>1.6163783921188987E-3</v>
      </c>
      <c r="E1179" s="2">
        <f t="shared" ref="E1179:K1179" si="70">(1/COUNT(E35,E123,E211,E299,E387,E475,E563,E651,E739,E827,E915,E1003,E1091))*SQRT(SUMSQ(E35,E123,E211,E299,E387,E475,E563,E651,E739,E827,E915,E1003,E1091))</f>
        <v>1.0474926077608422E-3</v>
      </c>
      <c r="F1179" s="2">
        <f t="shared" si="70"/>
        <v>1.1310750057529578E-3</v>
      </c>
      <c r="G1179" s="2">
        <f t="shared" si="70"/>
        <v>1.3551018586575988E-3</v>
      </c>
      <c r="H1179" s="2">
        <f t="shared" si="70"/>
        <v>3.691739299199558E-4</v>
      </c>
      <c r="I1179" s="2">
        <f t="shared" si="70"/>
        <v>5.8122396359577963E-4</v>
      </c>
      <c r="J1179" s="2">
        <f t="shared" si="70"/>
        <v>1.755950387486392E-3</v>
      </c>
      <c r="K1179" s="2">
        <f t="shared" si="70"/>
        <v>2.0300897756112709E-4</v>
      </c>
      <c r="L1179" s="2">
        <f>(1/COUNT(D1179:K1179))*SQRT(SUMSQ(D1179:K1179))</f>
        <v>4.0358233129362398E-4</v>
      </c>
    </row>
    <row r="1180" spans="2:14" x14ac:dyDescent="0.55000000000000004">
      <c r="C1180" s="2" t="s">
        <v>24</v>
      </c>
      <c r="D1180" s="2">
        <f>AVERAGE(D36,D124,D212,D300,D388,D476,D564,D652,D740,D828,D916,D1004,D1092)</f>
        <v>0.56598646153846155</v>
      </c>
      <c r="E1180" s="2">
        <f t="shared" ref="E1180:K1180" si="71">AVERAGE(E36,E124,E212,E300,E388,E476,E564,E652,E740,E828,E916,E1004,E1092)</f>
        <v>0.44131869230769233</v>
      </c>
      <c r="F1180" s="2">
        <f t="shared" si="71"/>
        <v>0.65345300000000006</v>
      </c>
      <c r="G1180" s="2">
        <f t="shared" si="71"/>
        <v>0.53783323076923073</v>
      </c>
      <c r="H1180" s="2">
        <f t="shared" si="71"/>
        <v>0.56627384615384624</v>
      </c>
      <c r="I1180" s="2">
        <f t="shared" si="71"/>
        <v>0.48281384615384609</v>
      </c>
      <c r="J1180" s="2">
        <f t="shared" si="71"/>
        <v>0.44978153846153851</v>
      </c>
      <c r="K1180" s="2">
        <f t="shared" si="71"/>
        <v>0.6853086153846154</v>
      </c>
      <c r="L1180" s="2">
        <f>AVERAGE(D1180:K1180)</f>
        <v>0.54784615384615398</v>
      </c>
      <c r="M1180" s="2">
        <f xml:space="preserve"> _xlfn.STDEV.S(D1180:K1180) / SQRT(COUNT(D1180:K1180))</f>
        <v>3.1626055436489046E-2</v>
      </c>
      <c r="N1180" s="2">
        <f>M1180*$N$2</f>
        <v>3.5394588635809257E-2</v>
      </c>
    </row>
    <row r="1181" spans="2:14" x14ac:dyDescent="0.55000000000000004">
      <c r="C1181" s="2" t="s">
        <v>25</v>
      </c>
      <c r="D1181" s="2">
        <f>(1/COUNT(D37,D125,D213,D301,D389,D477,D565,D653,D741,D829,D917,D1005,D1093))*SQRT(SUMSQ(D37,D125,D213,D301,D389,D477,D565,D653,D741,D829,D917,D1005,D1093))</f>
        <v>2.3152474531312564E-3</v>
      </c>
      <c r="E1181" s="2">
        <f t="shared" ref="E1181:K1181" si="72">(1/COUNT(E37,E125,E213,E301,E389,E477,E565,E653,E741,E829,E917,E1005,E1093))*SQRT(SUMSQ(E37,E125,E213,E301,E389,E477,E565,E653,E741,E829,E917,E1005,E1093))</f>
        <v>1.83716747987559E-3</v>
      </c>
      <c r="F1181" s="2">
        <f t="shared" si="72"/>
        <v>1.2794832282452735E-3</v>
      </c>
      <c r="G1181" s="2">
        <f t="shared" si="72"/>
        <v>2.0427516611454329E-3</v>
      </c>
      <c r="H1181" s="2">
        <f t="shared" si="72"/>
        <v>5.3577127947037771E-4</v>
      </c>
      <c r="I1181" s="2">
        <f t="shared" si="72"/>
        <v>1.0250560123243838E-3</v>
      </c>
      <c r="J1181" s="2">
        <f t="shared" si="72"/>
        <v>2.9059562338645253E-3</v>
      </c>
      <c r="K1181" s="2">
        <f t="shared" si="72"/>
        <v>2.4878633212709744E-4</v>
      </c>
      <c r="L1181" s="2">
        <f>(1/COUNT(D1181:K1181))*SQRT(SUMSQ(D1181:K1181))</f>
        <v>6.1732454191598045E-4</v>
      </c>
    </row>
    <row r="1182" spans="2:14" x14ac:dyDescent="0.55000000000000004">
      <c r="C1182" s="2" t="s">
        <v>26</v>
      </c>
      <c r="D1182" s="2">
        <f>AVERAGE(D38,D126,D214,D302,D390,D478,D566,D654,D742,D830,D918,D1006,D1094)</f>
        <v>0.471033076923077</v>
      </c>
      <c r="E1182" s="2">
        <f t="shared" ref="E1182:K1182" si="73">AVERAGE(E38,E126,E214,E302,E390,E478,E566,E654,E742,E830,E918,E1006,E1094)</f>
        <v>0.60283646153846149</v>
      </c>
      <c r="F1182" s="2">
        <f t="shared" si="73"/>
        <v>0.46233423076923069</v>
      </c>
      <c r="G1182" s="2">
        <f t="shared" si="73"/>
        <v>0.47691600000000012</v>
      </c>
      <c r="H1182" s="2">
        <f t="shared" si="73"/>
        <v>0.48413753846153845</v>
      </c>
      <c r="I1182" s="2">
        <f t="shared" si="73"/>
        <v>0.3917000769230769</v>
      </c>
      <c r="J1182" s="2">
        <f t="shared" si="73"/>
        <v>0.52070230769230774</v>
      </c>
      <c r="K1182" s="2">
        <f t="shared" si="73"/>
        <v>0.31152669230769237</v>
      </c>
      <c r="L1182" s="2">
        <f>AVERAGE(D1182:K1182)</f>
        <v>0.46514829807692309</v>
      </c>
      <c r="M1182" s="2">
        <f xml:space="preserve"> _xlfn.STDEV.S(D1182:K1182) / SQRT(COUNT(D1182:K1182))</f>
        <v>3.0349198903099537E-2</v>
      </c>
      <c r="N1182" s="2">
        <f>M1182*$N$2</f>
        <v>3.3965582990858542E-2</v>
      </c>
    </row>
    <row r="1183" spans="2:14" x14ac:dyDescent="0.55000000000000004">
      <c r="C1183" s="2" t="s">
        <v>27</v>
      </c>
      <c r="D1183" s="2">
        <f>(1/COUNT(D39,D127,D215,D303,D391,D479,D567,D655,D743,D831,D919,D1007,D1095))*SQRT(SUMSQ(D39,D127,D215,D303,D391,D479,D567,D655,D743,D831,D919,D1007,D1095))</f>
        <v>2.6066765584693034E-3</v>
      </c>
      <c r="E1183" s="2">
        <f t="shared" ref="E1183:K1183" si="74">(1/COUNT(E39,E127,E215,E303,E391,E479,E567,E655,E743,E831,E919,E1007,E1095))*SQRT(SUMSQ(E39,E127,E215,E303,E391,E479,E567,E655,E743,E831,E919,E1007,E1095))</f>
        <v>1.9222420495456393E-3</v>
      </c>
      <c r="F1183" s="2">
        <f t="shared" si="74"/>
        <v>7.6675757029039712E-4</v>
      </c>
      <c r="G1183" s="2">
        <f t="shared" si="74"/>
        <v>2.1585295605817691E-3</v>
      </c>
      <c r="H1183" s="2">
        <f t="shared" si="74"/>
        <v>4.1795144249544551E-4</v>
      </c>
      <c r="I1183" s="2">
        <f t="shared" si="74"/>
        <v>8.9727216125373406E-4</v>
      </c>
      <c r="J1183" s="2">
        <f t="shared" si="74"/>
        <v>2.6115274101952642E-3</v>
      </c>
      <c r="K1183" s="2">
        <f t="shared" si="74"/>
        <v>1.8956596328948357E-4</v>
      </c>
      <c r="L1183" s="2">
        <f>(1/COUNT(D1183:K1183))*SQRT(SUMSQ(D1183:K1183))</f>
        <v>6.068970209869547E-4</v>
      </c>
    </row>
    <row r="1184" spans="2:14" ht="14.5" customHeight="1" x14ac:dyDescent="0.55000000000000004">
      <c r="C1184" s="2" t="s">
        <v>28</v>
      </c>
      <c r="D1184" s="2">
        <f>AVERAGE(D40,D128,D216,D304,D392,D480,D568,D656,D744,D832,D920,D1008,D1096)</f>
        <v>2.8093346153846159</v>
      </c>
      <c r="E1184" s="2">
        <f t="shared" ref="E1184:K1184" si="75">AVERAGE(E40,E128,E216,E304,E392,E480,E568,E656,E744,E832,E920,E1008,E1096)</f>
        <v>2.5593963846153849</v>
      </c>
      <c r="F1184" s="2">
        <f t="shared" si="75"/>
        <v>2.2853188461538463</v>
      </c>
      <c r="G1184" s="2">
        <f t="shared" si="75"/>
        <v>3.7807193846153848</v>
      </c>
      <c r="H1184" s="2">
        <f t="shared" si="75"/>
        <v>1.8721402307692308</v>
      </c>
      <c r="I1184" s="2">
        <f t="shared" si="75"/>
        <v>3.509214538461539</v>
      </c>
      <c r="J1184" s="2">
        <f t="shared" si="75"/>
        <v>3.0851395384615383</v>
      </c>
      <c r="K1184" s="2">
        <f t="shared" si="75"/>
        <v>2.8414282307692309</v>
      </c>
      <c r="L1184" s="2">
        <f>AVERAGE(D1184:K1184)</f>
        <v>2.8428364711538467</v>
      </c>
      <c r="M1184" s="2">
        <f xml:space="preserve"> _xlfn.STDEV.S(D1184:K1184) / SQRT(COUNT(D1184:K1184))</f>
        <v>0.22026504317846063</v>
      </c>
      <c r="N1184" s="2">
        <f>M1184*$N$2</f>
        <v>0.24651163373208421</v>
      </c>
    </row>
    <row r="1185" spans="2:14" x14ac:dyDescent="0.55000000000000004">
      <c r="C1185" s="2" t="s">
        <v>29</v>
      </c>
      <c r="D1185" s="2">
        <f>(1/COUNT(D41,D129,D217,D305,D393,D481,D569,D657,D745,D833,D921,D1009,D1097))*SQRT(SUMSQ(D41,D129,D217,D305,D393,D481,D569,D657,D745,D833,D921,D1009,D1097))</f>
        <v>3.9389164506732834E-2</v>
      </c>
      <c r="E1185" s="2">
        <f t="shared" ref="E1185:K1185" si="76">(1/COUNT(E41,E129,E217,E305,E393,E481,E569,E657,E745,E833,E921,E1009,E1097))*SQRT(SUMSQ(E41,E129,E217,E305,E393,E481,E569,E657,E745,E833,E921,E1009,E1097))</f>
        <v>1.8496947057547203E-2</v>
      </c>
      <c r="F1185" s="2">
        <f t="shared" si="76"/>
        <v>7.3941085519558421E-3</v>
      </c>
      <c r="G1185" s="2">
        <f t="shared" si="76"/>
        <v>3.3476817858202154E-2</v>
      </c>
      <c r="H1185" s="2">
        <f t="shared" si="76"/>
        <v>3.5876192679595085E-3</v>
      </c>
      <c r="I1185" s="2">
        <f t="shared" si="76"/>
        <v>2.2804741652305612E-2</v>
      </c>
      <c r="J1185" s="2">
        <f t="shared" si="76"/>
        <v>5.1555083163774156E-2</v>
      </c>
      <c r="K1185" s="2">
        <f t="shared" si="76"/>
        <v>1.7507977370262767E-3</v>
      </c>
      <c r="L1185" s="2">
        <f>(1/COUNT(D1185:K1185))*SQRT(SUMSQ(D1185:K1185))</f>
        <v>9.8923365641962642E-3</v>
      </c>
    </row>
    <row r="1186" spans="2:14" x14ac:dyDescent="0.55000000000000004">
      <c r="C1186" s="2" t="s">
        <v>30</v>
      </c>
      <c r="D1186" s="2">
        <f>AVERAGE(D42,D130,D218,D306,D394,D482,D570,D658,D746,D834,D922,D1010,D1098)</f>
        <v>15.571167230769232</v>
      </c>
      <c r="E1186" s="2">
        <f t="shared" ref="E1186:K1186" si="77">AVERAGE(E42,E130,E218,E306,E394,E482,E570,E658,E746,E834,E922,E1010,E1098)</f>
        <v>16.612571076923071</v>
      </c>
      <c r="F1186" s="2">
        <f t="shared" si="77"/>
        <v>14.32536769230769</v>
      </c>
      <c r="G1186" s="2">
        <f t="shared" si="77"/>
        <v>17.68666623076923</v>
      </c>
      <c r="H1186" s="2">
        <f t="shared" si="77"/>
        <v>11.634163769230769</v>
      </c>
      <c r="I1186" s="2">
        <f t="shared" si="77"/>
        <v>16.305008230769229</v>
      </c>
      <c r="J1186" s="2">
        <f t="shared" si="77"/>
        <v>18.480934846153847</v>
      </c>
      <c r="K1186" s="2">
        <f t="shared" si="77"/>
        <v>13.884311153846154</v>
      </c>
      <c r="L1186" s="2">
        <f>AVERAGE(D1186:K1186)</f>
        <v>15.562523778846153</v>
      </c>
      <c r="M1186" s="2">
        <f xml:space="preserve"> _xlfn.STDEV.S(D1186:K1186) / SQRT(COUNT(D1186:K1186))</f>
        <v>0.78447009725136063</v>
      </c>
      <c r="N1186" s="2">
        <f>M1186*$N$2</f>
        <v>0.8779468702653872</v>
      </c>
    </row>
    <row r="1187" spans="2:14" x14ac:dyDescent="0.55000000000000004">
      <c r="C1187" s="2" t="s">
        <v>31</v>
      </c>
      <c r="D1187" s="2">
        <f>(1/COUNT(D43,D131,D219,D307,D395,D483,D571,D659,D747,D835,D923,D1011,D1099))*SQRT(SUMSQ(D43,D131,D219,D307,D395,D483,D571,D659,D747,D835,D923,D1011,D1099))</f>
        <v>3.7092267767103546E-2</v>
      </c>
      <c r="E1187" s="2">
        <f t="shared" ref="E1187:K1187" si="78">(1/COUNT(E43,E131,E219,E307,E395,E483,E571,E659,E747,E835,E923,E1011,E1099))*SQRT(SUMSQ(E43,E131,E219,E307,E395,E483,E571,E659,E747,E835,E923,E1011,E1099))</f>
        <v>2.8935486727542072E-2</v>
      </c>
      <c r="F1187" s="2">
        <f t="shared" si="78"/>
        <v>1.7780500838753759E-2</v>
      </c>
      <c r="G1187" s="2">
        <f t="shared" si="78"/>
        <v>8.7757317810920263E-2</v>
      </c>
      <c r="H1187" s="2">
        <f t="shared" si="78"/>
        <v>2.0394400344560297E-2</v>
      </c>
      <c r="I1187" s="2">
        <f t="shared" si="78"/>
        <v>4.4889274586930324E-2</v>
      </c>
      <c r="J1187" s="2">
        <f t="shared" si="78"/>
        <v>0.12483913020633619</v>
      </c>
      <c r="K1187" s="2">
        <f t="shared" si="78"/>
        <v>7.0605144284310349E-3</v>
      </c>
      <c r="L1187" s="2">
        <f>(1/COUNT(D1187:K1187))*SQRT(SUMSQ(D1187:K1187))</f>
        <v>2.1026853958366301E-2</v>
      </c>
    </row>
    <row r="1188" spans="2:14" x14ac:dyDescent="0.55000000000000004">
      <c r="B1188" s="2" t="s">
        <v>35</v>
      </c>
      <c r="C1188" s="2" t="s">
        <v>22</v>
      </c>
      <c r="D1188" s="2">
        <f>AVERAGE(D44,D132,D220,D308,D396,D484,D572,D660,D748,D836,D924,D1012,D1100)</f>
        <v>0.73072792307692325</v>
      </c>
      <c r="E1188" s="2">
        <f t="shared" ref="E1188:K1188" si="79">AVERAGE(E44,E132,E220,E308,E396,E484,E572,E660,E748,E836,E924,E1012,E1100)</f>
        <v>0.87585646153846153</v>
      </c>
      <c r="F1188" s="2">
        <f t="shared" si="79"/>
        <v>0.72813215384615382</v>
      </c>
      <c r="G1188" s="2">
        <f t="shared" si="79"/>
        <v>0.83855984615384627</v>
      </c>
      <c r="H1188" s="2">
        <f t="shared" si="79"/>
        <v>0.8196516153846154</v>
      </c>
      <c r="I1188" s="2">
        <f t="shared" si="79"/>
        <v>0.85992946153846161</v>
      </c>
      <c r="J1188" s="2">
        <f t="shared" si="79"/>
        <v>0.86256169230769231</v>
      </c>
      <c r="K1188" s="2">
        <f t="shared" si="79"/>
        <v>0.73072792307692325</v>
      </c>
      <c r="L1188" s="2">
        <f>AVERAGE(D1188:K1188)</f>
        <v>0.80576838461538469</v>
      </c>
      <c r="M1188" s="2">
        <f xml:space="preserve"> _xlfn.STDEV.S(D1188:K1188) / SQRT(COUNT(D1188:K1188))</f>
        <v>2.3001859664399084E-2</v>
      </c>
      <c r="N1188" s="2">
        <f>M1188*$N$2</f>
        <v>2.5742741212699295E-2</v>
      </c>
    </row>
    <row r="1189" spans="2:14" x14ac:dyDescent="0.55000000000000004">
      <c r="C1189" s="2" t="s">
        <v>23</v>
      </c>
      <c r="D1189" s="2">
        <f>(1/COUNT(D45,D133,D221,D309,D397,D485,D573,D661,D749,D837,D925,D1013,D1101))*SQRT(SUMSQ(D45,D133,D221,D309,D397,D485,D573,D661,D749,D837,D925,D1013,D1101))</f>
        <v>1.2828128763540085E-4</v>
      </c>
      <c r="E1189" s="2">
        <f t="shared" ref="E1189:K1189" si="80">(1/COUNT(E45,E133,E221,E309,E397,E485,E573,E661,E749,E837,E925,E1013,E1101))*SQRT(SUMSQ(E45,E133,E221,E309,E397,E485,E573,E661,E749,E837,E925,E1013,E1101))</f>
        <v>3.3946159947009167E-4</v>
      </c>
      <c r="F1189" s="2">
        <f t="shared" si="80"/>
        <v>2.8750915601576837E-4</v>
      </c>
      <c r="G1189" s="2">
        <f t="shared" si="80"/>
        <v>2.908505685991311E-4</v>
      </c>
      <c r="H1189" s="2">
        <f t="shared" si="80"/>
        <v>2.0822522796753079E-4</v>
      </c>
      <c r="I1189" s="2">
        <f t="shared" si="80"/>
        <v>2.102228741234734E-4</v>
      </c>
      <c r="J1189" s="2">
        <f t="shared" si="80"/>
        <v>3.0001997961082605E-4</v>
      </c>
      <c r="K1189" s="2">
        <f t="shared" si="80"/>
        <v>1.2828128763540085E-4</v>
      </c>
      <c r="L1189" s="2">
        <f>(1/COUNT(D1189:K1189))*SQRT(SUMSQ(D1189:K1189))</f>
        <v>8.7764360791541861E-5</v>
      </c>
    </row>
    <row r="1190" spans="2:14" x14ac:dyDescent="0.55000000000000004">
      <c r="C1190" s="2" t="s">
        <v>24</v>
      </c>
      <c r="D1190" s="2">
        <f>AVERAGE(D46,D134,D222,D310,D398,D486,D574,D662,D750,D838,D926,D1014,D1102)</f>
        <v>0.69593107692307687</v>
      </c>
      <c r="E1190" s="2">
        <f t="shared" ref="E1190:K1190" si="81">AVERAGE(E46,E134,E222,E310,E398,E486,E574,E662,E750,E838,E926,E1014,E1102)</f>
        <v>0.47416315384615382</v>
      </c>
      <c r="F1190" s="2">
        <f t="shared" si="81"/>
        <v>0.68474130769230768</v>
      </c>
      <c r="G1190" s="2">
        <f t="shared" si="81"/>
        <v>0.54446692307692302</v>
      </c>
      <c r="H1190" s="2">
        <f t="shared" si="81"/>
        <v>0.57339123076923071</v>
      </c>
      <c r="I1190" s="2">
        <f t="shared" si="81"/>
        <v>0.51425315384615389</v>
      </c>
      <c r="J1190" s="2">
        <f t="shared" si="81"/>
        <v>0.49514846153846154</v>
      </c>
      <c r="K1190" s="2">
        <f t="shared" si="81"/>
        <v>0.69593107692307687</v>
      </c>
      <c r="L1190" s="2">
        <f>AVERAGE(D1190:K1190)</f>
        <v>0.58475329807692311</v>
      </c>
      <c r="M1190" s="2">
        <f xml:space="preserve"> _xlfn.STDEV.S(D1190:K1190) / SQRT(COUNT(D1190:K1190))</f>
        <v>3.3193201955140375E-2</v>
      </c>
      <c r="N1190" s="2">
        <f>M1190*$N$2</f>
        <v>3.7148474967637624E-2</v>
      </c>
    </row>
    <row r="1191" spans="2:14" x14ac:dyDescent="0.55000000000000004">
      <c r="C1191" s="2" t="s">
        <v>25</v>
      </c>
      <c r="D1191" s="2">
        <f>(1/COUNT(D47,D135,D223,D311,D399,D487,D575,D663,D751,D839,D927,D1015,D1103))*SQRT(SUMSQ(D47,D135,D223,D311,D399,D487,D575,D663,D751,D839,D927,D1015,D1103))</f>
        <v>1.5735357615572035E-4</v>
      </c>
      <c r="E1191" s="2">
        <f t="shared" ref="E1191:K1191" si="82">(1/COUNT(E47,E135,E223,E311,E399,E487,E575,E663,E751,E839,E927,E1015,E1103))*SQRT(SUMSQ(E47,E135,E223,E311,E399,E487,E575,E663,E751,E839,E927,E1015,E1103))</f>
        <v>6.4909428477883269E-4</v>
      </c>
      <c r="F1191" s="2">
        <f t="shared" si="82"/>
        <v>3.166688020274729E-4</v>
      </c>
      <c r="G1191" s="2">
        <f t="shared" si="82"/>
        <v>4.7752495520154411E-4</v>
      </c>
      <c r="H1191" s="2">
        <f t="shared" si="82"/>
        <v>2.991312272636549E-4</v>
      </c>
      <c r="I1191" s="2">
        <f t="shared" si="82"/>
        <v>3.7231480444573713E-4</v>
      </c>
      <c r="J1191" s="2">
        <f t="shared" si="82"/>
        <v>5.4396640494072982E-4</v>
      </c>
      <c r="K1191" s="2">
        <f t="shared" si="82"/>
        <v>1.5735357615572035E-4</v>
      </c>
      <c r="L1191" s="2">
        <f>(1/COUNT(D1191:K1191))*SQRT(SUMSQ(D1191:K1191))</f>
        <v>1.4378533010653819E-4</v>
      </c>
    </row>
    <row r="1192" spans="2:14" x14ac:dyDescent="0.55000000000000004">
      <c r="C1192" s="2" t="s">
        <v>26</v>
      </c>
      <c r="D1192" s="2">
        <f>AVERAGE(D48,D136,D224,D312,D400,D488,D576,D664,D752,D840,D928,D1016,D1104)</f>
        <v>0.29340469230769234</v>
      </c>
      <c r="E1192" s="2">
        <f t="shared" ref="E1192:K1192" si="83">AVERAGE(E48,E136,E224,E312,E400,E488,E576,E664,E752,E840,E928,E1016,E1104)</f>
        <v>0.56700953846153834</v>
      </c>
      <c r="F1192" s="2">
        <f t="shared" si="83"/>
        <v>0.44544146153846148</v>
      </c>
      <c r="G1192" s="2">
        <f t="shared" si="83"/>
        <v>0.46967038461538457</v>
      </c>
      <c r="H1192" s="2">
        <f t="shared" si="83"/>
        <v>0.47849500000000006</v>
      </c>
      <c r="I1192" s="2">
        <f t="shared" si="83"/>
        <v>0.36273084615384615</v>
      </c>
      <c r="J1192" s="2">
        <f t="shared" si="83"/>
        <v>0.4734107692307693</v>
      </c>
      <c r="K1192" s="2">
        <f t="shared" si="83"/>
        <v>0.29340469230769234</v>
      </c>
      <c r="L1192" s="2">
        <f>AVERAGE(D1192:K1192)</f>
        <v>0.42294592307692302</v>
      </c>
      <c r="M1192" s="2">
        <f xml:space="preserve"> _xlfn.STDEV.S(D1192:K1192) / SQRT(COUNT(D1192:K1192))</f>
        <v>3.4398833790973242E-2</v>
      </c>
      <c r="N1192" s="2">
        <f>M1192*$N$2</f>
        <v>3.849776884215305E-2</v>
      </c>
    </row>
    <row r="1193" spans="2:14" x14ac:dyDescent="0.55000000000000004">
      <c r="C1193" s="2" t="s">
        <v>27</v>
      </c>
      <c r="D1193" s="2">
        <f>(1/COUNT(D49,D137,D225,D313,D401,D489,D577,D665,D753,D841,D929,D1017,D1105))*SQRT(SUMSQ(D49,D137,D225,D313,D401,D489,D577,D665,D753,D841,D929,D1017,D1105))</f>
        <v>1.1430880525392558E-4</v>
      </c>
      <c r="E1193" s="2">
        <f t="shared" ref="E1193:K1193" si="84">(1/COUNT(E49,E137,E225,E313,E401,E489,E577,E665,E753,E841,E929,E1017,E1105))*SQRT(SUMSQ(E49,E137,E225,E313,E401,E489,E577,E665,E753,E841,E929,E1017,E1105))</f>
        <v>6.7383457137920643E-4</v>
      </c>
      <c r="F1193" s="2">
        <f t="shared" si="84"/>
        <v>1.9035312870942643E-4</v>
      </c>
      <c r="G1193" s="2">
        <f t="shared" si="84"/>
        <v>5.6533262973980261E-4</v>
      </c>
      <c r="H1193" s="2">
        <f t="shared" si="84"/>
        <v>2.3841122297954756E-4</v>
      </c>
      <c r="I1193" s="2">
        <f t="shared" si="84"/>
        <v>3.1160434251176498E-4</v>
      </c>
      <c r="J1193" s="2">
        <f t="shared" si="84"/>
        <v>5.1823373790268784E-4</v>
      </c>
      <c r="K1193" s="2">
        <f t="shared" si="84"/>
        <v>1.1430880525392558E-4</v>
      </c>
      <c r="L1193" s="2">
        <f>(1/COUNT(D1193:K1193))*SQRT(SUMSQ(D1193:K1193))</f>
        <v>1.4022998497871338E-4</v>
      </c>
    </row>
    <row r="1194" spans="2:14" ht="14.5" customHeight="1" x14ac:dyDescent="0.55000000000000004">
      <c r="C1194" s="2" t="s">
        <v>28</v>
      </c>
      <c r="D1194" s="2">
        <f>AVERAGE(D50,D138,D226,D314,D402,D490,D578,D666,D754,D842,D930,D1018,D1106)</f>
        <v>3.0885861538461534</v>
      </c>
      <c r="E1194" s="2">
        <f t="shared" ref="E1194:K1194" si="85">AVERAGE(E50,E138,E226,E314,E402,E490,E578,E666,E754,E842,E930,E1018,E1106)</f>
        <v>2.8089044615384613</v>
      </c>
      <c r="F1194" s="2">
        <f t="shared" si="85"/>
        <v>2.4379589999999998</v>
      </c>
      <c r="G1194" s="2">
        <f t="shared" si="85"/>
        <v>3.778787461538462</v>
      </c>
      <c r="H1194" s="2">
        <f t="shared" si="85"/>
        <v>1.918454846153846</v>
      </c>
      <c r="I1194" s="2">
        <f t="shared" si="85"/>
        <v>4.0872577692307681</v>
      </c>
      <c r="J1194" s="2">
        <f t="shared" si="85"/>
        <v>3.5172802307692308</v>
      </c>
      <c r="K1194" s="2">
        <f t="shared" si="85"/>
        <v>3.0885861538461534</v>
      </c>
      <c r="L1194" s="2">
        <f>AVERAGE(D1194:K1194)</f>
        <v>3.0907270096153847</v>
      </c>
      <c r="M1194" s="2">
        <f xml:space="preserve"> _xlfn.STDEV.S(D1194:K1194) / SQRT(COUNT(D1194:K1194))</f>
        <v>0.25100546399759754</v>
      </c>
      <c r="N1194" s="2">
        <f>M1194*$N$2</f>
        <v>0.280915056301491</v>
      </c>
    </row>
    <row r="1195" spans="2:14" x14ac:dyDescent="0.55000000000000004">
      <c r="C1195" s="2" t="s">
        <v>29</v>
      </c>
      <c r="D1195" s="2">
        <f>(1/COUNT(D51,D139,D227,D315,D403,D491,D579,D667,D755,D843,D931,D1019,D1107))*SQRT(SUMSQ(D51,D139,D227,D315,D403,D491,D579,D667,D755,D843,D931,D1019,D1107))</f>
        <v>1.1807775018502597E-3</v>
      </c>
      <c r="E1195" s="2">
        <f t="shared" ref="E1195:K1195" si="86">(1/COUNT(E51,E139,E227,E315,E403,E491,E579,E667,E755,E843,E931,E1019,E1107))*SQRT(SUMSQ(E51,E139,E227,E315,E403,E491,E579,E667,E755,E843,E931,E1019,E1107))</f>
        <v>4.7887047377227973E-3</v>
      </c>
      <c r="F1195" s="2">
        <f t="shared" si="86"/>
        <v>1.7414979014711454E-3</v>
      </c>
      <c r="G1195" s="2">
        <f t="shared" si="86"/>
        <v>7.1456692636065995E-3</v>
      </c>
      <c r="H1195" s="2">
        <f t="shared" si="86"/>
        <v>2.0108194155352421E-3</v>
      </c>
      <c r="I1195" s="2">
        <f t="shared" si="86"/>
        <v>6.691110026342071E-3</v>
      </c>
      <c r="J1195" s="2">
        <f t="shared" si="86"/>
        <v>5.6978076438877409E-3</v>
      </c>
      <c r="K1195" s="2">
        <f t="shared" si="86"/>
        <v>1.1807775018502597E-3</v>
      </c>
      <c r="L1195" s="2">
        <f>(1/COUNT(D1195:K1195))*SQRT(SUMSQ(D1195:K1195))</f>
        <v>1.586529862534972E-3</v>
      </c>
    </row>
    <row r="1196" spans="2:14" x14ac:dyDescent="0.55000000000000004">
      <c r="C1196" s="2" t="s">
        <v>30</v>
      </c>
      <c r="D1196" s="2">
        <f>AVERAGE(D52,D140,D228,D316,D404,D492,D580,D668,D756,D844,D932,D1020,D1108)</f>
        <v>14.545582923076925</v>
      </c>
      <c r="E1196" s="2">
        <f t="shared" ref="E1196:K1196" si="87">AVERAGE(E52,E140,E228,E316,E404,E492,E580,E668,E756,E844,E932,E1020,E1108)</f>
        <v>16.504166692307692</v>
      </c>
      <c r="F1196" s="2">
        <f t="shared" si="87"/>
        <v>14.140495384615386</v>
      </c>
      <c r="G1196" s="2">
        <f t="shared" si="87"/>
        <v>16.489113076923076</v>
      </c>
      <c r="H1196" s="2">
        <f t="shared" si="87"/>
        <v>12.019764846153844</v>
      </c>
      <c r="I1196" s="2">
        <f t="shared" si="87"/>
        <v>17.261257615384615</v>
      </c>
      <c r="J1196" s="2">
        <f t="shared" si="87"/>
        <v>18.662596307692308</v>
      </c>
      <c r="K1196" s="2">
        <f t="shared" si="87"/>
        <v>14.545582923076925</v>
      </c>
      <c r="L1196" s="2">
        <f>AVERAGE(D1196:K1196)</f>
        <v>15.521069971153848</v>
      </c>
      <c r="M1196" s="2">
        <f xml:space="preserve"> _xlfn.STDEV.S(D1196:K1196) / SQRT(COUNT(D1196:K1196))</f>
        <v>0.74245371557698081</v>
      </c>
      <c r="N1196" s="2">
        <f>M1196*$N$2</f>
        <v>0.83092385317378992</v>
      </c>
    </row>
    <row r="1197" spans="2:14" x14ac:dyDescent="0.55000000000000004">
      <c r="C1197" s="2" t="s">
        <v>31</v>
      </c>
      <c r="D1197" s="2">
        <f>(1/COUNT(D53,D141,D229,D317,D405,D493,D581,D669,D757,D845,D933,D1021,D1109))*SQRT(SUMSQ(D53,D141,D229,D317,D405,D493,D581,D669,D757,D845,D933,D1021,D1109))</f>
        <v>5.1150505269734262E-3</v>
      </c>
      <c r="E1197" s="2">
        <f t="shared" ref="E1197:K1197" si="88">(1/COUNT(E53,E141,E229,E317,E405,E493,E581,E669,E757,E845,E933,E1021,E1109))*SQRT(SUMSQ(E53,E141,E229,E317,E405,E493,E581,E669,E757,E845,E933,E1021,E1109))</f>
        <v>6.7308421894946881E-3</v>
      </c>
      <c r="F1197" s="2">
        <f t="shared" si="88"/>
        <v>6.612984530631149E-3</v>
      </c>
      <c r="G1197" s="2">
        <f t="shared" si="88"/>
        <v>2.0921167679858538E-2</v>
      </c>
      <c r="H1197" s="2">
        <f t="shared" si="88"/>
        <v>1.1254663737586915E-2</v>
      </c>
      <c r="I1197" s="2">
        <f t="shared" si="88"/>
        <v>1.2810522980792787E-2</v>
      </c>
      <c r="J1197" s="2">
        <f t="shared" si="88"/>
        <v>1.3131063887460454E-2</v>
      </c>
      <c r="K1197" s="2">
        <f t="shared" si="88"/>
        <v>5.1150505269734262E-3</v>
      </c>
      <c r="L1197" s="2">
        <f>(1/COUNT(D1197:K1197))*SQRT(SUMSQ(D1197:K1197))</f>
        <v>4.0355071234181071E-3</v>
      </c>
    </row>
    <row r="1198" spans="2:14" x14ac:dyDescent="0.55000000000000004">
      <c r="B1198" s="2" t="s">
        <v>45</v>
      </c>
      <c r="C1198" s="2" t="s">
        <v>22</v>
      </c>
      <c r="D1198" s="2">
        <f>AVERAGE(D54,D142,D230,D318,D406,D494,D582,D670,D758,D846,D934,D1022,D1110)</f>
        <v>0.82036523076923074</v>
      </c>
      <c r="E1198" s="2">
        <f t="shared" ref="E1198:K1198" si="89">AVERAGE(E54,E142,E230,E318,E406,E494,E582,E670,E758,E846,E934,E1022,E1110)</f>
        <v>0.86397492307692303</v>
      </c>
      <c r="F1198" s="2">
        <f t="shared" si="89"/>
        <v>0.69648215384615386</v>
      </c>
      <c r="G1198" s="2">
        <f t="shared" si="89"/>
        <v>0.84168484615384631</v>
      </c>
      <c r="H1198" s="2">
        <f t="shared" si="89"/>
        <v>0.82979815384615385</v>
      </c>
      <c r="I1198" s="2">
        <f t="shared" si="89"/>
        <v>0.85629261538461532</v>
      </c>
      <c r="J1198" s="2">
        <f t="shared" si="89"/>
        <v>0.87326784615384634</v>
      </c>
      <c r="K1198" s="2">
        <f t="shared" si="89"/>
        <v>0.74096330769230767</v>
      </c>
      <c r="L1198" s="2">
        <f>AVERAGE(D1198:K1198)</f>
        <v>0.81535363461538468</v>
      </c>
      <c r="M1198" s="2">
        <f xml:space="preserve"> _xlfn.STDEV.S(D1198:K1198) / SQRT(COUNT(D1198:K1198))</f>
        <v>2.2354900529021771E-2</v>
      </c>
      <c r="N1198" s="2">
        <f>M1198*$N$2</f>
        <v>2.5018690990665001E-2</v>
      </c>
    </row>
    <row r="1199" spans="2:14" x14ac:dyDescent="0.55000000000000004">
      <c r="C1199" s="2" t="s">
        <v>23</v>
      </c>
      <c r="D1199" s="2">
        <f>(1/COUNT(D55,D143,D231,D319,D407,D495,D583,D671,D759,D847,D935,D1023,D1111))*SQRT(SUMSQ(D55,D143,D231,D319,D407,D495,D583,D671,D759,D847,D935,D1023,D1111))</f>
        <v>8.1879905562422597E-4</v>
      </c>
      <c r="E1199" s="2">
        <f t="shared" ref="E1199:K1199" si="90">(1/COUNT(E55,E143,E231,E319,E407,E495,E583,E671,E759,E847,E935,E1023,E1111))*SQRT(SUMSQ(E55,E143,E231,E319,E407,E495,E583,E671,E759,E847,E935,E1023,E1111))</f>
        <v>1.1773259642238012E-3</v>
      </c>
      <c r="F1199" s="2">
        <f t="shared" si="90"/>
        <v>2.7460360263456426E-3</v>
      </c>
      <c r="G1199" s="2">
        <f t="shared" si="90"/>
        <v>1.8954367078880445E-3</v>
      </c>
      <c r="H1199" s="2">
        <f t="shared" si="90"/>
        <v>7.2789827545357189E-4</v>
      </c>
      <c r="I1199" s="2">
        <f t="shared" si="90"/>
        <v>6.5745385240892557E-4</v>
      </c>
      <c r="J1199" s="2">
        <f t="shared" si="90"/>
        <v>7.5109298662430143E-4</v>
      </c>
      <c r="K1199" s="2">
        <f t="shared" si="90"/>
        <v>9.5348704158029274E-4</v>
      </c>
      <c r="L1199" s="2">
        <f>(1/COUNT(D1199:K1199))*SQRT(SUMSQ(D1199:K1199))</f>
        <v>4.9411034590586458E-4</v>
      </c>
    </row>
    <row r="1200" spans="2:14" x14ac:dyDescent="0.55000000000000004">
      <c r="C1200" s="2" t="s">
        <v>24</v>
      </c>
      <c r="D1200" s="2">
        <f>AVERAGE(D56,D144,D232,D320,D408,D496,D584,D672,D760,D848,D936,D1024,D1112)</f>
        <v>0.56931369230769235</v>
      </c>
      <c r="E1200" s="2">
        <f t="shared" ref="E1200:K1200" si="91">AVERAGE(E56,E144,E232,E320,E408,E496,E584,E672,E760,E848,E936,E1024,E1112)</f>
        <v>0.48974584615384625</v>
      </c>
      <c r="F1200" s="2">
        <f t="shared" si="91"/>
        <v>0.72038523076923089</v>
      </c>
      <c r="G1200" s="2">
        <f t="shared" si="91"/>
        <v>0.52971353846153835</v>
      </c>
      <c r="H1200" s="2">
        <f t="shared" si="91"/>
        <v>0.55766969230769226</v>
      </c>
      <c r="I1200" s="2">
        <f t="shared" si="91"/>
        <v>0.51653884615384615</v>
      </c>
      <c r="J1200" s="2">
        <f t="shared" si="91"/>
        <v>0.4728293846153846</v>
      </c>
      <c r="K1200" s="2">
        <f t="shared" si="91"/>
        <v>0.68032115384615399</v>
      </c>
      <c r="L1200" s="2">
        <f>AVERAGE(D1200:K1200)</f>
        <v>0.5670646730769231</v>
      </c>
      <c r="M1200" s="2">
        <f xml:space="preserve"> _xlfn.STDEV.S(D1200:K1200) / SQRT(COUNT(D1200:K1200))</f>
        <v>3.1405756020983333E-2</v>
      </c>
      <c r="N1200" s="2">
        <f>M1200*$N$2</f>
        <v>3.5148038533973365E-2</v>
      </c>
    </row>
    <row r="1201" spans="2:14" x14ac:dyDescent="0.55000000000000004">
      <c r="C1201" s="2" t="s">
        <v>25</v>
      </c>
      <c r="D1201" s="2">
        <f>(1/COUNT(D57,D145,D233,D321,D409,D497,D585,D673,D761,D849,D937,D1025,D1113))*SQRT(SUMSQ(D57,D145,D233,D321,D409,D497,D585,D673,D761,D849,D937,D1025,D1113))</f>
        <v>1.2608473834133753E-3</v>
      </c>
      <c r="E1201" s="2">
        <f t="shared" ref="E1201:K1201" si="92">(1/COUNT(E57,E145,E233,E321,E409,E497,E585,E673,E761,E849,E937,E1025,E1113))*SQRT(SUMSQ(E57,E145,E233,E321,E409,E497,E585,E673,E761,E849,E937,E1025,E1113))</f>
        <v>1.8993574637618717E-3</v>
      </c>
      <c r="F1201" s="2">
        <f t="shared" si="92"/>
        <v>3.0774307744606761E-3</v>
      </c>
      <c r="G1201" s="2">
        <f t="shared" si="92"/>
        <v>2.7900394082177914E-3</v>
      </c>
      <c r="H1201" s="2">
        <f t="shared" si="92"/>
        <v>1.0794975546124231E-3</v>
      </c>
      <c r="I1201" s="2">
        <f t="shared" si="92"/>
        <v>1.0580867795866721E-3</v>
      </c>
      <c r="J1201" s="2">
        <f t="shared" si="92"/>
        <v>1.4298530565458852E-3</v>
      </c>
      <c r="K1201" s="2">
        <f t="shared" si="92"/>
        <v>1.124344474367807E-3</v>
      </c>
      <c r="L1201" s="2">
        <f>(1/COUNT(D1201:K1201))*SQRT(SUMSQ(D1201:K1201))</f>
        <v>6.6197724463250447E-4</v>
      </c>
    </row>
    <row r="1202" spans="2:14" x14ac:dyDescent="0.55000000000000004">
      <c r="C1202" s="2" t="s">
        <v>26</v>
      </c>
      <c r="D1202" s="2">
        <f>AVERAGE(D58,D146,D234,D322,D410,D498,D586,D674,D762,D850,D938,D1026,D1114)</f>
        <v>0.4609513846153846</v>
      </c>
      <c r="E1202" s="2">
        <f t="shared" ref="E1202:K1202" si="93">AVERAGE(E58,E146,E234,E322,E410,E498,E586,E674,E762,E850,E938,E1026,E1114)</f>
        <v>0.55104676923076934</v>
      </c>
      <c r="F1202" s="2">
        <f t="shared" si="93"/>
        <v>0.42252123076923087</v>
      </c>
      <c r="G1202" s="2">
        <f t="shared" si="93"/>
        <v>0.49143638461538469</v>
      </c>
      <c r="H1202" s="2">
        <f t="shared" si="93"/>
        <v>0.4916085384615384</v>
      </c>
      <c r="I1202" s="2">
        <f t="shared" si="93"/>
        <v>0.36398292307692309</v>
      </c>
      <c r="J1202" s="2">
        <f t="shared" si="93"/>
        <v>0.50004307692307681</v>
      </c>
      <c r="K1202" s="2">
        <f t="shared" si="93"/>
        <v>0.30375123076923077</v>
      </c>
      <c r="L1202" s="2">
        <f>AVERAGE(D1202:K1202)</f>
        <v>0.44816769230769232</v>
      </c>
      <c r="M1202" s="2">
        <f xml:space="preserve"> _xlfn.STDEV.S(D1202:K1202) / SQRT(COUNT(D1202:K1202))</f>
        <v>2.8597827202150528E-2</v>
      </c>
      <c r="N1202" s="2">
        <f>M1202*$N$2</f>
        <v>3.200551936458769E-2</v>
      </c>
    </row>
    <row r="1203" spans="2:14" x14ac:dyDescent="0.55000000000000004">
      <c r="C1203" s="2" t="s">
        <v>27</v>
      </c>
      <c r="D1203" s="2">
        <f>(1/COUNT(D59,D147,D235,D323,D411,D499,D587,D675,D763,D851,D939,D1027,D1115))*SQRT(SUMSQ(D59,D147,D235,D323,D411,D499,D587,D675,D763,D851,D939,D1027,D1115))</f>
        <v>1.4695073581781227E-3</v>
      </c>
      <c r="E1203" s="2">
        <f t="shared" ref="E1203:K1203" si="94">(1/COUNT(E59,E147,E235,E323,E411,E499,E587,E675,E763,E851,E939,E1027,E1115))*SQRT(SUMSQ(E59,E147,E235,E323,E411,E499,E587,E675,E763,E851,E939,E1027,E1115))</f>
        <v>1.90889538212068E-3</v>
      </c>
      <c r="F1203" s="2">
        <f t="shared" si="94"/>
        <v>1.7545539327585746E-3</v>
      </c>
      <c r="G1203" s="2">
        <f t="shared" si="94"/>
        <v>2.7774509598406101E-3</v>
      </c>
      <c r="H1203" s="2">
        <f t="shared" si="94"/>
        <v>8.2823227668451312E-4</v>
      </c>
      <c r="I1203" s="2">
        <f t="shared" si="94"/>
        <v>8.376181326205126E-4</v>
      </c>
      <c r="J1203" s="2">
        <f t="shared" si="94"/>
        <v>1.2919870664529335E-3</v>
      </c>
      <c r="K1203" s="2">
        <f t="shared" si="94"/>
        <v>8.6948545962370262E-4</v>
      </c>
      <c r="L1203" s="2">
        <f>(1/COUNT(D1203:K1203))*SQRT(SUMSQ(D1203:K1203))</f>
        <v>5.6470173512100056E-4</v>
      </c>
    </row>
    <row r="1204" spans="2:14" ht="14.5" customHeight="1" x14ac:dyDescent="0.55000000000000004">
      <c r="C1204" s="2" t="s">
        <v>28</v>
      </c>
      <c r="D1204" s="2">
        <f>AVERAGE(D60,D148,D236,D324,D412,D500,D588,D676,D764,D852,D940,D1028,D1116)</f>
        <v>3.0904703076923075</v>
      </c>
      <c r="E1204" s="2">
        <f t="shared" ref="E1204:K1204" si="95">AVERAGE(E60,E148,E236,E324,E412,E500,E588,E676,E764,E852,E940,E1028,E1116)</f>
        <v>3.1238270769230772</v>
      </c>
      <c r="F1204" s="2">
        <f t="shared" si="95"/>
        <v>2.655763461538462</v>
      </c>
      <c r="G1204" s="2">
        <f t="shared" si="95"/>
        <v>3.8703723846153841</v>
      </c>
      <c r="H1204" s="2">
        <f t="shared" si="95"/>
        <v>1.8031375384615382</v>
      </c>
      <c r="I1204" s="2">
        <f t="shared" si="95"/>
        <v>4.5336176153846148</v>
      </c>
      <c r="J1204" s="2">
        <f t="shared" si="95"/>
        <v>3.3373441538461535</v>
      </c>
      <c r="K1204" s="2">
        <f t="shared" si="95"/>
        <v>2.9749013846153853</v>
      </c>
      <c r="L1204" s="2">
        <f>AVERAGE(D1204:K1204)</f>
        <v>3.1736792403846157</v>
      </c>
      <c r="M1204" s="2">
        <f xml:space="preserve"> _xlfn.STDEV.S(D1204:K1204) / SQRT(COUNT(D1204:K1204))</f>
        <v>0.28526750716989785</v>
      </c>
      <c r="N1204" s="2">
        <f>M1204*$N$2</f>
        <v>0.31925973467408203</v>
      </c>
    </row>
    <row r="1205" spans="2:14" x14ac:dyDescent="0.55000000000000004">
      <c r="C1205" s="2" t="s">
        <v>29</v>
      </c>
      <c r="D1205" s="2">
        <f>(1/COUNT(D61,D149,D237,D325,D413,D501,D589,D677,D765,D853,D941,D1029,D1117))*SQRT(SUMSQ(D61,D149,D237,D325,D413,D501,D589,D677,D765,D853,D941,D1029,D1117))</f>
        <v>2.0656231967917722E-2</v>
      </c>
      <c r="E1205" s="2">
        <f t="shared" ref="E1205:K1205" si="96">(1/COUNT(E61,E149,E237,E325,E413,E501,E589,E677,E765,E853,E941,E1029,E1117))*SQRT(SUMSQ(E61,E149,E237,E325,E413,E501,E589,E677,E765,E853,E941,E1029,E1117))</f>
        <v>2.6737596732164137E-2</v>
      </c>
      <c r="F1205" s="2">
        <f t="shared" si="96"/>
        <v>1.9469991640452496E-2</v>
      </c>
      <c r="G1205" s="2">
        <f t="shared" si="96"/>
        <v>6.1604802981316834E-2</v>
      </c>
      <c r="H1205" s="2">
        <f t="shared" si="96"/>
        <v>6.235292972243095E-3</v>
      </c>
      <c r="I1205" s="2">
        <f t="shared" si="96"/>
        <v>3.7480280340103936E-2</v>
      </c>
      <c r="J1205" s="2">
        <f t="shared" si="96"/>
        <v>1.479822812118489E-2</v>
      </c>
      <c r="K1205" s="2">
        <f t="shared" si="96"/>
        <v>1.1737538356428875E-2</v>
      </c>
      <c r="L1205" s="2">
        <f>(1/COUNT(D1205:K1205))*SQRT(SUMSQ(D1205:K1205))</f>
        <v>1.0544710594941196E-2</v>
      </c>
    </row>
    <row r="1206" spans="2:14" x14ac:dyDescent="0.55000000000000004">
      <c r="C1206" s="2" t="s">
        <v>30</v>
      </c>
      <c r="D1206" s="2">
        <f>AVERAGE(D62,D150,D238,D326,D414,D502,D590,D678,D766,D854,D942,D1030,D1118)</f>
        <v>14.96486</v>
      </c>
      <c r="E1206" s="2">
        <f t="shared" ref="E1206:K1206" si="97">AVERAGE(E62,E150,E238,E326,E414,E502,E590,E678,E766,E854,E942,E1030,E1118)</f>
        <v>16.803971923076919</v>
      </c>
      <c r="F1206" s="2">
        <f t="shared" si="97"/>
        <v>14.983242538461541</v>
      </c>
      <c r="G1206" s="2">
        <f t="shared" si="97"/>
        <v>16.696066230769233</v>
      </c>
      <c r="H1206" s="2">
        <f t="shared" si="97"/>
        <v>11.332854769230769</v>
      </c>
      <c r="I1206" s="2">
        <f t="shared" si="97"/>
        <v>18.134125076923077</v>
      </c>
      <c r="J1206" s="2">
        <f t="shared" si="97"/>
        <v>18.590447076923077</v>
      </c>
      <c r="K1206" s="2">
        <f t="shared" si="97"/>
        <v>14.029163923076924</v>
      </c>
      <c r="L1206" s="2">
        <f>AVERAGE(D1206:K1206)</f>
        <v>15.691841442307693</v>
      </c>
      <c r="M1206" s="2">
        <f xml:space="preserve"> _xlfn.STDEV.S(D1206:K1206) / SQRT(COUNT(D1206:K1206))</f>
        <v>0.83887511183088614</v>
      </c>
      <c r="N1206" s="2">
        <f>M1206*$N$2</f>
        <v>0.93883473896069625</v>
      </c>
    </row>
    <row r="1207" spans="2:14" x14ac:dyDescent="0.55000000000000004">
      <c r="C1207" s="2" t="s">
        <v>31</v>
      </c>
      <c r="D1207" s="2">
        <f>(1/COUNT(D63,D151,D239,D327,D415,D503,D591,D679,D767,D855,D943,D1031,D1119))*SQRT(SUMSQ(D63,D151,D239,D327,D415,D503,D591,D679,D767,D855,D943,D1031,D1119))</f>
        <v>4.3877096144267047E-2</v>
      </c>
      <c r="E1207" s="2">
        <f t="shared" ref="E1207:K1207" si="98">(1/COUNT(E63,E151,E239,E327,E415,E503,E591,E679,E767,E855,E943,E1031,E1119))*SQRT(SUMSQ(E63,E151,E239,E327,E415,E503,E591,E679,E767,E855,E943,E1031,E1119))</f>
        <v>4.8519556216659057E-2</v>
      </c>
      <c r="F1207" s="2">
        <f t="shared" si="98"/>
        <v>4.6560058477285914E-2</v>
      </c>
      <c r="G1207" s="2">
        <f t="shared" si="98"/>
        <v>0.12544387115826586</v>
      </c>
      <c r="H1207" s="2">
        <f t="shared" si="98"/>
        <v>2.7663174613950101E-2</v>
      </c>
      <c r="I1207" s="2">
        <f t="shared" si="98"/>
        <v>8.0505424337294268E-2</v>
      </c>
      <c r="J1207" s="2">
        <f t="shared" si="98"/>
        <v>3.362007200464677E-2</v>
      </c>
      <c r="K1207" s="2">
        <f t="shared" si="98"/>
        <v>4.1005706699615743E-2</v>
      </c>
      <c r="L1207" s="2">
        <f>(1/COUNT(D1207:K1207))*SQRT(SUMSQ(D1207:K1207))</f>
        <v>2.244489869626453E-2</v>
      </c>
    </row>
    <row r="1208" spans="2:14" x14ac:dyDescent="0.55000000000000004">
      <c r="B1208" s="2" t="s">
        <v>46</v>
      </c>
      <c r="C1208" s="2" t="s">
        <v>22</v>
      </c>
      <c r="D1208" s="2" t="e">
        <f>AVERAGE(D64,D152,D240,D328,D416,D504,D592,D680,D768,D856,D944,D1032,D1120)</f>
        <v>#DIV/0!</v>
      </c>
      <c r="E1208" s="2" t="e">
        <f t="shared" ref="E1208:K1208" si="99">AVERAGE(E64,E152,E240,E328,E416,E504,E592,E680,E768,E856,E944,E1032,E1120)</f>
        <v>#DIV/0!</v>
      </c>
      <c r="F1208" s="2" t="e">
        <f t="shared" si="99"/>
        <v>#DIV/0!</v>
      </c>
      <c r="G1208" s="2" t="e">
        <f t="shared" si="99"/>
        <v>#DIV/0!</v>
      </c>
      <c r="H1208" s="2" t="e">
        <f t="shared" si="99"/>
        <v>#DIV/0!</v>
      </c>
      <c r="I1208" s="2" t="e">
        <f t="shared" si="99"/>
        <v>#DIV/0!</v>
      </c>
      <c r="J1208" s="2" t="e">
        <f t="shared" si="99"/>
        <v>#DIV/0!</v>
      </c>
      <c r="K1208" s="2" t="e">
        <f t="shared" si="99"/>
        <v>#DIV/0!</v>
      </c>
      <c r="L1208" s="2" t="e">
        <f>AVERAGE(D1208:K1208)</f>
        <v>#DIV/0!</v>
      </c>
      <c r="M1208" s="2" t="e">
        <f xml:space="preserve"> _xlfn.STDEV.S(D1208:K1208) / SQRT(COUNT(D1208:K1208))</f>
        <v>#DIV/0!</v>
      </c>
      <c r="N1208" s="2" t="e">
        <f>M1208*$N$2</f>
        <v>#DIV/0!</v>
      </c>
    </row>
    <row r="1209" spans="2:14" x14ac:dyDescent="0.55000000000000004">
      <c r="C1209" s="2" t="s">
        <v>23</v>
      </c>
      <c r="D1209" s="2" t="e">
        <f>(1/COUNT(D65,D153,D241,D329,D417,D505,D593,D681,D769,D857,D945,D1033,D1121))*SQRT(SUMSQ(D65,D153,D241,D329,D417,D505,D593,D681,D769,D857,D945,D1033,D1121))</f>
        <v>#DIV/0!</v>
      </c>
      <c r="E1209" s="2" t="e">
        <f t="shared" ref="E1209:K1209" si="100">(1/COUNT(E65,E153,E241,E329,E417,E505,E593,E681,E769,E857,E945,E1033,E1121))*SQRT(SUMSQ(E65,E153,E241,E329,E417,E505,E593,E681,E769,E857,E945,E1033,E1121))</f>
        <v>#DIV/0!</v>
      </c>
      <c r="F1209" s="2" t="e">
        <f t="shared" si="100"/>
        <v>#DIV/0!</v>
      </c>
      <c r="G1209" s="2" t="e">
        <f t="shared" si="100"/>
        <v>#DIV/0!</v>
      </c>
      <c r="H1209" s="2" t="e">
        <f t="shared" si="100"/>
        <v>#DIV/0!</v>
      </c>
      <c r="I1209" s="2" t="e">
        <f t="shared" si="100"/>
        <v>#DIV/0!</v>
      </c>
      <c r="J1209" s="2" t="e">
        <f t="shared" si="100"/>
        <v>#DIV/0!</v>
      </c>
      <c r="K1209" s="2" t="e">
        <f t="shared" si="100"/>
        <v>#DIV/0!</v>
      </c>
      <c r="L1209" s="2" t="e">
        <f>(1/COUNT(D1209:K1209))*SQRT(SUMSQ(D1209:K1209))</f>
        <v>#DIV/0!</v>
      </c>
    </row>
    <row r="1210" spans="2:14" x14ac:dyDescent="0.55000000000000004">
      <c r="C1210" s="2" t="s">
        <v>24</v>
      </c>
      <c r="D1210" s="2" t="e">
        <f>AVERAGE(D66,D154,D242,D330,D418,D506,D594,D682,D770,D858,D946,D1034,D1122)</f>
        <v>#DIV/0!</v>
      </c>
      <c r="E1210" s="2" t="e">
        <f t="shared" ref="E1210:K1210" si="101">AVERAGE(E66,E154,E242,E330,E418,E506,E594,E682,E770,E858,E946,E1034,E1122)</f>
        <v>#DIV/0!</v>
      </c>
      <c r="F1210" s="2" t="e">
        <f t="shared" si="101"/>
        <v>#DIV/0!</v>
      </c>
      <c r="G1210" s="2" t="e">
        <f t="shared" si="101"/>
        <v>#DIV/0!</v>
      </c>
      <c r="H1210" s="2" t="e">
        <f t="shared" si="101"/>
        <v>#DIV/0!</v>
      </c>
      <c r="I1210" s="2" t="e">
        <f t="shared" si="101"/>
        <v>#DIV/0!</v>
      </c>
      <c r="J1210" s="2" t="e">
        <f t="shared" si="101"/>
        <v>#DIV/0!</v>
      </c>
      <c r="K1210" s="2" t="e">
        <f t="shared" si="101"/>
        <v>#DIV/0!</v>
      </c>
      <c r="L1210" s="2" t="e">
        <f>AVERAGE(D1210:K1210)</f>
        <v>#DIV/0!</v>
      </c>
      <c r="M1210" s="2" t="e">
        <f xml:space="preserve"> _xlfn.STDEV.S(D1210:K1210) / SQRT(COUNT(D1210:K1210))</f>
        <v>#DIV/0!</v>
      </c>
      <c r="N1210" s="2" t="e">
        <f>M1210*$N$2</f>
        <v>#DIV/0!</v>
      </c>
    </row>
    <row r="1211" spans="2:14" x14ac:dyDescent="0.55000000000000004">
      <c r="C1211" s="2" t="s">
        <v>25</v>
      </c>
      <c r="D1211" s="2" t="e">
        <f>(1/COUNT(D67,D155,D243,D331,D419,D507,D595,D683,D771,D859,D947,D1035,D1123))*SQRT(SUMSQ(D67,D155,D243,D331,D419,D507,D595,D683,D771,D859,D947,D1035,D1123))</f>
        <v>#DIV/0!</v>
      </c>
      <c r="E1211" s="2" t="e">
        <f t="shared" ref="E1211:K1211" si="102">(1/COUNT(E67,E155,E243,E331,E419,E507,E595,E683,E771,E859,E947,E1035,E1123))*SQRT(SUMSQ(E67,E155,E243,E331,E419,E507,E595,E683,E771,E859,E947,E1035,E1123))</f>
        <v>#DIV/0!</v>
      </c>
      <c r="F1211" s="2" t="e">
        <f t="shared" si="102"/>
        <v>#DIV/0!</v>
      </c>
      <c r="G1211" s="2" t="e">
        <f t="shared" si="102"/>
        <v>#DIV/0!</v>
      </c>
      <c r="H1211" s="2" t="e">
        <f t="shared" si="102"/>
        <v>#DIV/0!</v>
      </c>
      <c r="I1211" s="2" t="e">
        <f t="shared" si="102"/>
        <v>#DIV/0!</v>
      </c>
      <c r="J1211" s="2" t="e">
        <f t="shared" si="102"/>
        <v>#DIV/0!</v>
      </c>
      <c r="K1211" s="2" t="e">
        <f t="shared" si="102"/>
        <v>#DIV/0!</v>
      </c>
      <c r="L1211" s="2" t="e">
        <f>(1/COUNT(D1211:K1211))*SQRT(SUMSQ(D1211:K1211))</f>
        <v>#DIV/0!</v>
      </c>
    </row>
    <row r="1212" spans="2:14" x14ac:dyDescent="0.55000000000000004">
      <c r="C1212" s="2" t="s">
        <v>26</v>
      </c>
      <c r="D1212" s="2" t="e">
        <f>AVERAGE(D68,D156,D244,D332,D420,D508,D596,D684,D772,D860,D948,D1036,D1124)</f>
        <v>#DIV/0!</v>
      </c>
      <c r="E1212" s="2" t="e">
        <f t="shared" ref="E1212:K1212" si="103">AVERAGE(E68,E156,E244,E332,E420,E508,E596,E684,E772,E860,E948,E1036,E1124)</f>
        <v>#DIV/0!</v>
      </c>
      <c r="F1212" s="2" t="e">
        <f t="shared" si="103"/>
        <v>#DIV/0!</v>
      </c>
      <c r="G1212" s="2" t="e">
        <f t="shared" si="103"/>
        <v>#DIV/0!</v>
      </c>
      <c r="H1212" s="2" t="e">
        <f t="shared" si="103"/>
        <v>#DIV/0!</v>
      </c>
      <c r="I1212" s="2" t="e">
        <f t="shared" si="103"/>
        <v>#DIV/0!</v>
      </c>
      <c r="J1212" s="2" t="e">
        <f t="shared" si="103"/>
        <v>#DIV/0!</v>
      </c>
      <c r="K1212" s="2" t="e">
        <f t="shared" si="103"/>
        <v>#DIV/0!</v>
      </c>
      <c r="L1212" s="2" t="e">
        <f>AVERAGE(D1212:K1212)</f>
        <v>#DIV/0!</v>
      </c>
      <c r="M1212" s="2" t="e">
        <f xml:space="preserve"> _xlfn.STDEV.S(D1212:K1212) / SQRT(COUNT(D1212:K1212))</f>
        <v>#DIV/0!</v>
      </c>
      <c r="N1212" s="2" t="e">
        <f>M1212*$N$2</f>
        <v>#DIV/0!</v>
      </c>
    </row>
    <row r="1213" spans="2:14" x14ac:dyDescent="0.55000000000000004">
      <c r="C1213" s="2" t="s">
        <v>27</v>
      </c>
      <c r="D1213" s="2" t="e">
        <f>(1/COUNT(D69,D157,D245,D333,D421,D509,D597,D685,D773,D861,D949,D1037,D1125))*SQRT(SUMSQ(D69,D157,D245,D333,D421,D509,D597,D685,D773,D861,D949,D1037,D1125))</f>
        <v>#DIV/0!</v>
      </c>
      <c r="E1213" s="2" t="e">
        <f t="shared" ref="E1213:K1213" si="104">(1/COUNT(E69,E157,E245,E333,E421,E509,E597,E685,E773,E861,E949,E1037,E1125))*SQRT(SUMSQ(E69,E157,E245,E333,E421,E509,E597,E685,E773,E861,E949,E1037,E1125))</f>
        <v>#DIV/0!</v>
      </c>
      <c r="F1213" s="2" t="e">
        <f t="shared" si="104"/>
        <v>#DIV/0!</v>
      </c>
      <c r="G1213" s="2" t="e">
        <f t="shared" si="104"/>
        <v>#DIV/0!</v>
      </c>
      <c r="H1213" s="2" t="e">
        <f t="shared" si="104"/>
        <v>#DIV/0!</v>
      </c>
      <c r="I1213" s="2" t="e">
        <f t="shared" si="104"/>
        <v>#DIV/0!</v>
      </c>
      <c r="J1213" s="2" t="e">
        <f t="shared" si="104"/>
        <v>#DIV/0!</v>
      </c>
      <c r="K1213" s="2" t="e">
        <f t="shared" si="104"/>
        <v>#DIV/0!</v>
      </c>
      <c r="L1213" s="2" t="e">
        <f>(1/COUNT(D1213:K1213))*SQRT(SUMSQ(D1213:K1213))</f>
        <v>#DIV/0!</v>
      </c>
    </row>
    <row r="1214" spans="2:14" ht="14.5" customHeight="1" x14ac:dyDescent="0.55000000000000004">
      <c r="C1214" s="2" t="s">
        <v>28</v>
      </c>
      <c r="D1214" s="2" t="e">
        <f>AVERAGE(D70,D158,D246,D334,D422,D510,D598,D686,D774,D862,D950,D1038,D1126)</f>
        <v>#DIV/0!</v>
      </c>
      <c r="E1214" s="2" t="e">
        <f t="shared" ref="E1214:K1214" si="105">AVERAGE(E70,E158,E246,E334,E422,E510,E598,E686,E774,E862,E950,E1038,E1126)</f>
        <v>#DIV/0!</v>
      </c>
      <c r="F1214" s="2" t="e">
        <f t="shared" si="105"/>
        <v>#DIV/0!</v>
      </c>
      <c r="G1214" s="2" t="e">
        <f t="shared" si="105"/>
        <v>#DIV/0!</v>
      </c>
      <c r="H1214" s="2" t="e">
        <f t="shared" si="105"/>
        <v>#DIV/0!</v>
      </c>
      <c r="I1214" s="2" t="e">
        <f t="shared" si="105"/>
        <v>#DIV/0!</v>
      </c>
      <c r="J1214" s="2" t="e">
        <f t="shared" si="105"/>
        <v>#DIV/0!</v>
      </c>
      <c r="K1214" s="2" t="e">
        <f t="shared" si="105"/>
        <v>#DIV/0!</v>
      </c>
      <c r="L1214" s="2" t="e">
        <f>AVERAGE(D1214:K1214)</f>
        <v>#DIV/0!</v>
      </c>
      <c r="M1214" s="2" t="e">
        <f xml:space="preserve"> _xlfn.STDEV.S(D1214:K1214) / SQRT(COUNT(D1214:K1214))</f>
        <v>#DIV/0!</v>
      </c>
      <c r="N1214" s="2" t="e">
        <f>M1214*$N$2</f>
        <v>#DIV/0!</v>
      </c>
    </row>
    <row r="1215" spans="2:14" x14ac:dyDescent="0.55000000000000004">
      <c r="C1215" s="2" t="s">
        <v>29</v>
      </c>
      <c r="D1215" s="2" t="e">
        <f>(1/COUNT(D71,D159,D247,D335,D423,D511,D599,D687,D775,D863,D951,D1039,D1127))*SQRT(SUMSQ(D71,D159,D247,D335,D423,D511,D599,D687,D775,D863,D951,D1039,D1127))</f>
        <v>#DIV/0!</v>
      </c>
      <c r="E1215" s="2" t="e">
        <f t="shared" ref="E1215:K1215" si="106">(1/COUNT(E71,E159,E247,E335,E423,E511,E599,E687,E775,E863,E951,E1039,E1127))*SQRT(SUMSQ(E71,E159,E247,E335,E423,E511,E599,E687,E775,E863,E951,E1039,E1127))</f>
        <v>#DIV/0!</v>
      </c>
      <c r="F1215" s="2" t="e">
        <f t="shared" si="106"/>
        <v>#DIV/0!</v>
      </c>
      <c r="G1215" s="2" t="e">
        <f t="shared" si="106"/>
        <v>#DIV/0!</v>
      </c>
      <c r="H1215" s="2" t="e">
        <f t="shared" si="106"/>
        <v>#DIV/0!</v>
      </c>
      <c r="I1215" s="2" t="e">
        <f t="shared" si="106"/>
        <v>#DIV/0!</v>
      </c>
      <c r="J1215" s="2" t="e">
        <f t="shared" si="106"/>
        <v>#DIV/0!</v>
      </c>
      <c r="K1215" s="2" t="e">
        <f t="shared" si="106"/>
        <v>#DIV/0!</v>
      </c>
      <c r="L1215" s="2" t="e">
        <f>(1/COUNT(D1215:K1215))*SQRT(SUMSQ(D1215:K1215))</f>
        <v>#DIV/0!</v>
      </c>
    </row>
    <row r="1216" spans="2:14" x14ac:dyDescent="0.55000000000000004">
      <c r="C1216" s="2" t="s">
        <v>30</v>
      </c>
      <c r="D1216" s="2" t="e">
        <f>AVERAGE(D72,D160,D248,D336,D424,D512,D600,D688,D776,D864,D952,D1040,D1128)</f>
        <v>#DIV/0!</v>
      </c>
      <c r="E1216" s="2" t="e">
        <f t="shared" ref="E1216:K1216" si="107">AVERAGE(E72,E160,E248,E336,E424,E512,E600,E688,E776,E864,E952,E1040,E1128)</f>
        <v>#DIV/0!</v>
      </c>
      <c r="F1216" s="2" t="e">
        <f t="shared" si="107"/>
        <v>#DIV/0!</v>
      </c>
      <c r="G1216" s="2" t="e">
        <f t="shared" si="107"/>
        <v>#DIV/0!</v>
      </c>
      <c r="H1216" s="2" t="e">
        <f t="shared" si="107"/>
        <v>#DIV/0!</v>
      </c>
      <c r="I1216" s="2" t="e">
        <f t="shared" si="107"/>
        <v>#DIV/0!</v>
      </c>
      <c r="J1216" s="2" t="e">
        <f t="shared" si="107"/>
        <v>#DIV/0!</v>
      </c>
      <c r="K1216" s="2" t="e">
        <f t="shared" si="107"/>
        <v>#DIV/0!</v>
      </c>
      <c r="L1216" s="2" t="e">
        <f>AVERAGE(D1216:K1216)</f>
        <v>#DIV/0!</v>
      </c>
      <c r="M1216" s="2" t="e">
        <f xml:space="preserve"> _xlfn.STDEV.S(D1216:K1216) / SQRT(COUNT(D1216:K1216))</f>
        <v>#DIV/0!</v>
      </c>
      <c r="N1216" s="2" t="e">
        <f>M1216*$N$2</f>
        <v>#DIV/0!</v>
      </c>
    </row>
    <row r="1217" spans="2:14" x14ac:dyDescent="0.55000000000000004">
      <c r="C1217" s="2" t="s">
        <v>31</v>
      </c>
      <c r="D1217" s="2" t="e">
        <f>(1/COUNT(D73,D161,D249,D337,D425,D513,D601,D689,D777,D865,D953,D1041,D1129))*SQRT(SUMSQ(D73,D161,D249,D337,D425,D513,D601,D689,D777,D865,D953,D1041,D1129))</f>
        <v>#DIV/0!</v>
      </c>
      <c r="E1217" s="2" t="e">
        <f t="shared" ref="E1217:K1217" si="108">(1/COUNT(E73,E161,E249,E337,E425,E513,E601,E689,E777,E865,E953,E1041,E1129))*SQRT(SUMSQ(E73,E161,E249,E337,E425,E513,E601,E689,E777,E865,E953,E1041,E1129))</f>
        <v>#DIV/0!</v>
      </c>
      <c r="F1217" s="2" t="e">
        <f t="shared" si="108"/>
        <v>#DIV/0!</v>
      </c>
      <c r="G1217" s="2" t="e">
        <f t="shared" si="108"/>
        <v>#DIV/0!</v>
      </c>
      <c r="H1217" s="2" t="e">
        <f t="shared" si="108"/>
        <v>#DIV/0!</v>
      </c>
      <c r="I1217" s="2" t="e">
        <f t="shared" si="108"/>
        <v>#DIV/0!</v>
      </c>
      <c r="J1217" s="2" t="e">
        <f t="shared" si="108"/>
        <v>#DIV/0!</v>
      </c>
      <c r="K1217" s="2" t="e">
        <f t="shared" si="108"/>
        <v>#DIV/0!</v>
      </c>
      <c r="L1217" s="2" t="e">
        <f>(1/COUNT(D1217:K1217))*SQRT(SUMSQ(D1217:K1217))</f>
        <v>#DIV/0!</v>
      </c>
    </row>
    <row r="1218" spans="2:14" x14ac:dyDescent="0.55000000000000004">
      <c r="B1218" s="2" t="s">
        <v>36</v>
      </c>
      <c r="C1218" s="2" t="s">
        <v>22</v>
      </c>
      <c r="D1218" s="2">
        <f>AVERAGE(D74,D162,D250,D338,D426,D514,D602,D690,D778,D866,D954,D1042,D1130)</f>
        <v>0.80705469230769233</v>
      </c>
      <c r="E1218" s="2">
        <f>AVERAGE(E74,E162,E250,E338,E426,E514,E602,E690,E778,E866,E954,E1042,E1130)</f>
        <v>0.86749700000000007</v>
      </c>
      <c r="F1218" s="2">
        <f t="shared" ref="F1218:K1218" si="109">AVERAGE(F74,F162,F250,F338,F426,F514,F602,F690,F778,F866,F954,F1042,F1130)</f>
        <v>0.72202346153846153</v>
      </c>
      <c r="G1218" s="2">
        <f t="shared" si="109"/>
        <v>0.8725472307692308</v>
      </c>
      <c r="H1218" s="2">
        <f t="shared" si="109"/>
        <v>0.83259630769230764</v>
      </c>
      <c r="I1218" s="2">
        <f t="shared" si="109"/>
        <v>0.85888746153846163</v>
      </c>
      <c r="J1218" s="2">
        <f t="shared" si="109"/>
        <v>0.86836192307692306</v>
      </c>
      <c r="K1218" s="2">
        <f t="shared" si="109"/>
        <v>0.7439778461538461</v>
      </c>
      <c r="L1218" s="2">
        <f>AVERAGE(D1218:K1218)</f>
        <v>0.82161824038461539</v>
      </c>
      <c r="M1218" s="2">
        <f xml:space="preserve"> _xlfn.STDEV.S(D1218:K1218) / SQRT(COUNT(D1218:K1218))</f>
        <v>2.0938837397209906E-2</v>
      </c>
      <c r="N1218" s="2">
        <f>M1218*$N$2</f>
        <v>2.3433891010361769E-2</v>
      </c>
    </row>
    <row r="1219" spans="2:14" x14ac:dyDescent="0.55000000000000004">
      <c r="C1219" s="2" t="s">
        <v>24</v>
      </c>
      <c r="D1219" s="2">
        <f t="shared" ref="D1219:K1234" si="110">AVERAGE(D75,D163,D251,D339,D427,D515,D603,D691,D779,D867,D955,D1043,D1131)</f>
        <v>0.58980738461538462</v>
      </c>
      <c r="E1219" s="2">
        <f t="shared" si="110"/>
        <v>0.48914976923076925</v>
      </c>
      <c r="F1219" s="2">
        <f t="shared" si="110"/>
        <v>0.6902727692307693</v>
      </c>
      <c r="G1219" s="2">
        <f t="shared" si="110"/>
        <v>0.48114946153846155</v>
      </c>
      <c r="H1219" s="2">
        <f t="shared" si="110"/>
        <v>0.55352676923076927</v>
      </c>
      <c r="I1219" s="2">
        <f t="shared" si="110"/>
        <v>0.51265799999999995</v>
      </c>
      <c r="J1219" s="2">
        <f t="shared" si="110"/>
        <v>0.48169292307692313</v>
      </c>
      <c r="K1219" s="2">
        <f t="shared" si="110"/>
        <v>0.67775315384615398</v>
      </c>
      <c r="L1219" s="2">
        <f t="shared" ref="L1219:L1235" si="111">AVERAGE(D1219:K1219)</f>
        <v>0.55950127884615386</v>
      </c>
      <c r="M1219" s="2">
        <f t="shared" ref="M1219:M1235" si="112" xml:space="preserve"> _xlfn.STDEV.S(D1219:K1219) / SQRT(COUNT(D1219:K1219))</f>
        <v>3.0288970951138867E-2</v>
      </c>
      <c r="N1219" s="2">
        <f t="shared" ref="N1219:N1239" si="113">M1219*$N$2</f>
        <v>3.3898178328639249E-2</v>
      </c>
    </row>
    <row r="1220" spans="2:14" x14ac:dyDescent="0.55000000000000004">
      <c r="C1220" s="2" t="s">
        <v>26</v>
      </c>
      <c r="D1220" s="2">
        <f t="shared" si="110"/>
        <v>0.43646569230769228</v>
      </c>
      <c r="E1220" s="2">
        <f t="shared" si="110"/>
        <v>0.55066500000000007</v>
      </c>
      <c r="F1220" s="2">
        <f t="shared" si="110"/>
        <v>0.44018323076923072</v>
      </c>
      <c r="G1220" s="2">
        <f t="shared" si="110"/>
        <v>0.54073730769230766</v>
      </c>
      <c r="H1220" s="2">
        <f t="shared" si="110"/>
        <v>0.49432269230769232</v>
      </c>
      <c r="I1220" s="2">
        <f t="shared" si="110"/>
        <v>0.36662100000000003</v>
      </c>
      <c r="J1220" s="2">
        <f t="shared" si="110"/>
        <v>0.49053723076923078</v>
      </c>
      <c r="K1220" s="2">
        <f t="shared" si="110"/>
        <v>0.30522069230769228</v>
      </c>
      <c r="L1220" s="2">
        <f t="shared" si="111"/>
        <v>0.45309410576923076</v>
      </c>
      <c r="M1220" s="2">
        <f t="shared" si="112"/>
        <v>2.9907755044142302E-2</v>
      </c>
      <c r="N1220" s="2">
        <f t="shared" si="113"/>
        <v>3.3471537066447489E-2</v>
      </c>
    </row>
    <row r="1221" spans="2:14" x14ac:dyDescent="0.55000000000000004">
      <c r="C1221" s="2" t="s">
        <v>28</v>
      </c>
      <c r="D1221" s="2">
        <f t="shared" si="110"/>
        <v>3.404604692307692</v>
      </c>
      <c r="E1221" s="2">
        <f t="shared" si="110"/>
        <v>2.9757530769230773</v>
      </c>
      <c r="F1221" s="2">
        <f t="shared" si="110"/>
        <v>2.4448328461538464</v>
      </c>
      <c r="G1221" s="2">
        <f t="shared" si="110"/>
        <v>3.076200692307693</v>
      </c>
      <c r="H1221" s="2">
        <f t="shared" si="110"/>
        <v>1.7764062307692305</v>
      </c>
      <c r="I1221" s="2">
        <f t="shared" si="110"/>
        <v>4.2694400769230771</v>
      </c>
      <c r="J1221" s="2">
        <f t="shared" si="110"/>
        <v>3.4110797692307697</v>
      </c>
      <c r="K1221" s="2">
        <f t="shared" si="110"/>
        <v>3.028746153846154</v>
      </c>
      <c r="L1221" s="2">
        <f t="shared" si="111"/>
        <v>3.0483829423076929</v>
      </c>
      <c r="M1221" s="2">
        <f t="shared" si="112"/>
        <v>0.25836212994809504</v>
      </c>
      <c r="N1221" s="2">
        <f t="shared" si="113"/>
        <v>0.28914833615429553</v>
      </c>
    </row>
    <row r="1222" spans="2:14" x14ac:dyDescent="0.55000000000000004">
      <c r="C1222" s="2" t="s">
        <v>30</v>
      </c>
      <c r="D1222" s="2">
        <f t="shared" si="110"/>
        <v>15.173086769230768</v>
      </c>
      <c r="E1222" s="2">
        <f t="shared" si="110"/>
        <v>16.479978923076924</v>
      </c>
      <c r="F1222" s="2">
        <f t="shared" si="110"/>
        <v>14.170869000000001</v>
      </c>
      <c r="G1222" s="2">
        <f t="shared" si="110"/>
        <v>15.326092000000001</v>
      </c>
      <c r="H1222" s="2">
        <f t="shared" si="110"/>
        <v>11.201678384615384</v>
      </c>
      <c r="I1222" s="2">
        <f t="shared" si="110"/>
        <v>17.362256153846154</v>
      </c>
      <c r="J1222" s="2">
        <f t="shared" si="110"/>
        <v>18.276479153846154</v>
      </c>
      <c r="K1222" s="2">
        <f t="shared" si="110"/>
        <v>14.318974615384615</v>
      </c>
      <c r="L1222" s="2">
        <f t="shared" si="111"/>
        <v>15.288676875</v>
      </c>
      <c r="M1222" s="2">
        <f t="shared" si="112"/>
        <v>0.77406658761124336</v>
      </c>
      <c r="N1222" s="2">
        <f t="shared" si="113"/>
        <v>0.86630368748465447</v>
      </c>
    </row>
    <row r="1223" spans="2:14" x14ac:dyDescent="0.55000000000000004">
      <c r="B1223" s="2" t="s">
        <v>62</v>
      </c>
      <c r="C1223" s="2" t="s">
        <v>22</v>
      </c>
      <c r="D1223" s="2">
        <f t="shared" si="110"/>
        <v>0.75986923076923085</v>
      </c>
      <c r="E1223" s="2">
        <f t="shared" si="110"/>
        <v>0.78804115384615359</v>
      </c>
      <c r="F1223" s="2">
        <f t="shared" si="110"/>
        <v>0.62103592307692312</v>
      </c>
      <c r="G1223" s="2">
        <f t="shared" si="110"/>
        <v>0.81563576923076941</v>
      </c>
      <c r="H1223" s="2">
        <f t="shared" si="110"/>
        <v>0.7339508461538462</v>
      </c>
      <c r="I1223" s="2">
        <f t="shared" si="110"/>
        <v>0.80405469230769222</v>
      </c>
      <c r="J1223" s="2">
        <f t="shared" si="110"/>
        <v>0.81620007692307672</v>
      </c>
      <c r="K1223" s="2">
        <f t="shared" si="110"/>
        <v>0.64615876923076909</v>
      </c>
      <c r="L1223" s="2">
        <f t="shared" si="111"/>
        <v>0.74811830769230769</v>
      </c>
      <c r="M1223" s="2">
        <f t="shared" si="112"/>
        <v>2.6992369558517061E-2</v>
      </c>
      <c r="N1223" s="2">
        <f t="shared" si="113"/>
        <v>3.020875678751777E-2</v>
      </c>
    </row>
    <row r="1224" spans="2:14" x14ac:dyDescent="0.55000000000000004">
      <c r="C1224" s="2" t="s">
        <v>24</v>
      </c>
      <c r="D1224" s="2">
        <f t="shared" si="110"/>
        <v>0.6612452307692307</v>
      </c>
      <c r="E1224" s="2">
        <f t="shared" si="110"/>
        <v>0.60867015384615386</v>
      </c>
      <c r="F1224" s="2">
        <f t="shared" si="110"/>
        <v>0.79738323076923101</v>
      </c>
      <c r="G1224" s="2">
        <f t="shared" si="110"/>
        <v>0.57575269230769233</v>
      </c>
      <c r="H1224" s="2">
        <f t="shared" si="110"/>
        <v>0.68691823076923064</v>
      </c>
      <c r="I1224" s="2">
        <f t="shared" si="110"/>
        <v>0.60126530769230768</v>
      </c>
      <c r="J1224" s="2">
        <f t="shared" si="110"/>
        <v>0.56939607692307692</v>
      </c>
      <c r="K1224" s="2">
        <f t="shared" si="110"/>
        <v>0.79176953846153864</v>
      </c>
      <c r="L1224" s="2">
        <f t="shared" si="111"/>
        <v>0.66155005769230779</v>
      </c>
      <c r="M1224" s="2">
        <f t="shared" si="112"/>
        <v>3.2275455235409693E-2</v>
      </c>
      <c r="N1224" s="2">
        <f t="shared" si="113"/>
        <v>3.6121370348727332E-2</v>
      </c>
    </row>
    <row r="1225" spans="2:14" x14ac:dyDescent="0.55000000000000004">
      <c r="C1225" s="2" t="s">
        <v>26</v>
      </c>
      <c r="D1225" s="2">
        <f t="shared" si="110"/>
        <v>0.36885030769230764</v>
      </c>
      <c r="E1225" s="2">
        <f t="shared" si="110"/>
        <v>0.43703946153846157</v>
      </c>
      <c r="F1225" s="2">
        <f t="shared" si="110"/>
        <v>0.37607915384615381</v>
      </c>
      <c r="G1225" s="2">
        <f t="shared" si="110"/>
        <v>0.45229484615384613</v>
      </c>
      <c r="H1225" s="2">
        <f t="shared" si="110"/>
        <v>0.37910992307692304</v>
      </c>
      <c r="I1225" s="2">
        <f t="shared" si="110"/>
        <v>0.301757</v>
      </c>
      <c r="J1225" s="2">
        <f t="shared" si="110"/>
        <v>0.40485899999999997</v>
      </c>
      <c r="K1225" s="2">
        <f t="shared" si="110"/>
        <v>0.22857307692307691</v>
      </c>
      <c r="L1225" s="2">
        <f t="shared" si="111"/>
        <v>0.3685703461538461</v>
      </c>
      <c r="M1225" s="2">
        <f t="shared" si="112"/>
        <v>2.5789491190784379E-2</v>
      </c>
      <c r="N1225" s="2">
        <f t="shared" si="113"/>
        <v>2.8862544481961322E-2</v>
      </c>
    </row>
    <row r="1226" spans="2:14" x14ac:dyDescent="0.55000000000000004">
      <c r="C1226" s="2" t="s">
        <v>28</v>
      </c>
      <c r="D1226" s="2">
        <f t="shared" si="110"/>
        <v>4.3735582307692304</v>
      </c>
      <c r="E1226" s="2">
        <f t="shared" si="110"/>
        <v>4.7107789230769228</v>
      </c>
      <c r="F1226" s="2">
        <f t="shared" si="110"/>
        <v>3.3257809999999997</v>
      </c>
      <c r="G1226" s="2">
        <f t="shared" si="110"/>
        <v>4.1492064615384612</v>
      </c>
      <c r="H1226" s="2">
        <f t="shared" si="110"/>
        <v>2.9590002307692305</v>
      </c>
      <c r="I1226" s="2">
        <f t="shared" si="110"/>
        <v>7.0850434615384605</v>
      </c>
      <c r="J1226" s="2">
        <f t="shared" si="110"/>
        <v>4.6539504615384617</v>
      </c>
      <c r="K1226" s="2">
        <f t="shared" si="110"/>
        <v>3.9915766153846146</v>
      </c>
      <c r="L1226" s="2">
        <f t="shared" si="111"/>
        <v>4.4061119230769226</v>
      </c>
      <c r="M1226" s="2">
        <f t="shared" si="112"/>
        <v>0.43978620909044791</v>
      </c>
      <c r="N1226" s="2">
        <f t="shared" si="113"/>
        <v>0.49219075043101423</v>
      </c>
    </row>
    <row r="1227" spans="2:14" x14ac:dyDescent="0.55000000000000004">
      <c r="C1227" s="2" t="s">
        <v>30</v>
      </c>
      <c r="D1227" s="2">
        <f t="shared" si="110"/>
        <v>17.491266846153845</v>
      </c>
      <c r="E1227" s="2">
        <f t="shared" si="110"/>
        <v>18.91934061538462</v>
      </c>
      <c r="F1227" s="2">
        <f t="shared" si="110"/>
        <v>17.635603769230769</v>
      </c>
      <c r="G1227" s="2">
        <f t="shared" si="110"/>
        <v>17.097439230769229</v>
      </c>
      <c r="H1227" s="2">
        <f t="shared" si="110"/>
        <v>16.872782923076922</v>
      </c>
      <c r="I1227" s="2">
        <f t="shared" si="110"/>
        <v>23.293243230769232</v>
      </c>
      <c r="J1227" s="2">
        <f t="shared" si="110"/>
        <v>20.812447692307693</v>
      </c>
      <c r="K1227" s="2">
        <f t="shared" si="110"/>
        <v>18.648590538461541</v>
      </c>
      <c r="L1227" s="2">
        <f t="shared" si="111"/>
        <v>18.846339355769231</v>
      </c>
      <c r="M1227" s="2">
        <f t="shared" si="112"/>
        <v>0.77851333425386371</v>
      </c>
      <c r="N1227" s="2">
        <f t="shared" si="113"/>
        <v>0.87128030458125338</v>
      </c>
    </row>
    <row r="1228" spans="2:14" x14ac:dyDescent="0.55000000000000004">
      <c r="B1228" s="2" t="s">
        <v>39</v>
      </c>
      <c r="C1228" s="2" t="s">
        <v>22</v>
      </c>
      <c r="D1228" s="2">
        <f t="shared" si="110"/>
        <v>0.83698476923076925</v>
      </c>
      <c r="E1228" s="2">
        <f t="shared" si="110"/>
        <v>0.90774699999999975</v>
      </c>
      <c r="F1228" s="2">
        <f t="shared" si="110"/>
        <v>0.7488704615384616</v>
      </c>
      <c r="G1228" s="2">
        <f t="shared" si="110"/>
        <v>0.82913246153846143</v>
      </c>
      <c r="H1228" s="2">
        <f t="shared" si="110"/>
        <v>0.84014515384615385</v>
      </c>
      <c r="I1228" s="2">
        <f t="shared" si="110"/>
        <v>0.88044899999999993</v>
      </c>
      <c r="J1228" s="2">
        <f t="shared" si="110"/>
        <v>0.89111446153846174</v>
      </c>
      <c r="K1228" s="2">
        <f t="shared" si="110"/>
        <v>0.72597561538461519</v>
      </c>
      <c r="L1228" s="2">
        <f t="shared" si="111"/>
        <v>0.8325523653846153</v>
      </c>
      <c r="M1228" s="2">
        <f t="shared" si="112"/>
        <v>2.3079094143458455E-2</v>
      </c>
      <c r="N1228" s="2">
        <f t="shared" si="113"/>
        <v>2.5829178884962826E-2</v>
      </c>
    </row>
    <row r="1229" spans="2:14" x14ac:dyDescent="0.55000000000000004">
      <c r="C1229" s="2" t="s">
        <v>24</v>
      </c>
      <c r="D1229" s="2">
        <f t="shared" si="110"/>
        <v>0.54734315384615384</v>
      </c>
      <c r="E1229" s="2">
        <f t="shared" si="110"/>
        <v>0.41636753846153851</v>
      </c>
      <c r="F1229" s="2">
        <f t="shared" si="110"/>
        <v>0.66357884615384621</v>
      </c>
      <c r="G1229" s="2">
        <f t="shared" si="110"/>
        <v>0.55810223076923082</v>
      </c>
      <c r="H1229" s="2">
        <f t="shared" si="110"/>
        <v>0.54326315384615387</v>
      </c>
      <c r="I1229" s="2">
        <f t="shared" si="110"/>
        <v>0.4763726923076923</v>
      </c>
      <c r="J1229" s="2">
        <f t="shared" si="110"/>
        <v>0.44800123076923082</v>
      </c>
      <c r="K1229" s="2">
        <f t="shared" si="110"/>
        <v>0.6985316923076923</v>
      </c>
      <c r="L1229" s="2">
        <f t="shared" si="111"/>
        <v>0.54394506730769232</v>
      </c>
      <c r="M1229" s="2">
        <f t="shared" si="112"/>
        <v>3.496655913783419E-2</v>
      </c>
      <c r="N1229" s="2">
        <f t="shared" si="113"/>
        <v>3.9133143846494599E-2</v>
      </c>
    </row>
    <row r="1230" spans="2:14" x14ac:dyDescent="0.55000000000000004">
      <c r="C1230" s="2" t="s">
        <v>26</v>
      </c>
      <c r="D1230" s="2">
        <f t="shared" si="110"/>
        <v>0.48251161538461546</v>
      </c>
      <c r="E1230" s="2">
        <f t="shared" si="110"/>
        <v>0.62722853846153848</v>
      </c>
      <c r="F1230" s="2">
        <f t="shared" si="110"/>
        <v>0.45592530769230777</v>
      </c>
      <c r="G1230" s="2">
        <f t="shared" si="110"/>
        <v>0.46618253846153845</v>
      </c>
      <c r="H1230" s="2">
        <f t="shared" si="110"/>
        <v>0.50299000000000005</v>
      </c>
      <c r="I1230" s="2">
        <f t="shared" si="110"/>
        <v>0.39949276923076926</v>
      </c>
      <c r="J1230" s="2">
        <f t="shared" si="110"/>
        <v>0.52266615384615389</v>
      </c>
      <c r="K1230" s="2">
        <f t="shared" si="110"/>
        <v>0.30046792307692305</v>
      </c>
      <c r="L1230" s="2">
        <f t="shared" si="111"/>
        <v>0.46968310576923084</v>
      </c>
      <c r="M1230" s="2">
        <f t="shared" si="112"/>
        <v>3.3451371684547551E-2</v>
      </c>
      <c r="N1230" s="2">
        <f t="shared" si="113"/>
        <v>3.7437407976970247E-2</v>
      </c>
    </row>
    <row r="1231" spans="2:14" x14ac:dyDescent="0.55000000000000004">
      <c r="C1231" s="2" t="s">
        <v>28</v>
      </c>
      <c r="D1231" s="2">
        <f t="shared" si="110"/>
        <v>2.6137090000000001</v>
      </c>
      <c r="E1231" s="2">
        <f t="shared" si="110"/>
        <v>2.3907117692307689</v>
      </c>
      <c r="F1231" s="2">
        <f t="shared" si="110"/>
        <v>2.3184362307692306</v>
      </c>
      <c r="G1231" s="2">
        <f t="shared" si="110"/>
        <v>3.9429376153846154</v>
      </c>
      <c r="H1231" s="2">
        <f t="shared" si="110"/>
        <v>1.721407846153846</v>
      </c>
      <c r="I1231" s="2">
        <f t="shared" si="110"/>
        <v>3.5533681538461539</v>
      </c>
      <c r="J1231" s="2">
        <f t="shared" si="110"/>
        <v>3.0171624615384616</v>
      </c>
      <c r="K1231" s="2">
        <f t="shared" si="110"/>
        <v>3.2466089230769226</v>
      </c>
      <c r="L1231" s="2">
        <f t="shared" si="111"/>
        <v>2.8505427500000002</v>
      </c>
      <c r="M1231" s="2">
        <f t="shared" si="112"/>
        <v>0.25695811105414923</v>
      </c>
      <c r="N1231" s="2">
        <f t="shared" si="113"/>
        <v>0.28757701559274423</v>
      </c>
    </row>
    <row r="1232" spans="2:14" x14ac:dyDescent="0.55000000000000004">
      <c r="C1232" s="2" t="s">
        <v>30</v>
      </c>
      <c r="D1232" s="2">
        <f t="shared" si="110"/>
        <v>14.26795576923077</v>
      </c>
      <c r="E1232" s="2">
        <f t="shared" si="110"/>
        <v>16.405360538461544</v>
      </c>
      <c r="F1232" s="2">
        <f t="shared" si="110"/>
        <v>14.144501923076923</v>
      </c>
      <c r="G1232" s="2">
        <f t="shared" si="110"/>
        <v>16.720682307692307</v>
      </c>
      <c r="H1232" s="2">
        <f t="shared" si="110"/>
        <v>10.811382153846154</v>
      </c>
      <c r="I1232" s="2">
        <f t="shared" si="110"/>
        <v>17.36888230769231</v>
      </c>
      <c r="J1232" s="2">
        <f t="shared" si="110"/>
        <v>18.142798384615386</v>
      </c>
      <c r="K1232" s="2">
        <f t="shared" si="110"/>
        <v>15.481706692307693</v>
      </c>
      <c r="L1232" s="2">
        <f t="shared" si="111"/>
        <v>15.417908759615385</v>
      </c>
      <c r="M1232" s="2">
        <f t="shared" si="112"/>
        <v>0.82453142087054854</v>
      </c>
      <c r="N1232" s="2">
        <f t="shared" si="113"/>
        <v>0.92278186628804004</v>
      </c>
    </row>
    <row r="1233" spans="2:14" x14ac:dyDescent="0.55000000000000004">
      <c r="B1233" s="2" t="s">
        <v>61</v>
      </c>
      <c r="C1233" s="2" t="s">
        <v>22</v>
      </c>
      <c r="D1233" s="2">
        <f t="shared" si="110"/>
        <v>0.75317992307692316</v>
      </c>
      <c r="E1233" s="2">
        <f t="shared" si="110"/>
        <v>0.76922976923076913</v>
      </c>
      <c r="F1233" s="2">
        <f t="shared" si="110"/>
        <v>0.61179138461538451</v>
      </c>
      <c r="G1233" s="2">
        <f t="shared" si="110"/>
        <v>0.80886492307692315</v>
      </c>
      <c r="H1233" s="2">
        <f t="shared" si="110"/>
        <v>0.69839792307692306</v>
      </c>
      <c r="I1233" s="2">
        <f t="shared" si="110"/>
        <v>0.78234361538461528</v>
      </c>
      <c r="J1233" s="2">
        <f t="shared" si="110"/>
        <v>0.80981930769230803</v>
      </c>
      <c r="K1233" s="2">
        <f t="shared" si="110"/>
        <v>0.62604638461538464</v>
      </c>
      <c r="L1233" s="2">
        <f t="shared" si="111"/>
        <v>0.7324591538461539</v>
      </c>
      <c r="M1233" s="2">
        <f t="shared" si="112"/>
        <v>2.7754304151117227E-2</v>
      </c>
      <c r="N1233" s="2">
        <f t="shared" si="113"/>
        <v>3.1061482842040543E-2</v>
      </c>
    </row>
    <row r="1234" spans="2:14" x14ac:dyDescent="0.55000000000000004">
      <c r="C1234" s="2" t="s">
        <v>24</v>
      </c>
      <c r="D1234" s="2">
        <f t="shared" si="110"/>
        <v>0.68600092307692306</v>
      </c>
      <c r="E1234" s="2">
        <f t="shared" si="110"/>
        <v>0.64205269230769235</v>
      </c>
      <c r="F1234" s="2">
        <f t="shared" si="110"/>
        <v>0.85596246153846134</v>
      </c>
      <c r="G1234" s="2">
        <f t="shared" si="110"/>
        <v>0.57221807692307691</v>
      </c>
      <c r="H1234" s="2">
        <f t="shared" si="110"/>
        <v>0.75504338461538445</v>
      </c>
      <c r="I1234" s="2">
        <f t="shared" si="110"/>
        <v>0.64485207692307689</v>
      </c>
      <c r="J1234" s="2">
        <f t="shared" si="110"/>
        <v>0.58477915384615387</v>
      </c>
      <c r="K1234" s="2">
        <f t="shared" si="110"/>
        <v>0.84417838461538475</v>
      </c>
      <c r="L1234" s="2">
        <f t="shared" si="111"/>
        <v>0.69813589423076916</v>
      </c>
      <c r="M1234" s="2">
        <f t="shared" si="112"/>
        <v>3.8801898969461561E-2</v>
      </c>
      <c r="N1234" s="2">
        <f t="shared" si="113"/>
        <v>4.3425499429428312E-2</v>
      </c>
    </row>
    <row r="1235" spans="2:14" x14ac:dyDescent="0.55000000000000004">
      <c r="C1235" s="2" t="s">
        <v>26</v>
      </c>
      <c r="D1235" s="2">
        <f t="shared" ref="D1235:K1235" si="114">AVERAGE(D91,D179,D267,D355,D443,D531,D619,D707,D795,D883,D971,D1059,D1147)</f>
        <v>0.39884746153846157</v>
      </c>
      <c r="E1235" s="2">
        <f t="shared" si="114"/>
        <v>0.45204400000000011</v>
      </c>
      <c r="F1235" s="2">
        <f t="shared" si="114"/>
        <v>0.40322484615384613</v>
      </c>
      <c r="G1235" s="2">
        <f t="shared" si="114"/>
        <v>0.49307438461538466</v>
      </c>
      <c r="H1235" s="2">
        <f t="shared" si="114"/>
        <v>0.36065953846153848</v>
      </c>
      <c r="I1235" s="2">
        <f t="shared" si="114"/>
        <v>0.3183490769230769</v>
      </c>
      <c r="J1235" s="2">
        <f t="shared" si="114"/>
        <v>0.43370723076923079</v>
      </c>
      <c r="K1235" s="2">
        <f t="shared" si="114"/>
        <v>0.22162961538461534</v>
      </c>
      <c r="L1235" s="2">
        <f t="shared" si="111"/>
        <v>0.38519201923076923</v>
      </c>
      <c r="M1235" s="2">
        <f t="shared" si="112"/>
        <v>3.0117523760144878E-2</v>
      </c>
      <c r="N1235" s="2">
        <f t="shared" si="113"/>
        <v>3.370630163980641E-2</v>
      </c>
    </row>
    <row r="1237" spans="2:14" x14ac:dyDescent="0.55000000000000004">
      <c r="B1237" s="2" t="s">
        <v>47</v>
      </c>
      <c r="C1237" s="2" t="s">
        <v>22</v>
      </c>
      <c r="D1237" s="2">
        <v>0.97232700000000005</v>
      </c>
      <c r="E1237" s="2">
        <v>0.97169099999999997</v>
      </c>
      <c r="F1237" s="2">
        <v>0.954623</v>
      </c>
      <c r="G1237" s="2">
        <v>0.97779799999999994</v>
      </c>
      <c r="H1237" s="2">
        <v>0.96693899999999999</v>
      </c>
      <c r="I1237" s="2">
        <v>0.96068100000000001</v>
      </c>
      <c r="J1237" s="2">
        <v>0.975051</v>
      </c>
      <c r="K1237" s="2">
        <v>0.95219799999999999</v>
      </c>
      <c r="L1237" s="2">
        <f>AVERAGE(D1237:K1237)</f>
        <v>0.96641349999999993</v>
      </c>
      <c r="M1237" s="2">
        <f t="shared" ref="M1237:M1239" si="115" xml:space="preserve"> _xlfn.STDEV.S(D1237:K1237) / SQRT(COUNT(D1237:K1237))</f>
        <v>3.3839663224430232E-3</v>
      </c>
      <c r="N1237" s="2">
        <f t="shared" si="113"/>
        <v>3.7871967998295442E-3</v>
      </c>
    </row>
    <row r="1238" spans="2:14" x14ac:dyDescent="0.55000000000000004">
      <c r="C1238" s="2" t="s">
        <v>24</v>
      </c>
      <c r="D1238" s="2">
        <v>0.232407</v>
      </c>
      <c r="E1238" s="2">
        <v>0.23225899999999999</v>
      </c>
      <c r="F1238" s="2">
        <v>0.29755999999999999</v>
      </c>
      <c r="G1238" s="2">
        <v>0.209536</v>
      </c>
      <c r="H1238" s="2">
        <v>0.25414500000000001</v>
      </c>
      <c r="I1238" s="2">
        <v>0.27736699999999997</v>
      </c>
      <c r="J1238" s="2">
        <v>0.21923699999999999</v>
      </c>
      <c r="K1238" s="2">
        <v>0.30203600000000003</v>
      </c>
      <c r="L1238" s="2">
        <f t="shared" ref="L1238:L1239" si="116">AVERAGE(D1238:K1238)</f>
        <v>0.25306837500000001</v>
      </c>
      <c r="M1238" s="2">
        <f t="shared" si="115"/>
        <v>1.258433507798125E-2</v>
      </c>
      <c r="N1238" s="2">
        <f t="shared" si="113"/>
        <v>1.4083873476880834E-2</v>
      </c>
    </row>
    <row r="1239" spans="2:14" x14ac:dyDescent="0.55000000000000004">
      <c r="C1239" s="2" t="s">
        <v>26</v>
      </c>
      <c r="D1239" s="2">
        <v>0.742591</v>
      </c>
      <c r="E1239" s="2">
        <v>0.82995099999999999</v>
      </c>
      <c r="F1239" s="2">
        <v>0.68792600000000004</v>
      </c>
      <c r="G1239" s="2">
        <v>0.83765100000000003</v>
      </c>
      <c r="H1239" s="2">
        <v>0.73214299999999999</v>
      </c>
      <c r="I1239" s="2">
        <v>0.71574199999999999</v>
      </c>
      <c r="J1239" s="2">
        <v>0.80328100000000002</v>
      </c>
      <c r="K1239" s="2">
        <v>0.67405599999999999</v>
      </c>
      <c r="L1239" s="2">
        <f t="shared" si="116"/>
        <v>0.75291762500000003</v>
      </c>
      <c r="M1239" s="2">
        <f t="shared" si="115"/>
        <v>2.2366139021119703E-2</v>
      </c>
      <c r="N1239" s="2">
        <f t="shared" si="113"/>
        <v>2.503126865168542E-2</v>
      </c>
    </row>
    <row r="1290" spans="1:1" x14ac:dyDescent="0.55000000000000004">
      <c r="A1290" s="2" t="s">
        <v>43</v>
      </c>
    </row>
    <row r="1349" spans="1:1" x14ac:dyDescent="0.55000000000000004">
      <c r="A1349" s="2" t="s">
        <v>44</v>
      </c>
    </row>
  </sheetData>
  <mergeCells count="1">
    <mergeCell ref="L1:L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qmax=110 eta in 0.002, 0.02 ROI</vt:lpstr>
      <vt:lpstr>q_max=110 eta (0.002, 0.2) ETH</vt:lpstr>
      <vt:lpstr>Magdeburg dataset full image</vt:lpstr>
      <vt:lpstr>Magdeburg dataset ROI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Didier Pohl</dc:creator>
  <cp:keywords/>
  <dc:description/>
  <cp:lastModifiedBy>Michel Pohl</cp:lastModifiedBy>
  <cp:revision/>
  <dcterms:created xsi:type="dcterms:W3CDTF">2015-06-05T18:17:20Z</dcterms:created>
  <dcterms:modified xsi:type="dcterms:W3CDTF">2025-06-24T14:29:50Z</dcterms:modified>
  <cp:category/>
  <cp:contentStatus/>
</cp:coreProperties>
</file>